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etha Eliana Calysta\Downloads\"/>
    </mc:Choice>
  </mc:AlternateContent>
  <xr:revisionPtr revIDLastSave="0" documentId="13_ncr:1_{82D24411-A06F-4190-8439-26B1D2853F31}" xr6:coauthVersionLast="47" xr6:coauthVersionMax="47" xr10:uidLastSave="{00000000-0000-0000-0000-000000000000}"/>
  <bookViews>
    <workbookView xWindow="-120" yWindow="-120" windowWidth="20730" windowHeight="11310" tabRatio="500" activeTab="1" xr2:uid="{00000000-000D-0000-FFFF-FFFF00000000}"/>
  </bookViews>
  <sheets>
    <sheet name="Proposal Event" sheetId="1" r:id="rId1"/>
    <sheet name="PJK Event Kompilasi" sheetId="3" r:id="rId2"/>
  </sheets>
  <definedNames>
    <definedName name="_xlnm.Print_Area" localSheetId="1">'PJK Event Kompilasi'!$A$1:$H$42</definedName>
    <definedName name="_xlnm.Print_Area" localSheetId="0">'Proposal Event'!$A$1:$J$72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7" i="3" l="1"/>
  <c r="E30" i="3"/>
  <c r="E31" i="3"/>
  <c r="F27" i="3"/>
  <c r="C8" i="3"/>
  <c r="C7" i="3"/>
  <c r="C6" i="3"/>
  <c r="E44" i="1"/>
</calcChain>
</file>

<file path=xl/sharedStrings.xml><?xml version="1.0" encoding="utf-8"?>
<sst xmlns="http://schemas.openxmlformats.org/spreadsheetml/2006/main" count="111" uniqueCount="89">
  <si>
    <t>Dibuat oleh,</t>
  </si>
  <si>
    <t>Nama Terang</t>
  </si>
  <si>
    <t>Jabatan</t>
  </si>
  <si>
    <t>Disetujui oleh,</t>
  </si>
  <si>
    <t>No. Program</t>
  </si>
  <si>
    <t>:…..</t>
  </si>
  <si>
    <t>RENCANA KEGIATAN</t>
  </si>
  <si>
    <t>Hari, tanggal</t>
  </si>
  <si>
    <t>Waktu</t>
  </si>
  <si>
    <t>Tempat</t>
  </si>
  <si>
    <t>:</t>
  </si>
  <si>
    <t>ANGGARAN</t>
  </si>
  <si>
    <t>Item</t>
  </si>
  <si>
    <t>Total</t>
  </si>
  <si>
    <t>No</t>
  </si>
  <si>
    <t>dst</t>
  </si>
  <si>
    <t>Note:</t>
  </si>
  <si>
    <t>Nama Program</t>
  </si>
  <si>
    <t>No. Proposal</t>
  </si>
  <si>
    <t>TOTAL ANGGARAN</t>
  </si>
  <si>
    <t>SELISIH</t>
  </si>
  <si>
    <t>Nominal</t>
  </si>
  <si>
    <t>Laporan Pertanggungjawaban Keuangan adalah dokumen yang dibuat untuk melaporkan realisasi pengeluaran suatu event</t>
  </si>
  <si>
    <t>No. RF:</t>
  </si>
  <si>
    <t>: …..</t>
  </si>
  <si>
    <t xml:space="preserve">Yang dimaksud dengan proses pengadaan barang adalah proses pengadaan barang yang melibatkan ataupun tidak melibatkan PM Dept. </t>
  </si>
  <si>
    <t>SUSUNAN PANITIA</t>
  </si>
  <si>
    <t>Nama</t>
  </si>
  <si>
    <t>Posisi</t>
  </si>
  <si>
    <t>REALISASI</t>
  </si>
  <si>
    <t>Penerimaan</t>
  </si>
  <si>
    <t>Pengeluaran</t>
  </si>
  <si>
    <t>Pencairan Dana 1</t>
  </si>
  <si>
    <t>Konsumsi</t>
  </si>
  <si>
    <t>Sewa mobil</t>
  </si>
  <si>
    <t>Pencairan Dana 2</t>
  </si>
  <si>
    <t>Cetakan</t>
  </si>
  <si>
    <t>Telah link dengan sheet "Proposal Event"</t>
  </si>
  <si>
    <t>(mengacu annual plan kolom "no")</t>
  </si>
  <si>
    <t>(mengacu annual plan kolom "program title")</t>
  </si>
  <si>
    <t xml:space="preserve">TUJUAN </t>
  </si>
  <si>
    <t>REKAP LAPORAN PERTANGGUNGJAWABAN KEUANGAN</t>
  </si>
  <si>
    <t>Insert timeline &amp; detail kegiatan (jika perlu)</t>
  </si>
  <si>
    <t>Diajukan oleh,</t>
  </si>
  <si>
    <t>Tuliskan latar belakang &amp; manfaat dari pengadaan program ini</t>
  </si>
  <si>
    <t>RUANG LINGKUP</t>
  </si>
  <si>
    <t>Text biru untuk diubah sesuai dengan kebutuhan</t>
  </si>
  <si>
    <t>Tuliskan metode kegiatan (jika perlu)</t>
  </si>
  <si>
    <t>Target peserta</t>
  </si>
  <si>
    <t>Jumlah peserta</t>
  </si>
  <si>
    <t>Kriteria peserta</t>
  </si>
  <si>
    <t>dll, disesuaikan dengan jenis kegiatan</t>
  </si>
  <si>
    <t>Insert raw sesuai kebutuhan</t>
  </si>
  <si>
    <t>Event adalah kegiatan terencana yang melibatkan lebih dari 2 orang, mencakup proses pengadaan barang dan pencairan dana</t>
  </si>
  <si>
    <t>Atasan 1</t>
  </si>
  <si>
    <t>Atasan 2</t>
  </si>
  <si>
    <t>Untuk prodi persetujuan harus sampai dengan atasan 2</t>
  </si>
  <si>
    <t>Untuk departemen persetujuan hanya sampai dengan atasan 1</t>
  </si>
  <si>
    <t xml:space="preserve">Jabatan </t>
  </si>
  <si>
    <t>Jabatan Atasan 1</t>
  </si>
  <si>
    <t>Nama Terang Atasan 2</t>
  </si>
  <si>
    <t>Jabatan Atasan 2</t>
  </si>
  <si>
    <t xml:space="preserve">Nama Terang </t>
  </si>
  <si>
    <t>Nama Terang Atasan 1 (minimal HoD)</t>
  </si>
  <si>
    <t>Nama Terang Atasan 3</t>
  </si>
  <si>
    <t>Jabatan Atasan 3</t>
  </si>
  <si>
    <t>Sekretaris Dewan Pengurus Harian Yayasan Ciputra Pendidikan</t>
  </si>
  <si>
    <t xml:space="preserve">Kegiatan dengan biaya ≥ Rp 10.000.000 wajib dilengkapi dengan proposal </t>
  </si>
  <si>
    <r>
      <t xml:space="preserve">Proposal kegiatan / </t>
    </r>
    <r>
      <rPr>
        <i/>
        <sz val="12"/>
        <color rgb="FF0000FF"/>
        <rFont val="Calibri"/>
        <family val="2"/>
      </rPr>
      <t>event</t>
    </r>
    <r>
      <rPr>
        <sz val="12"/>
        <color rgb="FF0000FF"/>
        <rFont val="Calibri"/>
        <family val="2"/>
      </rPr>
      <t xml:space="preserve"> adalah dokumen yang dibuat untuk mengajukan persetujuan atasan perihal anggaran suatu </t>
    </r>
    <r>
      <rPr>
        <i/>
        <sz val="12"/>
        <color rgb="FF0000FF"/>
        <rFont val="Calibri"/>
        <family val="2"/>
      </rPr>
      <t>event</t>
    </r>
  </si>
  <si>
    <r>
      <rPr>
        <i/>
        <sz val="12"/>
        <color rgb="FF0000FF"/>
        <rFont val="Calibri"/>
        <family val="2"/>
      </rPr>
      <t>Event</t>
    </r>
    <r>
      <rPr>
        <sz val="12"/>
        <color rgb="FF0000FF"/>
        <rFont val="Calibri"/>
        <family val="2"/>
      </rPr>
      <t xml:space="preserve"> adalah kegiatan terrencana yang melibatkan lebih dari 2 orang, mencakup proses pengadaan barang dan pencairan dana</t>
    </r>
  </si>
  <si>
    <r>
      <t xml:space="preserve">Proposal kegiatan / </t>
    </r>
    <r>
      <rPr>
        <i/>
        <sz val="12"/>
        <color rgb="FF0000FF"/>
        <rFont val="Calibri"/>
        <family val="2"/>
      </rPr>
      <t xml:space="preserve">event </t>
    </r>
    <r>
      <rPr>
        <sz val="12"/>
        <color rgb="FF0000FF"/>
        <rFont val="Calibri"/>
        <family val="2"/>
      </rPr>
      <t>yang telah disahkan wajib dilampirkan saat pengajuan RF</t>
    </r>
  </si>
  <si>
    <t>Barang dapat berupa konsumsi, ATK, cetakan dll.</t>
  </si>
  <si>
    <t>Dept</t>
  </si>
  <si>
    <t>Persetujuan RF</t>
  </si>
  <si>
    <t>Prodi</t>
  </si>
  <si>
    <t>HCM,MNA, ICT, PM, FA</t>
  </si>
  <si>
    <t>LIB, BAA, BMA, TLC</t>
  </si>
  <si>
    <t>QA</t>
  </si>
  <si>
    <t>Penandatanganan proposal ≥ Rp 10.000.00 mengikuti ketentuan sebagai berikut:</t>
  </si>
  <si>
    <t>Makassar,…..</t>
  </si>
  <si>
    <t>HoD, Dekan, Wakil Ketua Bidang Akademik, Wakil Ketua Bidang Operasional, dan Sekretaris Dewan Pengurus Harian Yayasan Ciputra Pendidikan</t>
  </si>
  <si>
    <t>HoD, Wakil Ketua Bidang Akademik, Wakil Ketua Bidang Operasional, dan Sekretaris Dewan Pengurus Harian Yayasan Ciputra Pendidikan</t>
  </si>
  <si>
    <t>HoD, Wakil Ketua Bidang Operasional, dan Sekretaris Dewan Pengurus Harian Yayasan Ciputra Pendidikan</t>
  </si>
  <si>
    <t>Laporan Pertanggungjawaban Keuangan (selanjutnya disebut PJK-event) wajib diserahkan ke Finance selambat-lambatnya 3 hari kerja setelah event selesai</t>
  </si>
  <si>
    <t>Untuk kegiatan dengan biaya &lt; Rp 10.000.000 membuat proposal ttd sd HOD</t>
  </si>
  <si>
    <t>FORM PROPOSAL KEGIATAN</t>
  </si>
  <si>
    <t>: XXX/UCM-DEPT/PPA/MM/YYYY, contoh: 002/UCM-PM/PPA/IX/2021</t>
  </si>
  <si>
    <t>Wakil Ketua Bidang Operasional</t>
  </si>
  <si>
    <t>HoD, Ketua, Wakil Ketua Bidang Operasional, dan Sekretaris Dewan Pengurus Harian Yayasan Ciputra Pendidikan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</si>
</sst>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IDR&quot;* #,##0_);_(&quot;IDR&quot;* \(#,##0\);_(&quot;IDR&quot;* &quot;-&quot;_);_(@_)"/>
    <numFmt numFmtId="165" formatCode="_([$Rp-421]* #,##0_);_([$Rp-421]* \(#,##0\);_([$Rp-421]* &quot;-&quot;_);_(@_)"/>
    <numFmt numFmtId="166" formatCode="h:mm:ss;@"/>
  </numFmts>
  <fonts count="18" x14ac:knownFonts="1">
    <font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FF0000"/>
      <name val="Calibri"/>
      <family val="2"/>
      <scheme val="minor"/>
    </font>
    <font>
      <sz val="24"/>
      <name val="Cambria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b/>
      <sz val="12"/>
      <color rgb="FF0000FF"/>
      <name val="Calibri"/>
      <family val="2"/>
    </font>
    <font>
      <sz val="12"/>
      <color rgb="FF0000FF"/>
      <name val="Calibri"/>
      <family val="2"/>
    </font>
    <font>
      <i/>
      <sz val="12"/>
      <color rgb="FF0000FF"/>
      <name val="Calibri"/>
      <family val="2"/>
    </font>
    <font>
      <b/>
      <sz val="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6">
    <xf numFmtId="0" fontId="0" fillId="0" borderId="0" xfId="0"/>
    <xf numFmtId="0" fontId="1" fillId="0" borderId="0" xfId="0" applyFont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0" fontId="8" fillId="2" borderId="0" xfId="0" applyFont="1" applyFill="1" applyAlignment="1">
      <alignment horizontal="right"/>
    </xf>
    <xf numFmtId="0" fontId="5" fillId="2" borderId="0" xfId="0" applyFont="1" applyFill="1"/>
    <xf numFmtId="0" fontId="8" fillId="2" borderId="6" xfId="0" applyFont="1" applyFill="1" applyBorder="1"/>
    <xf numFmtId="0" fontId="8" fillId="2" borderId="7" xfId="0" applyFont="1" applyFill="1" applyBorder="1"/>
    <xf numFmtId="0" fontId="8" fillId="2" borderId="9" xfId="0" applyFont="1" applyFill="1" applyBorder="1"/>
    <xf numFmtId="0" fontId="8" fillId="2" borderId="11" xfId="0" applyFont="1" applyFill="1" applyBorder="1"/>
    <xf numFmtId="0" fontId="8" fillId="2" borderId="12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11" xfId="0" applyFont="1" applyFill="1" applyBorder="1"/>
    <xf numFmtId="0" fontId="9" fillId="2" borderId="0" xfId="0" applyFont="1" applyFill="1"/>
    <xf numFmtId="0" fontId="5" fillId="2" borderId="13" xfId="0" applyFont="1" applyFill="1" applyBorder="1"/>
    <xf numFmtId="0" fontId="5" fillId="2" borderId="15" xfId="0" applyFont="1" applyFill="1" applyBorder="1"/>
    <xf numFmtId="0" fontId="8" fillId="2" borderId="15" xfId="0" applyFont="1" applyFill="1" applyBorder="1"/>
    <xf numFmtId="0" fontId="8" fillId="2" borderId="13" xfId="0" applyFont="1" applyFill="1" applyBorder="1"/>
    <xf numFmtId="0" fontId="7" fillId="2" borderId="0" xfId="0" applyFont="1" applyFill="1" applyAlignment="1">
      <alignment horizontal="left"/>
    </xf>
    <xf numFmtId="0" fontId="6" fillId="0" borderId="0" xfId="0" applyFont="1"/>
    <xf numFmtId="0" fontId="5" fillId="2" borderId="10" xfId="0" applyFont="1" applyFill="1" applyBorder="1" applyAlignment="1">
      <alignment horizontal="center"/>
    </xf>
    <xf numFmtId="164" fontId="5" fillId="2" borderId="11" xfId="0" applyNumberFormat="1" applyFont="1" applyFill="1" applyBorder="1"/>
    <xf numFmtId="164" fontId="5" fillId="2" borderId="0" xfId="0" applyNumberFormat="1" applyFont="1" applyFill="1"/>
    <xf numFmtId="0" fontId="0" fillId="0" borderId="8" xfId="0" applyBorder="1"/>
    <xf numFmtId="0" fontId="0" fillId="2" borderId="8" xfId="0" applyFill="1" applyBorder="1"/>
    <xf numFmtId="0" fontId="9" fillId="2" borderId="0" xfId="0" applyFont="1" applyFill="1" applyAlignment="1">
      <alignment horizontal="right" vertical="center"/>
    </xf>
    <xf numFmtId="0" fontId="11" fillId="0" borderId="0" xfId="0" applyFont="1"/>
    <xf numFmtId="0" fontId="13" fillId="0" borderId="0" xfId="0" applyFont="1"/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2" borderId="0" xfId="0" applyFont="1" applyFill="1" applyAlignment="1">
      <alignment horizontal="left"/>
    </xf>
    <xf numFmtId="0" fontId="8" fillId="4" borderId="0" xfId="0" applyFont="1" applyFill="1"/>
    <xf numFmtId="0" fontId="5" fillId="4" borderId="0" xfId="0" applyFont="1" applyFill="1"/>
    <xf numFmtId="0" fontId="0" fillId="4" borderId="0" xfId="0" applyFill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5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8" fillId="2" borderId="9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165" fontId="5" fillId="2" borderId="1" xfId="0" applyNumberFormat="1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8" fillId="2" borderId="15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8" fillId="2" borderId="13" xfId="0" applyFont="1" applyFill="1" applyBorder="1" applyAlignment="1">
      <alignment vertical="center"/>
    </xf>
    <xf numFmtId="165" fontId="10" fillId="2" borderId="1" xfId="0" applyNumberFormat="1" applyFont="1" applyFill="1" applyBorder="1" applyAlignment="1">
      <alignment vertical="center"/>
    </xf>
    <xf numFmtId="165" fontId="5" fillId="3" borderId="1" xfId="0" applyNumberFormat="1" applyFont="1" applyFill="1" applyBorder="1" applyAlignment="1">
      <alignment vertical="center"/>
    </xf>
    <xf numFmtId="164" fontId="9" fillId="2" borderId="0" xfId="0" applyNumberFormat="1" applyFont="1" applyFill="1" applyAlignment="1">
      <alignment horizontal="right"/>
    </xf>
    <xf numFmtId="0" fontId="5" fillId="0" borderId="0" xfId="0" applyFont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12" fillId="0" borderId="0" xfId="0" applyFont="1" applyAlignment="1">
      <alignment horizontal="justify" vertical="center"/>
    </xf>
    <xf numFmtId="0" fontId="12" fillId="0" borderId="0" xfId="0" applyFont="1" applyAlignment="1">
      <alignment vertical="center" wrapText="1"/>
    </xf>
    <xf numFmtId="20" fontId="0" fillId="0" borderId="0" xfId="0" applyNumberFormat="1"/>
    <xf numFmtId="21" fontId="0" fillId="0" borderId="0" xfId="0" applyNumberFormat="1"/>
    <xf numFmtId="166" fontId="0" fillId="0" borderId="0" xfId="0" applyNumberFormat="1"/>
    <xf numFmtId="0" fontId="0" fillId="0" borderId="0" xfId="0" applyAlignment="1">
      <alignment vertical="top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vertical="top" wrapText="1"/>
    </xf>
    <xf numFmtId="0" fontId="0" fillId="2" borderId="0" xfId="0" applyFill="1" applyAlignment="1">
      <alignment vertical="top"/>
    </xf>
    <xf numFmtId="0" fontId="5" fillId="2" borderId="0" xfId="0" applyFont="1" applyFill="1" applyAlignment="1">
      <alignment vertical="top"/>
    </xf>
    <xf numFmtId="0" fontId="0" fillId="2" borderId="0" xfId="0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15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 vertical="center"/>
    </xf>
    <xf numFmtId="0" fontId="14" fillId="2" borderId="0" xfId="0" applyFont="1" applyFill="1"/>
    <xf numFmtId="0" fontId="15" fillId="2" borderId="0" xfId="0" applyFont="1" applyFill="1"/>
    <xf numFmtId="0" fontId="11" fillId="2" borderId="0" xfId="0" applyFont="1" applyFill="1"/>
    <xf numFmtId="0" fontId="15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5" fillId="2" borderId="0" xfId="0" applyFont="1" applyFill="1" applyAlignment="1">
      <alignment vertical="top"/>
    </xf>
    <xf numFmtId="0" fontId="15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vertical="center" wrapText="1"/>
    </xf>
    <xf numFmtId="0" fontId="15" fillId="2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vertical="center" wrapText="1"/>
    </xf>
    <xf numFmtId="0" fontId="17" fillId="2" borderId="0" xfId="0" applyFont="1" applyFill="1" applyAlignment="1">
      <alignment horizontal="left"/>
    </xf>
    <xf numFmtId="0" fontId="9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5" fillId="2" borderId="0" xfId="0" applyFont="1" applyFill="1" applyAlignment="1">
      <alignment horizontal="left" vertical="top" wrapText="1"/>
    </xf>
    <xf numFmtId="0" fontId="9" fillId="2" borderId="5" xfId="0" applyFont="1" applyFill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/>
    </xf>
    <xf numFmtId="0" fontId="12" fillId="0" borderId="0" xfId="0" applyFont="1" applyAlignment="1">
      <alignment horizontal="left" vertical="center"/>
    </xf>
    <xf numFmtId="165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right" vertical="center"/>
    </xf>
    <xf numFmtId="0" fontId="9" fillId="3" borderId="5" xfId="0" applyFont="1" applyFill="1" applyBorder="1" applyAlignment="1">
      <alignment horizontal="left" vertical="center"/>
    </xf>
    <xf numFmtId="0" fontId="9" fillId="3" borderId="8" xfId="0" applyFont="1" applyFill="1" applyBorder="1" applyAlignment="1">
      <alignment horizontal="left" vertical="center"/>
    </xf>
    <xf numFmtId="0" fontId="9" fillId="3" borderId="10" xfId="0" applyFont="1" applyFill="1" applyBorder="1" applyAlignment="1">
      <alignment horizontal="left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/>
    </xf>
  </cellXfs>
  <cellStyles count="10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6"/>
  <sheetViews>
    <sheetView view="pageLayout" zoomScale="64" zoomScaleNormal="100" zoomScalePageLayoutView="64" workbookViewId="0">
      <selection activeCell="F1" sqref="F1"/>
    </sheetView>
  </sheetViews>
  <sheetFormatPr defaultColWidth="11.25" defaultRowHeight="15.75" x14ac:dyDescent="0.25"/>
  <cols>
    <col min="1" max="1" width="3.5" customWidth="1"/>
    <col min="2" max="2" width="19.875" customWidth="1"/>
    <col min="3" max="3" width="22.25" customWidth="1"/>
    <col min="4" max="4" width="24" customWidth="1"/>
    <col min="5" max="5" width="20.5" customWidth="1"/>
    <col min="6" max="6" width="6.75" customWidth="1"/>
    <col min="7" max="7" width="18.5" customWidth="1"/>
    <col min="8" max="8" width="21.125" customWidth="1"/>
    <col min="9" max="9" width="32.125" customWidth="1"/>
    <col min="10" max="10" width="24.25" customWidth="1"/>
    <col min="11" max="11" width="11.25" customWidth="1"/>
  </cols>
  <sheetData>
    <row r="1" spans="1:10" x14ac:dyDescent="0.25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x14ac:dyDescent="0.2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31.5" x14ac:dyDescent="0.5">
      <c r="A3" s="3"/>
      <c r="B3" s="92" t="s">
        <v>85</v>
      </c>
      <c r="C3" s="2"/>
      <c r="D3" s="2"/>
      <c r="E3" s="2"/>
      <c r="F3" s="2"/>
      <c r="G3" s="2"/>
      <c r="H3" s="3"/>
      <c r="I3" s="81"/>
      <c r="J3" s="3"/>
    </row>
    <row r="4" spans="1:10" x14ac:dyDescent="0.25">
      <c r="A4" s="3"/>
      <c r="B4" s="2"/>
      <c r="C4" s="2"/>
      <c r="D4" s="2"/>
      <c r="E4" s="2"/>
      <c r="F4" s="2"/>
      <c r="G4" s="2"/>
      <c r="H4" s="3"/>
      <c r="I4" s="81"/>
      <c r="J4" s="3"/>
    </row>
    <row r="5" spans="1:10" x14ac:dyDescent="0.25">
      <c r="A5" s="3"/>
      <c r="B5" s="2"/>
      <c r="C5" s="2"/>
      <c r="D5" s="2"/>
      <c r="E5" s="2"/>
      <c r="F5" s="4"/>
      <c r="G5" s="2"/>
      <c r="H5" s="3"/>
      <c r="I5" s="3"/>
      <c r="J5" s="3"/>
    </row>
    <row r="6" spans="1:10" s="31" customFormat="1" x14ac:dyDescent="0.25">
      <c r="A6" s="36"/>
      <c r="B6" s="37" t="s">
        <v>18</v>
      </c>
      <c r="C6" s="38" t="s">
        <v>86</v>
      </c>
      <c r="D6" s="39"/>
      <c r="E6" s="39"/>
      <c r="F6" s="40"/>
      <c r="G6" s="39"/>
      <c r="H6" s="36"/>
      <c r="I6" s="36"/>
      <c r="J6" s="36"/>
    </row>
    <row r="7" spans="1:10" s="31" customFormat="1" x14ac:dyDescent="0.25">
      <c r="A7" s="36"/>
      <c r="B7" s="37" t="s">
        <v>4</v>
      </c>
      <c r="C7" s="38" t="s">
        <v>5</v>
      </c>
      <c r="D7" s="39"/>
      <c r="E7" s="38" t="s">
        <v>38</v>
      </c>
      <c r="F7" s="39"/>
      <c r="G7" s="39"/>
      <c r="H7" s="36"/>
      <c r="I7" s="36"/>
      <c r="J7" s="36"/>
    </row>
    <row r="8" spans="1:10" s="31" customFormat="1" x14ac:dyDescent="0.25">
      <c r="A8" s="36"/>
      <c r="B8" s="37" t="s">
        <v>17</v>
      </c>
      <c r="C8" s="38" t="s">
        <v>5</v>
      </c>
      <c r="D8" s="39"/>
      <c r="E8" s="38" t="s">
        <v>39</v>
      </c>
      <c r="F8" s="39"/>
      <c r="G8" s="39"/>
      <c r="H8" s="36"/>
      <c r="I8" s="36"/>
      <c r="J8" s="36"/>
    </row>
    <row r="9" spans="1:10" s="31" customFormat="1" x14ac:dyDescent="0.25">
      <c r="A9" s="36"/>
      <c r="B9" s="39"/>
      <c r="C9" s="39"/>
      <c r="D9" s="39"/>
      <c r="E9" s="39"/>
      <c r="F9" s="39"/>
      <c r="G9" s="39"/>
      <c r="H9" s="36"/>
      <c r="I9" s="36"/>
      <c r="J9" s="36"/>
    </row>
    <row r="10" spans="1:10" s="31" customFormat="1" ht="19.899999999999999" customHeight="1" x14ac:dyDescent="0.25">
      <c r="A10" s="36"/>
      <c r="B10" s="93" t="s">
        <v>40</v>
      </c>
      <c r="C10" s="94" t="s">
        <v>44</v>
      </c>
      <c r="D10" s="94"/>
      <c r="E10" s="94"/>
      <c r="F10" s="94"/>
      <c r="G10" s="94"/>
      <c r="H10" s="36"/>
      <c r="I10" s="63" t="s">
        <v>46</v>
      </c>
      <c r="J10" s="36"/>
    </row>
    <row r="11" spans="1:10" s="31" customFormat="1" ht="19.899999999999999" customHeight="1" x14ac:dyDescent="0.25">
      <c r="A11" s="36"/>
      <c r="B11" s="93"/>
      <c r="C11" s="94"/>
      <c r="D11" s="94"/>
      <c r="E11" s="94"/>
      <c r="F11" s="94"/>
      <c r="G11" s="94"/>
      <c r="H11" s="36"/>
      <c r="I11" s="36"/>
      <c r="J11" s="36"/>
    </row>
    <row r="12" spans="1:10" s="31" customFormat="1" ht="19.899999999999999" customHeight="1" x14ac:dyDescent="0.25">
      <c r="A12" s="36"/>
      <c r="B12" s="93"/>
      <c r="C12" s="94"/>
      <c r="D12" s="94"/>
      <c r="E12" s="94"/>
      <c r="F12" s="94"/>
      <c r="G12" s="94"/>
      <c r="H12" s="36"/>
      <c r="I12" s="36"/>
      <c r="J12" s="36"/>
    </row>
    <row r="13" spans="1:10" s="31" customFormat="1" ht="19.899999999999999" customHeight="1" x14ac:dyDescent="0.25">
      <c r="A13" s="36"/>
      <c r="B13" s="93"/>
      <c r="C13" s="94"/>
      <c r="D13" s="94"/>
      <c r="E13" s="94"/>
      <c r="F13" s="94"/>
      <c r="G13" s="94"/>
      <c r="H13" s="36"/>
      <c r="I13" s="36"/>
      <c r="J13" s="36"/>
    </row>
    <row r="14" spans="1:10" s="31" customFormat="1" ht="19.899999999999999" customHeight="1" x14ac:dyDescent="0.25">
      <c r="A14" s="36"/>
      <c r="B14" s="93"/>
      <c r="C14" s="94"/>
      <c r="D14" s="94"/>
      <c r="E14" s="94"/>
      <c r="F14" s="94"/>
      <c r="G14" s="94"/>
      <c r="H14" s="36"/>
      <c r="I14" s="36"/>
      <c r="J14" s="36"/>
    </row>
    <row r="15" spans="1:10" s="31" customFormat="1" ht="19.899999999999999" customHeight="1" x14ac:dyDescent="0.25">
      <c r="A15" s="36"/>
      <c r="B15" s="93"/>
      <c r="C15" s="94"/>
      <c r="D15" s="94"/>
      <c r="E15" s="94"/>
      <c r="F15" s="94"/>
      <c r="G15" s="94"/>
      <c r="H15" s="36"/>
      <c r="I15" s="36"/>
      <c r="J15" s="36"/>
    </row>
    <row r="16" spans="1:10" s="31" customFormat="1" ht="19.899999999999999" customHeight="1" x14ac:dyDescent="0.25">
      <c r="A16" s="36"/>
      <c r="B16" s="96" t="s">
        <v>45</v>
      </c>
      <c r="C16" s="41"/>
      <c r="D16" s="42"/>
      <c r="E16" s="42"/>
      <c r="F16" s="42"/>
      <c r="G16" s="64"/>
      <c r="H16" s="36"/>
      <c r="I16" s="36"/>
      <c r="J16" s="36"/>
    </row>
    <row r="17" spans="1:10" s="31" customFormat="1" ht="19.899999999999999" customHeight="1" x14ac:dyDescent="0.25">
      <c r="A17" s="36"/>
      <c r="B17" s="97"/>
      <c r="C17" s="45" t="s">
        <v>48</v>
      </c>
      <c r="D17" s="38" t="s">
        <v>10</v>
      </c>
      <c r="E17" s="38"/>
      <c r="F17" s="38"/>
      <c r="G17" s="65"/>
      <c r="H17" s="36"/>
      <c r="I17" s="36"/>
      <c r="J17" s="36"/>
    </row>
    <row r="18" spans="1:10" s="31" customFormat="1" ht="19.899999999999999" customHeight="1" x14ac:dyDescent="0.25">
      <c r="A18" s="36"/>
      <c r="B18" s="97"/>
      <c r="C18" s="38" t="s">
        <v>50</v>
      </c>
      <c r="D18" s="38" t="s">
        <v>10</v>
      </c>
      <c r="E18" s="38"/>
      <c r="F18" s="38"/>
      <c r="G18" s="65"/>
      <c r="H18" s="36"/>
      <c r="I18" s="36"/>
      <c r="J18" s="36"/>
    </row>
    <row r="19" spans="1:10" s="31" customFormat="1" ht="19.899999999999999" customHeight="1" x14ac:dyDescent="0.25">
      <c r="A19" s="36"/>
      <c r="B19" s="97"/>
      <c r="C19" s="45" t="s">
        <v>49</v>
      </c>
      <c r="D19" s="38" t="s">
        <v>10</v>
      </c>
      <c r="E19" s="38"/>
      <c r="F19" s="38"/>
      <c r="G19" s="65"/>
      <c r="H19" s="36"/>
      <c r="I19" s="36"/>
      <c r="J19" s="36"/>
    </row>
    <row r="20" spans="1:10" s="31" customFormat="1" ht="19.899999999999999" customHeight="1" x14ac:dyDescent="0.25">
      <c r="A20" s="36"/>
      <c r="B20" s="97"/>
      <c r="C20" s="45" t="s">
        <v>51</v>
      </c>
      <c r="D20" s="38"/>
      <c r="E20" s="38"/>
      <c r="F20" s="38"/>
      <c r="G20" s="65"/>
      <c r="H20" s="36"/>
      <c r="I20" s="36"/>
      <c r="J20" s="36"/>
    </row>
    <row r="21" spans="1:10" s="31" customFormat="1" ht="19.899999999999999" customHeight="1" x14ac:dyDescent="0.25">
      <c r="A21" s="36"/>
      <c r="B21" s="98"/>
      <c r="C21" s="47"/>
      <c r="D21" s="48"/>
      <c r="E21" s="48"/>
      <c r="F21" s="48"/>
      <c r="G21" s="66"/>
      <c r="H21" s="36"/>
      <c r="I21" s="36"/>
      <c r="J21" s="36"/>
    </row>
    <row r="22" spans="1:10" s="31" customFormat="1" ht="19.899999999999999" customHeight="1" x14ac:dyDescent="0.25">
      <c r="A22" s="36"/>
      <c r="B22" s="96" t="s">
        <v>6</v>
      </c>
      <c r="C22" s="41"/>
      <c r="D22" s="42"/>
      <c r="E22" s="43"/>
      <c r="F22" s="43"/>
      <c r="G22" s="44"/>
      <c r="H22" s="36"/>
      <c r="I22" s="36"/>
      <c r="J22" s="36"/>
    </row>
    <row r="23" spans="1:10" s="31" customFormat="1" ht="19.899999999999999" customHeight="1" x14ac:dyDescent="0.25">
      <c r="A23" s="36"/>
      <c r="B23" s="97"/>
      <c r="C23" s="45" t="s">
        <v>7</v>
      </c>
      <c r="D23" s="38" t="s">
        <v>10</v>
      </c>
      <c r="E23" s="39"/>
      <c r="F23" s="39"/>
      <c r="G23" s="46"/>
      <c r="H23" s="36"/>
      <c r="I23" s="36"/>
      <c r="J23" s="36"/>
    </row>
    <row r="24" spans="1:10" s="31" customFormat="1" ht="19.899999999999999" customHeight="1" x14ac:dyDescent="0.25">
      <c r="A24" s="36"/>
      <c r="B24" s="97"/>
      <c r="C24" s="45" t="s">
        <v>8</v>
      </c>
      <c r="D24" s="38" t="s">
        <v>10</v>
      </c>
      <c r="E24" s="39"/>
      <c r="F24" s="39"/>
      <c r="G24" s="46"/>
      <c r="H24" s="36"/>
      <c r="I24" s="36"/>
      <c r="J24" s="36"/>
    </row>
    <row r="25" spans="1:10" s="31" customFormat="1" ht="19.899999999999999" customHeight="1" x14ac:dyDescent="0.25">
      <c r="A25" s="36"/>
      <c r="B25" s="97"/>
      <c r="C25" s="45" t="s">
        <v>9</v>
      </c>
      <c r="D25" s="38" t="s">
        <v>10</v>
      </c>
      <c r="E25" s="39"/>
      <c r="F25" s="39"/>
      <c r="G25" s="46"/>
      <c r="H25" s="36"/>
      <c r="I25" s="36"/>
      <c r="J25" s="36"/>
    </row>
    <row r="26" spans="1:10" s="31" customFormat="1" ht="19.899999999999999" customHeight="1" x14ac:dyDescent="0.25">
      <c r="A26" s="36"/>
      <c r="B26" s="97"/>
      <c r="C26" s="45"/>
      <c r="D26" s="38"/>
      <c r="E26" s="39"/>
      <c r="F26" s="39"/>
      <c r="G26" s="46"/>
      <c r="H26" s="36"/>
      <c r="I26" s="36"/>
      <c r="J26" s="36"/>
    </row>
    <row r="27" spans="1:10" s="31" customFormat="1" ht="19.899999999999999" customHeight="1" x14ac:dyDescent="0.25">
      <c r="A27" s="36"/>
      <c r="B27" s="97"/>
      <c r="C27" s="45" t="s">
        <v>42</v>
      </c>
      <c r="D27" s="38"/>
      <c r="E27" s="39"/>
      <c r="F27" s="39"/>
      <c r="G27" s="46"/>
      <c r="H27" s="36"/>
      <c r="I27" s="36"/>
      <c r="J27" s="36"/>
    </row>
    <row r="28" spans="1:10" s="31" customFormat="1" ht="19.899999999999999" customHeight="1" x14ac:dyDescent="0.25">
      <c r="A28" s="36"/>
      <c r="B28" s="97"/>
      <c r="C28" s="45" t="s">
        <v>47</v>
      </c>
      <c r="D28" s="38"/>
      <c r="E28" s="39"/>
      <c r="F28" s="39"/>
      <c r="G28" s="46"/>
      <c r="H28" s="36"/>
      <c r="I28" s="36"/>
      <c r="J28" s="36"/>
    </row>
    <row r="29" spans="1:10" s="31" customFormat="1" ht="19.899999999999999" customHeight="1" x14ac:dyDescent="0.25">
      <c r="A29" s="36"/>
      <c r="B29" s="98"/>
      <c r="C29" s="47"/>
      <c r="D29" s="48"/>
      <c r="E29" s="49"/>
      <c r="F29" s="49"/>
      <c r="G29" s="50"/>
      <c r="H29" s="36"/>
      <c r="I29" s="36"/>
      <c r="J29" s="36"/>
    </row>
    <row r="30" spans="1:10" s="31" customFormat="1" ht="19.899999999999999" customHeight="1" x14ac:dyDescent="0.25">
      <c r="A30" s="36"/>
      <c r="B30" s="93" t="s">
        <v>26</v>
      </c>
      <c r="C30" s="41"/>
      <c r="D30" s="42"/>
      <c r="E30" s="43"/>
      <c r="F30" s="43"/>
      <c r="G30" s="44"/>
      <c r="H30" s="36"/>
      <c r="I30" s="36"/>
      <c r="J30" s="36"/>
    </row>
    <row r="31" spans="1:10" s="31" customFormat="1" ht="19.899999999999999" customHeight="1" x14ac:dyDescent="0.25">
      <c r="A31" s="36"/>
      <c r="B31" s="93"/>
      <c r="C31" s="51" t="s">
        <v>14</v>
      </c>
      <c r="D31" s="51" t="s">
        <v>27</v>
      </c>
      <c r="E31" s="51" t="s">
        <v>28</v>
      </c>
      <c r="F31" s="39"/>
      <c r="G31" s="46"/>
      <c r="H31" s="36"/>
      <c r="I31" s="36"/>
      <c r="J31" s="36"/>
    </row>
    <row r="32" spans="1:10" s="31" customFormat="1" ht="19.899999999999999" customHeight="1" x14ac:dyDescent="0.25">
      <c r="A32" s="36"/>
      <c r="B32" s="93"/>
      <c r="C32" s="52">
        <v>1</v>
      </c>
      <c r="D32" s="53"/>
      <c r="E32" s="54"/>
      <c r="F32" s="39"/>
      <c r="G32" s="46"/>
      <c r="H32" s="36"/>
      <c r="I32" s="36"/>
      <c r="J32" s="36"/>
    </row>
    <row r="33" spans="1:10" s="31" customFormat="1" ht="19.899999999999999" customHeight="1" x14ac:dyDescent="0.25">
      <c r="A33" s="36"/>
      <c r="B33" s="93"/>
      <c r="C33" s="52">
        <v>2</v>
      </c>
      <c r="D33" s="53"/>
      <c r="E33" s="54"/>
      <c r="F33" s="39"/>
      <c r="G33" s="46"/>
      <c r="H33" s="36"/>
      <c r="I33" s="36"/>
      <c r="J33" s="36"/>
    </row>
    <row r="34" spans="1:10" s="31" customFormat="1" ht="19.899999999999999" customHeight="1" x14ac:dyDescent="0.25">
      <c r="A34" s="36"/>
      <c r="B34" s="93"/>
      <c r="C34" s="52">
        <v>3</v>
      </c>
      <c r="D34" s="53"/>
      <c r="E34" s="54"/>
      <c r="F34" s="39"/>
      <c r="G34" s="46"/>
      <c r="H34" s="36"/>
      <c r="I34" s="36"/>
      <c r="J34" s="36"/>
    </row>
    <row r="35" spans="1:10" s="31" customFormat="1" ht="19.899999999999999" customHeight="1" x14ac:dyDescent="0.25">
      <c r="A35" s="36"/>
      <c r="B35" s="93"/>
      <c r="C35" s="52" t="s">
        <v>15</v>
      </c>
      <c r="D35" s="53"/>
      <c r="E35" s="54"/>
      <c r="F35" s="39"/>
      <c r="G35" s="46"/>
      <c r="H35" s="36"/>
      <c r="I35" s="36"/>
      <c r="J35" s="36"/>
    </row>
    <row r="36" spans="1:10" s="31" customFormat="1" ht="19.899999999999999" customHeight="1" x14ac:dyDescent="0.25">
      <c r="A36" s="36"/>
      <c r="B36" s="93"/>
      <c r="C36" s="47"/>
      <c r="D36" s="48"/>
      <c r="E36" s="49"/>
      <c r="F36" s="49"/>
      <c r="G36" s="50"/>
      <c r="H36" s="36"/>
      <c r="I36" s="36"/>
      <c r="J36" s="36"/>
    </row>
    <row r="37" spans="1:10" s="31" customFormat="1" ht="19.899999999999999" customHeight="1" x14ac:dyDescent="0.25">
      <c r="A37" s="36"/>
      <c r="B37" s="101" t="s">
        <v>11</v>
      </c>
      <c r="C37" s="55"/>
      <c r="D37" s="56"/>
      <c r="E37" s="57"/>
      <c r="F37" s="43"/>
      <c r="G37" s="44"/>
      <c r="H37" s="36"/>
      <c r="I37" s="36"/>
      <c r="J37" s="36"/>
    </row>
    <row r="38" spans="1:10" s="31" customFormat="1" ht="19.899999999999999" customHeight="1" x14ac:dyDescent="0.25">
      <c r="A38" s="36"/>
      <c r="B38" s="102"/>
      <c r="C38" s="51" t="s">
        <v>14</v>
      </c>
      <c r="D38" s="51" t="s">
        <v>12</v>
      </c>
      <c r="E38" s="51" t="s">
        <v>21</v>
      </c>
      <c r="F38" s="39"/>
      <c r="G38" s="46"/>
      <c r="H38" s="36"/>
      <c r="I38" s="36"/>
      <c r="J38" s="36"/>
    </row>
    <row r="39" spans="1:10" s="31" customFormat="1" ht="19.899999999999999" customHeight="1" x14ac:dyDescent="0.25">
      <c r="A39" s="36"/>
      <c r="B39" s="102"/>
      <c r="C39" s="52">
        <v>1</v>
      </c>
      <c r="D39" s="53"/>
      <c r="E39" s="54">
        <v>50000000</v>
      </c>
      <c r="F39" s="39"/>
      <c r="G39" s="46"/>
      <c r="H39" s="36"/>
      <c r="I39" s="36"/>
      <c r="J39" s="36"/>
    </row>
    <row r="40" spans="1:10" s="31" customFormat="1" ht="19.899999999999999" customHeight="1" x14ac:dyDescent="0.25">
      <c r="A40" s="36"/>
      <c r="B40" s="102"/>
      <c r="C40" s="52">
        <v>2</v>
      </c>
      <c r="D40" s="53"/>
      <c r="E40" s="54">
        <v>40000000</v>
      </c>
      <c r="F40" s="39"/>
      <c r="G40" s="46"/>
      <c r="H40" s="36"/>
      <c r="I40" s="36"/>
      <c r="J40" s="36"/>
    </row>
    <row r="41" spans="1:10" s="31" customFormat="1" ht="19.899999999999999" customHeight="1" x14ac:dyDescent="0.25">
      <c r="A41" s="36"/>
      <c r="B41" s="102"/>
      <c r="C41" s="52">
        <v>3</v>
      </c>
      <c r="D41" s="53"/>
      <c r="E41" s="54">
        <v>35000000</v>
      </c>
      <c r="F41" s="39"/>
      <c r="G41" s="46"/>
      <c r="H41" s="36"/>
      <c r="I41" s="36"/>
      <c r="J41" s="36"/>
    </row>
    <row r="42" spans="1:10" s="31" customFormat="1" ht="19.899999999999999" customHeight="1" x14ac:dyDescent="0.25">
      <c r="A42" s="36"/>
      <c r="B42" s="102"/>
      <c r="C42" s="52" t="s">
        <v>15</v>
      </c>
      <c r="D42" s="53"/>
      <c r="E42" s="54"/>
      <c r="F42" s="39"/>
      <c r="G42" s="46"/>
      <c r="H42" s="36"/>
      <c r="I42" s="36"/>
      <c r="J42" s="36"/>
    </row>
    <row r="43" spans="1:10" s="31" customFormat="1" ht="19.899999999999999" customHeight="1" x14ac:dyDescent="0.25">
      <c r="A43" s="36"/>
      <c r="B43" s="102"/>
      <c r="C43" s="58"/>
      <c r="D43" s="53"/>
      <c r="E43" s="54"/>
      <c r="F43" s="39"/>
      <c r="G43" s="46"/>
      <c r="H43" s="36"/>
      <c r="I43" s="36"/>
      <c r="J43" s="36"/>
    </row>
    <row r="44" spans="1:10" s="31" customFormat="1" ht="19.899999999999999" customHeight="1" x14ac:dyDescent="0.25">
      <c r="A44" s="36"/>
      <c r="B44" s="102"/>
      <c r="C44" s="95" t="s">
        <v>13</v>
      </c>
      <c r="D44" s="95"/>
      <c r="E44" s="60">
        <f>SUM(E39:E43)</f>
        <v>125000000</v>
      </c>
      <c r="F44" s="39"/>
      <c r="G44" s="46"/>
      <c r="H44" s="36"/>
      <c r="I44" s="36"/>
      <c r="J44" s="36"/>
    </row>
    <row r="45" spans="1:10" s="31" customFormat="1" ht="19.899999999999999" customHeight="1" x14ac:dyDescent="0.25">
      <c r="A45" s="36"/>
      <c r="B45" s="103"/>
      <c r="C45" s="59"/>
      <c r="D45" s="49"/>
      <c r="E45" s="49"/>
      <c r="F45" s="49"/>
      <c r="G45" s="50"/>
      <c r="H45" s="36"/>
      <c r="I45" s="36"/>
      <c r="J45" s="36"/>
    </row>
    <row r="46" spans="1:10" x14ac:dyDescent="0.25">
      <c r="A46" s="3"/>
      <c r="B46" s="2"/>
      <c r="C46" s="2"/>
      <c r="D46" s="2"/>
      <c r="E46" s="2"/>
      <c r="F46" s="2"/>
      <c r="G46" s="2"/>
      <c r="H46" s="3"/>
      <c r="I46" s="3"/>
      <c r="J46" s="3"/>
    </row>
    <row r="47" spans="1:10" x14ac:dyDescent="0.25">
      <c r="A47" s="3"/>
      <c r="B47" s="2"/>
      <c r="C47" s="2"/>
      <c r="D47" s="2"/>
      <c r="E47" s="2"/>
      <c r="F47" s="2"/>
      <c r="G47" s="2"/>
      <c r="H47" s="3"/>
      <c r="I47" s="3"/>
      <c r="J47" s="3"/>
    </row>
    <row r="48" spans="1:10" x14ac:dyDescent="0.25">
      <c r="A48" s="3"/>
      <c r="B48" s="3" t="s">
        <v>79</v>
      </c>
      <c r="C48" s="3"/>
      <c r="D48" s="3"/>
      <c r="E48" s="3"/>
      <c r="F48" s="3"/>
      <c r="G48" s="3"/>
      <c r="H48" s="3"/>
      <c r="I48" s="3"/>
      <c r="J48" s="3"/>
    </row>
    <row r="49" spans="1:10" x14ac:dyDescent="0.25">
      <c r="A49" s="3"/>
      <c r="B49" s="2" t="s">
        <v>43</v>
      </c>
      <c r="C49" s="3" t="s">
        <v>3</v>
      </c>
      <c r="D49" s="3"/>
      <c r="E49" s="5"/>
      <c r="F49" s="3"/>
      <c r="G49" s="3"/>
      <c r="H49" s="3"/>
      <c r="I49" s="3"/>
      <c r="J49" s="3"/>
    </row>
    <row r="50" spans="1:10" x14ac:dyDescent="0.25">
      <c r="A50" s="3"/>
      <c r="B50" s="5"/>
      <c r="C50" s="5"/>
      <c r="D50" s="5"/>
      <c r="E50" s="5"/>
      <c r="F50" s="3"/>
      <c r="G50" s="3"/>
      <c r="H50" s="3"/>
      <c r="I50" s="3"/>
      <c r="J50" s="3"/>
    </row>
    <row r="51" spans="1:10" x14ac:dyDescent="0.25">
      <c r="A51" s="3"/>
      <c r="B51" s="5"/>
      <c r="C51" s="5"/>
      <c r="D51" s="5"/>
      <c r="E51" s="5"/>
      <c r="F51" s="3"/>
      <c r="G51" s="3"/>
      <c r="H51" s="3"/>
      <c r="I51" s="3"/>
      <c r="J51" s="3"/>
    </row>
    <row r="52" spans="1:10" x14ac:dyDescent="0.25">
      <c r="A52" s="75"/>
      <c r="B52" s="76"/>
      <c r="C52" s="76"/>
      <c r="D52" s="76"/>
      <c r="E52" s="76"/>
      <c r="F52" s="75"/>
      <c r="G52" s="76"/>
      <c r="H52" s="76"/>
      <c r="I52" s="76"/>
      <c r="J52" s="5"/>
    </row>
    <row r="53" spans="1:10" ht="31.9" customHeight="1" x14ac:dyDescent="0.25">
      <c r="A53" s="75"/>
      <c r="B53" s="76" t="s">
        <v>62</v>
      </c>
      <c r="C53" s="74" t="s">
        <v>63</v>
      </c>
      <c r="D53" s="76" t="s">
        <v>60</v>
      </c>
      <c r="E53" s="76" t="s">
        <v>64</v>
      </c>
      <c r="F53" s="76"/>
      <c r="G53" s="76" t="s">
        <v>1</v>
      </c>
      <c r="H53" s="74"/>
      <c r="I53" s="76" t="s">
        <v>1</v>
      </c>
    </row>
    <row r="54" spans="1:10" s="79" customFormat="1" ht="31.5" x14ac:dyDescent="0.25">
      <c r="A54" s="77"/>
      <c r="B54" s="78" t="s">
        <v>58</v>
      </c>
      <c r="C54" s="78" t="s">
        <v>59</v>
      </c>
      <c r="D54" s="78" t="s">
        <v>61</v>
      </c>
      <c r="E54" s="78" t="s">
        <v>65</v>
      </c>
      <c r="F54" s="78"/>
      <c r="G54" s="73" t="s">
        <v>87</v>
      </c>
      <c r="H54" s="73"/>
      <c r="I54" s="73" t="s">
        <v>66</v>
      </c>
    </row>
    <row r="55" spans="1:10" x14ac:dyDescent="0.25">
      <c r="A55" s="3"/>
      <c r="B55" s="3"/>
      <c r="C55" s="5"/>
      <c r="D55" s="5"/>
      <c r="E55" s="5"/>
      <c r="F55" s="5"/>
      <c r="G55" s="3"/>
      <c r="H55" s="3"/>
      <c r="I55" s="74"/>
      <c r="J55" s="3"/>
    </row>
    <row r="56" spans="1:10" x14ac:dyDescent="0.25">
      <c r="A56" s="3"/>
      <c r="B56" s="3"/>
      <c r="C56" s="3"/>
      <c r="D56" s="3"/>
      <c r="E56" s="3"/>
      <c r="F56" s="3"/>
      <c r="G56" s="3"/>
      <c r="H56" s="3"/>
      <c r="I56" s="74"/>
      <c r="J56" s="3"/>
    </row>
    <row r="57" spans="1:10" s="27" customFormat="1" ht="19.899999999999999" customHeight="1" x14ac:dyDescent="0.25">
      <c r="A57" s="82" t="s">
        <v>16</v>
      </c>
      <c r="B57" s="83"/>
      <c r="C57" s="83"/>
      <c r="D57" s="83"/>
      <c r="E57" s="83"/>
      <c r="F57" s="83"/>
      <c r="G57" s="83"/>
      <c r="H57" s="83"/>
      <c r="I57" s="80"/>
      <c r="J57" s="84"/>
    </row>
    <row r="58" spans="1:10" s="30" customFormat="1" ht="19.899999999999999" customHeight="1" x14ac:dyDescent="0.25">
      <c r="A58" s="85">
        <v>1</v>
      </c>
      <c r="B58" s="85" t="s">
        <v>68</v>
      </c>
      <c r="C58" s="85"/>
      <c r="D58" s="85"/>
      <c r="E58" s="85"/>
      <c r="F58" s="85"/>
      <c r="G58" s="85"/>
      <c r="H58" s="85"/>
      <c r="I58" s="85"/>
      <c r="J58" s="86"/>
    </row>
    <row r="59" spans="1:10" s="30" customFormat="1" ht="19.899999999999999" customHeight="1" x14ac:dyDescent="0.25">
      <c r="A59" s="85">
        <v>2</v>
      </c>
      <c r="B59" s="85" t="s">
        <v>69</v>
      </c>
      <c r="C59" s="85"/>
      <c r="D59" s="85"/>
      <c r="E59" s="85"/>
      <c r="F59" s="85"/>
      <c r="G59" s="85"/>
      <c r="H59" s="85"/>
      <c r="I59" s="85"/>
      <c r="J59" s="86"/>
    </row>
    <row r="60" spans="1:10" s="30" customFormat="1" ht="19.899999999999999" customHeight="1" x14ac:dyDescent="0.25">
      <c r="A60" s="85"/>
      <c r="B60" s="85" t="s">
        <v>25</v>
      </c>
      <c r="C60" s="85"/>
      <c r="D60" s="85"/>
      <c r="E60" s="85"/>
      <c r="F60" s="85"/>
      <c r="G60" s="85"/>
      <c r="H60" s="85"/>
      <c r="I60" s="85"/>
      <c r="J60" s="86"/>
    </row>
    <row r="61" spans="1:10" s="30" customFormat="1" ht="19.899999999999999" customHeight="1" x14ac:dyDescent="0.25">
      <c r="A61" s="85"/>
      <c r="B61" s="85" t="s">
        <v>71</v>
      </c>
      <c r="C61" s="85"/>
      <c r="D61" s="85"/>
      <c r="E61" s="85"/>
      <c r="F61" s="85"/>
      <c r="G61" s="85"/>
      <c r="H61" s="85"/>
      <c r="I61" s="85"/>
      <c r="J61" s="86"/>
    </row>
    <row r="62" spans="1:10" s="30" customFormat="1" ht="15" customHeight="1" x14ac:dyDescent="0.25">
      <c r="A62" s="85">
        <v>3</v>
      </c>
      <c r="B62" s="100" t="s">
        <v>84</v>
      </c>
      <c r="C62" s="100"/>
      <c r="D62" s="100"/>
      <c r="E62" s="100"/>
      <c r="F62" s="100"/>
      <c r="G62" s="100"/>
      <c r="H62" s="100"/>
      <c r="I62" s="100"/>
      <c r="J62" s="86"/>
    </row>
    <row r="63" spans="1:10" s="30" customFormat="1" ht="19.899999999999999" customHeight="1" x14ac:dyDescent="0.25">
      <c r="A63" s="85">
        <v>4</v>
      </c>
      <c r="B63" s="85" t="s">
        <v>67</v>
      </c>
      <c r="C63" s="85"/>
      <c r="D63" s="85"/>
      <c r="E63" s="85"/>
      <c r="F63" s="85"/>
      <c r="G63" s="85"/>
      <c r="H63" s="85"/>
      <c r="I63" s="85"/>
      <c r="J63" s="86"/>
    </row>
    <row r="64" spans="1:10" x14ac:dyDescent="0.25">
      <c r="A64" s="87">
        <v>5</v>
      </c>
      <c r="B64" s="100" t="s">
        <v>78</v>
      </c>
      <c r="C64" s="100"/>
      <c r="D64" s="100"/>
      <c r="E64" s="100"/>
      <c r="F64" s="100"/>
      <c r="G64" s="100"/>
      <c r="H64" s="100"/>
      <c r="I64" s="100"/>
      <c r="J64" s="3"/>
    </row>
    <row r="65" spans="1:10" x14ac:dyDescent="0.25">
      <c r="A65" s="83"/>
      <c r="B65" s="88" t="s">
        <v>72</v>
      </c>
      <c r="C65" s="104" t="s">
        <v>73</v>
      </c>
      <c r="D65" s="104"/>
      <c r="E65" s="104"/>
      <c r="F65" s="104"/>
      <c r="G65" s="104"/>
      <c r="H65" s="104"/>
      <c r="I65" s="104"/>
      <c r="J65" s="3"/>
    </row>
    <row r="66" spans="1:10" ht="34.9" customHeight="1" x14ac:dyDescent="0.25">
      <c r="A66" s="83"/>
      <c r="B66" s="89" t="s">
        <v>74</v>
      </c>
      <c r="C66" s="99" t="s">
        <v>80</v>
      </c>
      <c r="D66" s="99"/>
      <c r="E66" s="99"/>
      <c r="F66" s="99"/>
      <c r="G66" s="99"/>
      <c r="H66" s="99"/>
      <c r="I66" s="99"/>
      <c r="J66" s="3"/>
    </row>
    <row r="67" spans="1:10" x14ac:dyDescent="0.25">
      <c r="A67" s="83"/>
      <c r="B67" s="89" t="s">
        <v>76</v>
      </c>
      <c r="C67" s="99" t="s">
        <v>81</v>
      </c>
      <c r="D67" s="99"/>
      <c r="E67" s="99"/>
      <c r="F67" s="99"/>
      <c r="G67" s="99"/>
      <c r="H67" s="99"/>
      <c r="I67" s="99"/>
      <c r="J67" s="3"/>
    </row>
    <row r="68" spans="1:10" x14ac:dyDescent="0.25">
      <c r="A68" s="83"/>
      <c r="B68" s="89" t="s">
        <v>77</v>
      </c>
      <c r="C68" s="99" t="s">
        <v>88</v>
      </c>
      <c r="D68" s="99"/>
      <c r="E68" s="99"/>
      <c r="F68" s="99"/>
      <c r="G68" s="99"/>
      <c r="H68" s="99"/>
      <c r="I68" s="99"/>
      <c r="J68" s="3"/>
    </row>
    <row r="69" spans="1:10" ht="31.5" x14ac:dyDescent="0.25">
      <c r="A69" s="83"/>
      <c r="B69" s="89" t="s">
        <v>75</v>
      </c>
      <c r="C69" s="99" t="s">
        <v>82</v>
      </c>
      <c r="D69" s="99"/>
      <c r="E69" s="99"/>
      <c r="F69" s="99"/>
      <c r="G69" s="99"/>
      <c r="H69" s="99"/>
      <c r="I69" s="99"/>
      <c r="J69" s="3"/>
    </row>
    <row r="70" spans="1:10" x14ac:dyDescent="0.25">
      <c r="A70" s="83"/>
      <c r="B70" s="91"/>
      <c r="C70" s="90"/>
      <c r="D70" s="90"/>
      <c r="E70" s="90"/>
      <c r="F70" s="90"/>
      <c r="G70" s="90"/>
      <c r="H70" s="90"/>
      <c r="I70" s="90"/>
      <c r="J70" s="3"/>
    </row>
    <row r="71" spans="1:10" x14ac:dyDescent="0.25">
      <c r="A71" s="85">
        <v>6</v>
      </c>
      <c r="B71" s="100" t="s">
        <v>70</v>
      </c>
      <c r="C71" s="100"/>
      <c r="D71" s="100"/>
      <c r="E71" s="100"/>
      <c r="F71" s="100"/>
      <c r="G71" s="100"/>
      <c r="H71" s="83"/>
      <c r="I71" s="83"/>
      <c r="J71" s="3"/>
    </row>
    <row r="72" spans="1:10" x14ac:dyDescent="0.25">
      <c r="A72" s="83"/>
      <c r="B72" s="100"/>
      <c r="C72" s="100"/>
      <c r="D72" s="100"/>
      <c r="E72" s="100"/>
      <c r="F72" s="100"/>
      <c r="G72" s="100"/>
      <c r="H72" s="83"/>
      <c r="I72" s="83"/>
      <c r="J72" s="3"/>
    </row>
    <row r="73" spans="1:10" x14ac:dyDescent="0.25">
      <c r="B73" s="29"/>
    </row>
    <row r="74" spans="1:10" x14ac:dyDescent="0.25">
      <c r="B74" s="29"/>
    </row>
    <row r="75" spans="1:10" x14ac:dyDescent="0.25">
      <c r="A75" s="72"/>
      <c r="B75" s="72"/>
      <c r="C75" s="72"/>
      <c r="D75" s="72"/>
    </row>
    <row r="76" spans="1:10" x14ac:dyDescent="0.25">
      <c r="A76" s="72"/>
      <c r="B76" s="72"/>
      <c r="C76" s="72"/>
      <c r="D76" s="72"/>
    </row>
  </sheetData>
  <mergeCells count="15">
    <mergeCell ref="C68:I68"/>
    <mergeCell ref="C69:I69"/>
    <mergeCell ref="B71:G72"/>
    <mergeCell ref="B30:B36"/>
    <mergeCell ref="B37:B45"/>
    <mergeCell ref="B64:I64"/>
    <mergeCell ref="C66:I66"/>
    <mergeCell ref="C67:I67"/>
    <mergeCell ref="B62:I62"/>
    <mergeCell ref="C65:I65"/>
    <mergeCell ref="B10:B15"/>
    <mergeCell ref="C10:G15"/>
    <mergeCell ref="C44:D44"/>
    <mergeCell ref="B16:B21"/>
    <mergeCell ref="B22:B29"/>
  </mergeCells>
  <phoneticPr fontId="2" type="noConversion"/>
  <pageMargins left="0.75000000000000011" right="0.75000000000000011" top="1" bottom="1" header="0.5" footer="0.5"/>
  <pageSetup paperSize="9" scale="41" orientation="portrait" verticalDpi="4294967292" r:id="rId1"/>
  <headerFooter>
    <oddHeader xml:space="preserve">&amp;L&amp;"Calibri,Regular"&amp;K000000&amp;G&amp;R&amp;11&amp;K000000UCM/FR/FA/02 Rev 00
September 10, 2021
</oddHeader>
    <oddFooter>&amp;R&amp;"Calibri,Regular"&amp;K000000&amp;P of &amp;N</oddFooter>
  </headerFooter>
  <legacyDrawingHF r:id="rId2"/>
  <extLst>
    <ext xmlns:mx="http://schemas.microsoft.com/office/mac/excel/2008/main" uri="{64002731-A6B0-56B0-2670-7721B7C09600}">
      <mx:PLV Mode="0" OnePage="0" WScale="65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8"/>
  <sheetViews>
    <sheetView tabSelected="1" view="pageLayout" zoomScale="81" zoomScaleNormal="100" zoomScalePageLayoutView="81" workbookViewId="0">
      <selection activeCell="C57" sqref="C57"/>
    </sheetView>
  </sheetViews>
  <sheetFormatPr defaultColWidth="11.25" defaultRowHeight="15.75" x14ac:dyDescent="0.25"/>
  <cols>
    <col min="1" max="1" width="3.5" customWidth="1"/>
    <col min="2" max="2" width="16.625" customWidth="1"/>
    <col min="4" max="4" width="32.25" customWidth="1"/>
    <col min="5" max="5" width="20.5" customWidth="1"/>
    <col min="6" max="6" width="21.25" customWidth="1"/>
    <col min="8" max="8" width="3.25" customWidth="1"/>
    <col min="10" max="10" width="4.25" customWidth="1"/>
  </cols>
  <sheetData>
    <row r="1" spans="1:11" x14ac:dyDescent="0.25">
      <c r="A1" s="3"/>
      <c r="B1" s="3"/>
      <c r="C1" s="3"/>
      <c r="D1" s="3"/>
      <c r="E1" s="3"/>
      <c r="F1" s="3"/>
      <c r="G1" s="3"/>
      <c r="H1" s="3"/>
    </row>
    <row r="2" spans="1:11" x14ac:dyDescent="0.25">
      <c r="A2" s="3"/>
      <c r="B2" s="3"/>
      <c r="C2" s="3"/>
      <c r="D2" s="3"/>
      <c r="E2" s="3"/>
      <c r="F2" s="3"/>
      <c r="G2" s="3"/>
      <c r="H2" s="3"/>
    </row>
    <row r="3" spans="1:11" ht="30" x14ac:dyDescent="0.4">
      <c r="A3" s="3"/>
      <c r="B3" s="19" t="s">
        <v>41</v>
      </c>
      <c r="C3" s="2"/>
      <c r="D3" s="2"/>
      <c r="E3" s="2"/>
      <c r="F3" s="2"/>
      <c r="G3" s="2"/>
      <c r="H3" s="3"/>
      <c r="I3" s="1"/>
    </row>
    <row r="4" spans="1:11" x14ac:dyDescent="0.25">
      <c r="A4" s="3"/>
      <c r="B4" s="2"/>
      <c r="C4" s="2"/>
      <c r="D4" s="2"/>
      <c r="E4" s="2"/>
      <c r="F4" s="2"/>
      <c r="G4" s="2"/>
      <c r="H4" s="3"/>
      <c r="I4" s="1"/>
    </row>
    <row r="5" spans="1:11" x14ac:dyDescent="0.25">
      <c r="A5" s="3"/>
      <c r="B5" s="32" t="s">
        <v>23</v>
      </c>
      <c r="C5" s="2" t="s">
        <v>24</v>
      </c>
      <c r="D5" s="2"/>
      <c r="E5" s="2"/>
      <c r="F5" s="4"/>
      <c r="G5" s="2"/>
      <c r="H5" s="3"/>
    </row>
    <row r="6" spans="1:11" x14ac:dyDescent="0.25">
      <c r="A6" s="3"/>
      <c r="B6" s="14" t="s">
        <v>18</v>
      </c>
      <c r="C6" s="33" t="str">
        <f>'Proposal Event'!C6:C8</f>
        <v>: XXX/UCM-DEPT/PPA/MM/YYYY, contoh: 002/UCM-PM/PPA/IX/2021</v>
      </c>
      <c r="D6" s="33"/>
      <c r="E6" s="33"/>
      <c r="G6" s="2"/>
      <c r="H6" s="3"/>
      <c r="K6" s="35" t="s">
        <v>37</v>
      </c>
    </row>
    <row r="7" spans="1:11" x14ac:dyDescent="0.25">
      <c r="A7" s="3"/>
      <c r="B7" s="14" t="s">
        <v>4</v>
      </c>
      <c r="C7" s="33" t="str">
        <f>'Proposal Event'!C7</f>
        <v>:…..</v>
      </c>
      <c r="D7" s="33"/>
      <c r="E7" s="34"/>
      <c r="F7" s="2"/>
      <c r="G7" s="2"/>
      <c r="H7" s="3"/>
    </row>
    <row r="8" spans="1:11" x14ac:dyDescent="0.25">
      <c r="A8" s="3"/>
      <c r="B8" s="14" t="s">
        <v>17</v>
      </c>
      <c r="C8" s="33" t="str">
        <f>'Proposal Event'!C8</f>
        <v>:…..</v>
      </c>
      <c r="D8" s="33"/>
      <c r="E8" s="34"/>
      <c r="F8" s="2"/>
      <c r="G8" s="2"/>
      <c r="H8" s="3"/>
    </row>
    <row r="9" spans="1:11" x14ac:dyDescent="0.25">
      <c r="A9" s="3"/>
      <c r="B9" s="14"/>
      <c r="C9" s="2"/>
      <c r="D9" s="2"/>
      <c r="E9" s="5"/>
      <c r="F9" s="2"/>
      <c r="G9" s="2"/>
      <c r="H9" s="3"/>
    </row>
    <row r="10" spans="1:11" x14ac:dyDescent="0.25">
      <c r="A10" s="3"/>
      <c r="B10" s="2"/>
      <c r="C10" s="2"/>
      <c r="D10" s="2"/>
      <c r="E10" s="2"/>
      <c r="F10" s="2"/>
      <c r="G10" s="2"/>
      <c r="H10" s="3"/>
    </row>
    <row r="11" spans="1:11" ht="19.899999999999999" customHeight="1" x14ac:dyDescent="0.25">
      <c r="A11" s="3"/>
      <c r="B11" s="108" t="s">
        <v>19</v>
      </c>
      <c r="C11" s="11"/>
      <c r="D11" s="12"/>
      <c r="E11" s="6"/>
      <c r="F11" s="6"/>
      <c r="G11" s="7"/>
      <c r="H11" s="3"/>
    </row>
    <row r="12" spans="1:11" ht="19.899999999999999" customHeight="1" x14ac:dyDescent="0.25">
      <c r="A12" s="3"/>
      <c r="B12" s="109"/>
      <c r="C12" s="24"/>
      <c r="D12" s="23"/>
      <c r="E12" s="54">
        <v>90000000</v>
      </c>
      <c r="F12" s="2"/>
      <c r="G12" s="8"/>
      <c r="H12" s="3"/>
    </row>
    <row r="13" spans="1:11" ht="19.899999999999999" customHeight="1" x14ac:dyDescent="0.25">
      <c r="A13" s="3"/>
      <c r="B13" s="109"/>
      <c r="C13" s="21"/>
      <c r="D13" s="13"/>
      <c r="E13" s="22"/>
      <c r="F13" s="2"/>
      <c r="G13" s="8"/>
      <c r="H13" s="3"/>
    </row>
    <row r="14" spans="1:11" ht="19.899999999999999" customHeight="1" x14ac:dyDescent="0.25">
      <c r="A14" s="3"/>
      <c r="B14" s="108" t="s">
        <v>29</v>
      </c>
      <c r="C14" s="15"/>
      <c r="D14" s="16"/>
      <c r="E14" s="17"/>
      <c r="F14" s="6"/>
      <c r="G14" s="7"/>
      <c r="H14" s="3"/>
    </row>
    <row r="15" spans="1:11" s="31" customFormat="1" ht="19.899999999999999" customHeight="1" x14ac:dyDescent="0.25">
      <c r="A15" s="36"/>
      <c r="B15" s="109"/>
      <c r="C15" s="51" t="s">
        <v>14</v>
      </c>
      <c r="D15" s="51" t="s">
        <v>12</v>
      </c>
      <c r="E15" s="51" t="s">
        <v>30</v>
      </c>
      <c r="F15" s="51" t="s">
        <v>31</v>
      </c>
      <c r="G15" s="46"/>
      <c r="H15" s="36"/>
    </row>
    <row r="16" spans="1:11" s="31" customFormat="1" ht="19.899999999999999" customHeight="1" x14ac:dyDescent="0.25">
      <c r="A16" s="36"/>
      <c r="B16" s="109"/>
      <c r="C16" s="52">
        <v>1</v>
      </c>
      <c r="D16" s="53" t="s">
        <v>32</v>
      </c>
      <c r="E16" s="54">
        <v>50000000</v>
      </c>
      <c r="F16" s="54"/>
      <c r="G16" s="46"/>
      <c r="H16" s="36"/>
      <c r="K16" s="63" t="s">
        <v>52</v>
      </c>
    </row>
    <row r="17" spans="1:13" s="31" customFormat="1" ht="19.899999999999999" customHeight="1" x14ac:dyDescent="0.25">
      <c r="A17" s="36"/>
      <c r="B17" s="109"/>
      <c r="C17" s="52"/>
      <c r="D17" s="53"/>
      <c r="E17" s="54"/>
      <c r="F17" s="54">
        <v>50000000</v>
      </c>
      <c r="G17" s="46"/>
      <c r="H17" s="36"/>
    </row>
    <row r="18" spans="1:13" s="31" customFormat="1" ht="19.899999999999999" customHeight="1" x14ac:dyDescent="0.25">
      <c r="A18" s="36"/>
      <c r="B18" s="109"/>
      <c r="C18" s="52"/>
      <c r="D18" s="53" t="s">
        <v>33</v>
      </c>
      <c r="E18" s="54"/>
      <c r="F18" s="54">
        <v>1500000</v>
      </c>
      <c r="G18" s="46"/>
      <c r="H18" s="36"/>
    </row>
    <row r="19" spans="1:13" s="31" customFormat="1" ht="19.899999999999999" customHeight="1" x14ac:dyDescent="0.25">
      <c r="A19" s="36"/>
      <c r="B19" s="109"/>
      <c r="C19" s="52"/>
      <c r="D19" s="53" t="s">
        <v>34</v>
      </c>
      <c r="E19" s="54"/>
      <c r="F19" s="54">
        <v>1000000</v>
      </c>
      <c r="G19" s="46"/>
      <c r="H19" s="36"/>
    </row>
    <row r="20" spans="1:13" s="31" customFormat="1" ht="19.899999999999999" customHeight="1" x14ac:dyDescent="0.25">
      <c r="A20" s="36"/>
      <c r="B20" s="109"/>
      <c r="C20" s="52"/>
      <c r="D20" s="53"/>
      <c r="E20" s="54"/>
      <c r="F20" s="54">
        <v>500000</v>
      </c>
      <c r="G20" s="46"/>
      <c r="H20" s="36"/>
    </row>
    <row r="21" spans="1:13" s="31" customFormat="1" ht="19.899999999999999" customHeight="1" x14ac:dyDescent="0.25">
      <c r="A21" s="36"/>
      <c r="B21" s="109"/>
      <c r="C21" s="52">
        <v>2</v>
      </c>
      <c r="D21" s="53" t="s">
        <v>35</v>
      </c>
      <c r="E21" s="54">
        <v>40000000</v>
      </c>
      <c r="F21" s="54"/>
      <c r="G21" s="46"/>
      <c r="H21" s="36"/>
    </row>
    <row r="22" spans="1:13" s="31" customFormat="1" ht="19.899999999999999" customHeight="1" x14ac:dyDescent="0.25">
      <c r="A22" s="36"/>
      <c r="B22" s="109"/>
      <c r="C22" s="52"/>
      <c r="D22" s="53"/>
      <c r="E22" s="54"/>
      <c r="F22" s="54">
        <v>27000000</v>
      </c>
      <c r="G22" s="46"/>
      <c r="H22" s="36"/>
    </row>
    <row r="23" spans="1:13" s="31" customFormat="1" ht="19.899999999999999" customHeight="1" x14ac:dyDescent="0.25">
      <c r="A23" s="36"/>
      <c r="B23" s="109"/>
      <c r="C23" s="52"/>
      <c r="D23" s="53"/>
      <c r="E23" s="54"/>
      <c r="F23" s="54">
        <v>1500000</v>
      </c>
      <c r="G23" s="46"/>
      <c r="H23" s="36"/>
    </row>
    <row r="24" spans="1:13" s="31" customFormat="1" ht="19.899999999999999" customHeight="1" x14ac:dyDescent="0.25">
      <c r="A24" s="36"/>
      <c r="B24" s="109"/>
      <c r="C24" s="52"/>
      <c r="D24" s="53"/>
      <c r="E24" s="54"/>
      <c r="F24" s="54">
        <v>8000000</v>
      </c>
      <c r="G24" s="46"/>
      <c r="H24" s="36"/>
      <c r="L24" s="71"/>
      <c r="M24" s="71"/>
    </row>
    <row r="25" spans="1:13" s="31" customFormat="1" ht="19.899999999999999" customHeight="1" x14ac:dyDescent="0.25">
      <c r="A25" s="36"/>
      <c r="B25" s="109"/>
      <c r="C25" s="52"/>
      <c r="D25" s="53" t="s">
        <v>36</v>
      </c>
      <c r="E25" s="54"/>
      <c r="F25" s="54">
        <v>1000000</v>
      </c>
      <c r="G25" s="46"/>
      <c r="H25" s="36"/>
      <c r="L25" s="71"/>
      <c r="M25"/>
    </row>
    <row r="26" spans="1:13" s="31" customFormat="1" ht="19.899999999999999" customHeight="1" x14ac:dyDescent="0.25">
      <c r="A26" s="36"/>
      <c r="B26" s="109"/>
      <c r="C26" s="58"/>
      <c r="D26" s="53"/>
      <c r="E26" s="54"/>
      <c r="F26" s="54"/>
      <c r="G26" s="46"/>
      <c r="H26" s="36"/>
    </row>
    <row r="27" spans="1:13" s="31" customFormat="1" ht="19.899999999999999" customHeight="1" x14ac:dyDescent="0.25">
      <c r="A27" s="36"/>
      <c r="B27" s="109"/>
      <c r="C27" s="111" t="s">
        <v>13</v>
      </c>
      <c r="D27" s="112"/>
      <c r="E27" s="61">
        <f>SUM(E16:E26)</f>
        <v>90000000</v>
      </c>
      <c r="F27" s="61">
        <f>SUM(F16:F26)</f>
        <v>90500000</v>
      </c>
      <c r="G27" s="46"/>
      <c r="H27" s="36"/>
    </row>
    <row r="28" spans="1:13" ht="19.899999999999999" customHeight="1" x14ac:dyDescent="0.25">
      <c r="A28" s="3"/>
      <c r="B28" s="110"/>
      <c r="C28" s="18"/>
      <c r="D28" s="9"/>
      <c r="E28" s="9"/>
      <c r="F28" s="9"/>
      <c r="G28" s="10"/>
      <c r="H28" s="3"/>
    </row>
    <row r="29" spans="1:13" ht="19.899999999999999" customHeight="1" x14ac:dyDescent="0.25">
      <c r="A29" s="3"/>
      <c r="B29" s="113" t="s">
        <v>20</v>
      </c>
      <c r="C29" s="11"/>
      <c r="D29" s="12"/>
      <c r="E29" s="6"/>
      <c r="F29" s="6"/>
      <c r="G29" s="7"/>
      <c r="H29" s="3"/>
    </row>
    <row r="30" spans="1:13" ht="19.899999999999999" customHeight="1" x14ac:dyDescent="0.25">
      <c r="A30" s="3"/>
      <c r="B30" s="114"/>
      <c r="C30" s="25"/>
      <c r="D30" s="62" t="s">
        <v>20</v>
      </c>
      <c r="E30" s="106">
        <f>E27-F27</f>
        <v>-500000</v>
      </c>
      <c r="F30" s="106"/>
      <c r="G30" s="8"/>
      <c r="H30" s="3"/>
    </row>
    <row r="31" spans="1:13" ht="19.899999999999999" customHeight="1" x14ac:dyDescent="0.25">
      <c r="A31" s="3"/>
      <c r="B31" s="114"/>
      <c r="C31" s="24"/>
      <c r="D31" s="26"/>
      <c r="E31" s="107" t="str">
        <f>IF(E30&gt;0,"Bayar ke Perusahaan",IF(E30=0,"Nilai telah Sesuai", "Bayar ke Karyawan"))</f>
        <v>Bayar ke Karyawan</v>
      </c>
      <c r="F31" s="107"/>
      <c r="G31" s="8"/>
      <c r="H31" s="3"/>
    </row>
    <row r="32" spans="1:13" ht="19.899999999999999" customHeight="1" x14ac:dyDescent="0.25">
      <c r="A32" s="3"/>
      <c r="B32" s="115"/>
      <c r="C32" s="21"/>
      <c r="D32" s="13"/>
      <c r="E32" s="22"/>
      <c r="F32" s="9"/>
      <c r="G32" s="10"/>
      <c r="H32" s="3"/>
    </row>
    <row r="33" spans="1:12" x14ac:dyDescent="0.25">
      <c r="A33" s="3"/>
      <c r="B33" s="2"/>
      <c r="C33" s="2"/>
      <c r="D33" s="2"/>
      <c r="E33" s="2"/>
      <c r="F33" s="2"/>
      <c r="G33" s="2"/>
      <c r="H33" s="3"/>
    </row>
    <row r="34" spans="1:12" x14ac:dyDescent="0.25">
      <c r="A34" s="3"/>
      <c r="B34" s="2"/>
      <c r="C34" s="2"/>
      <c r="D34" s="2"/>
      <c r="E34" s="2"/>
      <c r="F34" s="2"/>
      <c r="G34" s="2"/>
      <c r="H34" s="3"/>
    </row>
    <row r="35" spans="1:12" x14ac:dyDescent="0.25">
      <c r="A35" s="3"/>
      <c r="B35" s="3" t="s">
        <v>79</v>
      </c>
      <c r="C35" s="3"/>
      <c r="D35" s="3"/>
      <c r="E35" s="3"/>
      <c r="F35" s="3"/>
      <c r="G35" s="3"/>
      <c r="H35" s="3"/>
    </row>
    <row r="36" spans="1:12" x14ac:dyDescent="0.25">
      <c r="A36" s="3"/>
      <c r="B36" s="5" t="s">
        <v>0</v>
      </c>
      <c r="C36" s="5"/>
      <c r="D36" s="5"/>
      <c r="E36" s="5" t="s">
        <v>3</v>
      </c>
      <c r="F36" s="5"/>
      <c r="G36" s="3"/>
      <c r="H36" s="3"/>
    </row>
    <row r="37" spans="1:12" x14ac:dyDescent="0.25">
      <c r="A37" s="3"/>
      <c r="B37" s="5"/>
      <c r="C37" s="5"/>
      <c r="D37" s="5"/>
      <c r="E37" s="5"/>
      <c r="F37" s="5"/>
      <c r="G37" s="3"/>
      <c r="H37" s="3"/>
    </row>
    <row r="38" spans="1:12" x14ac:dyDescent="0.25">
      <c r="A38" s="3"/>
      <c r="B38" s="5"/>
      <c r="C38" s="5"/>
      <c r="D38" s="5"/>
      <c r="E38" s="5"/>
      <c r="F38" s="5"/>
      <c r="G38" s="3"/>
      <c r="H38" s="3"/>
      <c r="L38" s="69"/>
    </row>
    <row r="39" spans="1:12" x14ac:dyDescent="0.25">
      <c r="A39" s="3"/>
      <c r="B39" s="5"/>
      <c r="C39" s="5"/>
      <c r="D39" s="5"/>
      <c r="E39" s="5"/>
      <c r="F39" s="5"/>
      <c r="G39" s="3"/>
      <c r="H39" s="3"/>
      <c r="L39" s="70"/>
    </row>
    <row r="40" spans="1:12" x14ac:dyDescent="0.25">
      <c r="A40" s="3"/>
      <c r="B40" s="5" t="s">
        <v>1</v>
      </c>
      <c r="C40" s="5"/>
      <c r="D40" s="5"/>
      <c r="E40" s="5" t="s">
        <v>1</v>
      </c>
      <c r="F40" s="5" t="s">
        <v>1</v>
      </c>
      <c r="G40" s="3"/>
      <c r="H40" s="3"/>
      <c r="L40" s="70"/>
    </row>
    <row r="41" spans="1:12" x14ac:dyDescent="0.25">
      <c r="A41" s="3"/>
      <c r="B41" s="5" t="s">
        <v>2</v>
      </c>
      <c r="C41" s="5"/>
      <c r="D41" s="5"/>
      <c r="E41" s="5" t="s">
        <v>54</v>
      </c>
      <c r="F41" s="5" t="s">
        <v>55</v>
      </c>
      <c r="G41" s="3"/>
      <c r="H41" s="3"/>
    </row>
    <row r="42" spans="1:12" x14ac:dyDescent="0.25">
      <c r="A42" s="3"/>
      <c r="B42" s="3"/>
      <c r="C42" s="5"/>
      <c r="D42" s="5"/>
      <c r="F42" s="5"/>
      <c r="G42" s="3"/>
      <c r="H42" s="3"/>
    </row>
    <row r="43" spans="1:12" x14ac:dyDescent="0.25">
      <c r="C43" s="3"/>
      <c r="D43" s="3"/>
      <c r="E43" s="3"/>
      <c r="F43" s="3"/>
      <c r="G43" s="3"/>
      <c r="H43" s="3"/>
    </row>
    <row r="45" spans="1:12" s="27" customFormat="1" ht="19.899999999999999" customHeight="1" x14ac:dyDescent="0.25">
      <c r="A45" s="28" t="s">
        <v>16</v>
      </c>
    </row>
    <row r="46" spans="1:12" s="30" customFormat="1" ht="19.899999999999999" customHeight="1" x14ac:dyDescent="0.25">
      <c r="A46" s="29">
        <v>1</v>
      </c>
      <c r="B46" s="29" t="s">
        <v>22</v>
      </c>
    </row>
    <row r="47" spans="1:12" s="30" customFormat="1" ht="19.899999999999999" customHeight="1" x14ac:dyDescent="0.25">
      <c r="A47" s="29">
        <v>2</v>
      </c>
      <c r="B47" s="29" t="s">
        <v>53</v>
      </c>
    </row>
    <row r="48" spans="1:12" s="30" customFormat="1" ht="19.899999999999999" customHeight="1" x14ac:dyDescent="0.25">
      <c r="A48" s="29">
        <v>3</v>
      </c>
      <c r="B48" s="29" t="s">
        <v>83</v>
      </c>
    </row>
    <row r="49" spans="1:7" s="30" customFormat="1" ht="19.899999999999999" customHeight="1" x14ac:dyDescent="0.25">
      <c r="A49" s="29">
        <v>4</v>
      </c>
      <c r="B49" s="29" t="s">
        <v>56</v>
      </c>
    </row>
    <row r="50" spans="1:7" s="30" customFormat="1" ht="19.899999999999999" customHeight="1" x14ac:dyDescent="0.25">
      <c r="A50" s="29"/>
      <c r="B50" s="29" t="s">
        <v>57</v>
      </c>
    </row>
    <row r="51" spans="1:7" s="30" customFormat="1" ht="19.899999999999999" customHeight="1" x14ac:dyDescent="0.25">
      <c r="A51" s="29"/>
      <c r="B51" s="67"/>
    </row>
    <row r="52" spans="1:7" s="30" customFormat="1" ht="19.899999999999999" customHeight="1" x14ac:dyDescent="0.25">
      <c r="A52" s="29"/>
      <c r="B52" s="105"/>
      <c r="C52" s="105"/>
      <c r="D52" s="105"/>
    </row>
    <row r="53" spans="1:7" s="30" customFormat="1" ht="19.899999999999999" customHeight="1" x14ac:dyDescent="0.25">
      <c r="A53" s="29"/>
      <c r="B53" s="105"/>
      <c r="C53" s="105"/>
      <c r="D53" s="105"/>
    </row>
    <row r="54" spans="1:7" s="30" customFormat="1" ht="19.899999999999999" customHeight="1" x14ac:dyDescent="0.25">
      <c r="A54" s="29"/>
      <c r="B54" s="67"/>
    </row>
    <row r="55" spans="1:7" s="30" customFormat="1" ht="19.899999999999999" customHeight="1" x14ac:dyDescent="0.25">
      <c r="A55" s="29"/>
      <c r="B55" s="67"/>
    </row>
    <row r="56" spans="1:7" s="31" customFormat="1" ht="19.899999999999999" customHeight="1" x14ac:dyDescent="0.25">
      <c r="B56" s="68"/>
      <c r="C56" s="68"/>
      <c r="D56" s="68"/>
      <c r="E56" s="68"/>
      <c r="F56" s="68"/>
      <c r="G56" s="68"/>
    </row>
    <row r="57" spans="1:7" x14ac:dyDescent="0.25">
      <c r="B57" s="20"/>
    </row>
    <row r="58" spans="1:7" x14ac:dyDescent="0.25">
      <c r="B58" s="20"/>
    </row>
  </sheetData>
  <mergeCells count="8">
    <mergeCell ref="B52:D52"/>
    <mergeCell ref="B53:D53"/>
    <mergeCell ref="E30:F30"/>
    <mergeCell ref="E31:F31"/>
    <mergeCell ref="B11:B13"/>
    <mergeCell ref="B14:B28"/>
    <mergeCell ref="C27:D27"/>
    <mergeCell ref="B29:B32"/>
  </mergeCells>
  <phoneticPr fontId="2" type="noConversion"/>
  <pageMargins left="0.95000000000000007" right="0.75000000000000011" top="1" bottom="1" header="0.5" footer="0.5"/>
  <pageSetup paperSize="9" scale="45" orientation="portrait" verticalDpi="4294967292" r:id="rId1"/>
  <headerFooter>
    <oddHeader>&amp;L&amp;G&amp;R&amp;11&amp;K000000UCM/FR/FA/02 Rev 00
September 10, 2021</oddHeader>
    <oddFooter>&amp;R&amp;"Calibri,Regular"&amp;K000000&amp;P of &amp;N</oddFooter>
  </headerFooter>
  <colBreaks count="1" manualBreakCount="1">
    <brk id="9" max="1048575" man="1"/>
  </colBreaks>
  <legacyDrawingHF r:id="rId2"/>
  <extLst>
    <ext xmlns:mx="http://schemas.microsoft.com/office/mac/excel/2008/main" uri="{64002731-A6B0-56B0-2670-7721B7C09600}">
      <mx:PLV Mode="0" OnePage="0" WScale="65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Proposal Event</vt:lpstr>
      <vt:lpstr>PJK Event Kompilasi</vt:lpstr>
      <vt:lpstr>'PJK Event Kompilasi'!Print_Area</vt:lpstr>
      <vt:lpstr>'Proposal Event'!Print_Area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 Rosita</dc:creator>
  <cp:lastModifiedBy>Netha Eliana Calysta</cp:lastModifiedBy>
  <cp:lastPrinted>2021-09-10T09:21:35Z</cp:lastPrinted>
  <dcterms:created xsi:type="dcterms:W3CDTF">2014-08-25T02:14:32Z</dcterms:created>
  <dcterms:modified xsi:type="dcterms:W3CDTF">2023-08-18T06:38:07Z</dcterms:modified>
</cp:coreProperties>
</file>