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11"/>
  <workbookPr/>
  <mc:AlternateContent xmlns:mc="http://schemas.openxmlformats.org/markup-compatibility/2006">
    <mc:Choice Requires="x15">
      <x15ac:absPath xmlns:x15ac="http://schemas.microsoft.com/office/spreadsheetml/2010/11/ac" url="C:\Users\Netha Eliana Calysta\Downloads\"/>
    </mc:Choice>
  </mc:AlternateContent>
  <xr:revisionPtr revIDLastSave="0" documentId="13_ncr:1_{F841A37A-8EBD-47E8-9F34-2F9CC10F551D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Concept" sheetId="8" r:id="rId1"/>
    <sheet name="Rubrik PA Dept-Blank" sheetId="9" r:id="rId2"/>
    <sheet name="Contoh Rubrik PA Dept" sheetId="2" r:id="rId3"/>
    <sheet name="ICT" sheetId="10" state="hidden" r:id="rId4"/>
    <sheet name="HCM" sheetId="11" state="hidden" r:id="rId5"/>
    <sheet name="MNA" sheetId="12" state="hidden" r:id="rId6"/>
    <sheet name="LIB" sheetId="13" state="hidden" r:id="rId7"/>
    <sheet name="FA" sheetId="14" state="hidden" r:id="rId8"/>
    <sheet name="PM" sheetId="15" state="hidden" r:id="rId9"/>
    <sheet name="APS" sheetId="4" state="hidden" r:id="rId10"/>
    <sheet name="PA DEPT Prodi" sheetId="5" state="hidden" r:id="rId11"/>
    <sheet name="Score PA Dept Prodi" sheetId="6" state="hidden" r:id="rId12"/>
  </sheets>
  <definedNames>
    <definedName name="_xlnm._FilterDatabase" localSheetId="7" hidden="1">FA!$B$3:$D$3</definedName>
    <definedName name="_xlnm._FilterDatabase" localSheetId="3" hidden="1">ICT!$B$3:$E$3</definedName>
    <definedName name="_xlnm._FilterDatabase" localSheetId="6" hidden="1">LIB!$B$3:$D$3</definedName>
    <definedName name="_xlnm._FilterDatabase" localSheetId="5" hidden="1">MNA!$C$3:$F$3</definedName>
    <definedName name="_xlnm.Print_Area" localSheetId="7">FA!$B$3:$D$6</definedName>
    <definedName name="_xlnm.Print_Titles" localSheetId="1">'Rubrik PA Dept-Blank'!$7:$8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5" i="8" l="1"/>
  <c r="E17" i="15" l="1"/>
  <c r="C17" i="15"/>
  <c r="D17" i="14"/>
  <c r="C17" i="14"/>
  <c r="F6" i="14"/>
  <c r="E6" i="14"/>
  <c r="D17" i="13"/>
  <c r="C17" i="13"/>
  <c r="D21" i="11"/>
  <c r="C21" i="11"/>
  <c r="E18" i="10"/>
  <c r="C18" i="10"/>
  <c r="C9" i="10"/>
  <c r="F17" i="9"/>
  <c r="F26" i="2"/>
  <c r="D29" i="6"/>
  <c r="G27" i="5"/>
  <c r="D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H27" i="5"/>
  <c r="H28" i="5" s="1"/>
  <c r="H29" i="5" l="1"/>
</calcChain>
</file>

<file path=xl/sharedStrings.xml><?xml version="1.0" encoding="utf-8"?>
<sst xmlns="http://schemas.openxmlformats.org/spreadsheetml/2006/main" count="736" uniqueCount="449">
  <si>
    <t>RUBRIK PA DEPARTEMEN</t>
  </si>
  <si>
    <t>DEPARTMENT</t>
  </si>
  <si>
    <t>Note: teks biru untuk diedit</t>
  </si>
  <si>
    <t>PERIOD</t>
  </si>
  <si>
    <t>: Masukkan tahun akademik</t>
  </si>
  <si>
    <t>:</t>
  </si>
  <si>
    <t>REVISION</t>
  </si>
  <si>
    <t>: Nomor revisi, mulai dari 1.0, 2.0 dst. 1.0 untuk pertama kali terbit, 1.1 jika ada revisi rubrik tahun akademik yg sama</t>
  </si>
  <si>
    <t>No</t>
  </si>
  <si>
    <t>Perspective</t>
  </si>
  <si>
    <t>Criteria</t>
  </si>
  <si>
    <t>Criteria Weight</t>
  </si>
  <si>
    <t>Measurement</t>
  </si>
  <si>
    <t>Target</t>
  </si>
  <si>
    <t>Score</t>
  </si>
  <si>
    <t>A</t>
  </si>
  <si>
    <t>Financial</t>
  </si>
  <si>
    <t>Rasio Serapan Anggaran</t>
  </si>
  <si>
    <t>&lt; 25% atau melebihi anggaran &gt; 25%</t>
  </si>
  <si>
    <t>&gt; 75% s.d 100%</t>
  </si>
  <si>
    <t>B</t>
  </si>
  <si>
    <t>Customer</t>
  </si>
  <si>
    <t>Evaluasi perkuliahan prodi</t>
  </si>
  <si>
    <t>Rata-rata hasil evaluasi perkuliahan - Couses Survey</t>
  </si>
  <si>
    <t>Rata-rata tingkat kepuasan layanan departemen</t>
  </si>
  <si>
    <t>Evaluasi perkuliahan Enterpreneurship</t>
  </si>
  <si>
    <t>Prestasi Mahasiswa</t>
  </si>
  <si>
    <t>Penghargaan atas prestasi mahasiswa di bidang nalar, bakat, minat, &amp; entrepreneurship</t>
  </si>
  <si>
    <t>C</t>
  </si>
  <si>
    <t>Internal Process</t>
  </si>
  <si>
    <t>Masa Studi Mahasiswa</t>
  </si>
  <si>
    <t>Rata-rata masa studi mahasiswa per tahun lulusan</t>
  </si>
  <si>
    <t>Partisipasi alumni</t>
  </si>
  <si>
    <t>Jumlah bentuk partisipasi alumni</t>
  </si>
  <si>
    <t>D</t>
  </si>
  <si>
    <t>Learning &amp; Growth</t>
  </si>
  <si>
    <t>Pengembangan profesionalisme</t>
  </si>
  <si>
    <t>Beban Kerja Dosen</t>
  </si>
  <si>
    <t>Rata-rata Beban Kerja Dosen</t>
  </si>
  <si>
    <t>Rata-rata 16 sks</t>
  </si>
  <si>
    <t>Penelitian</t>
  </si>
  <si>
    <t>Publikasi</t>
  </si>
  <si>
    <t>Pengabdian Masyarakat</t>
  </si>
  <si>
    <t>Total</t>
  </si>
  <si>
    <t>Place, Date</t>
  </si>
  <si>
    <t>Sertifikasi Profesional Dosen</t>
  </si>
  <si>
    <t>Prepared by,</t>
  </si>
  <si>
    <t>Approved by,</t>
  </si>
  <si>
    <t>Name</t>
  </si>
  <si>
    <t>DESKRIPTOR</t>
  </si>
  <si>
    <r>
      <t>4.3.3  Rata-rata beban dosen per semester, atau rata-rata FTE (</t>
    </r>
    <r>
      <rPr>
        <i/>
        <sz val="10"/>
        <color rgb="FF000000"/>
        <rFont val="Arial"/>
        <family val="2"/>
      </rPr>
      <t>Fulltime Teaching Equivalent</t>
    </r>
    <r>
      <rPr>
        <sz val="10"/>
        <color rgb="FF000000"/>
        <rFont val="Arial"/>
        <family val="2"/>
      </rPr>
      <t xml:space="preserve">)  </t>
    </r>
  </si>
  <si>
    <r>
      <t>Jika 11 ≤ R</t>
    </r>
    <r>
      <rPr>
        <sz val="10"/>
        <color rgb="FF000000"/>
        <rFont val="Arial"/>
        <family val="2"/>
      </rPr>
      <t xml:space="preserve">FTE </t>
    </r>
    <r>
      <rPr>
        <sz val="10"/>
        <color rgb="FF000000"/>
        <rFont val="Arial"/>
        <family val="2"/>
      </rPr>
      <t>≤  13 sks, maka skor = 4.</t>
    </r>
  </si>
  <si>
    <r>
      <t>Jika 5 &lt; R</t>
    </r>
    <r>
      <rPr>
        <sz val="10"/>
        <color rgb="FF000000"/>
        <rFont val="Arial"/>
        <family val="2"/>
      </rPr>
      <t xml:space="preserve">FTE </t>
    </r>
    <r>
      <rPr>
        <sz val="10"/>
        <color rgb="FF000000"/>
        <rFont val="Arial"/>
        <family val="2"/>
      </rPr>
      <t xml:space="preserve">&lt; 11 sks, maka </t>
    </r>
  </si>
  <si>
    <r>
      <t>Jika R</t>
    </r>
    <r>
      <rPr>
        <sz val="10"/>
        <color rgb="FF000000"/>
        <rFont val="Arial"/>
        <family val="2"/>
      </rPr>
      <t xml:space="preserve">FTE </t>
    </r>
    <r>
      <rPr>
        <sz val="10"/>
        <color rgb="FF000000"/>
        <rFont val="Arial"/>
        <family val="2"/>
      </rPr>
      <t>≤  5 sks, atau R</t>
    </r>
    <r>
      <rPr>
        <sz val="10"/>
        <color rgb="FF000000"/>
        <rFont val="Arial"/>
        <family val="2"/>
      </rPr>
      <t xml:space="preserve">FTE </t>
    </r>
    <r>
      <rPr>
        <sz val="10"/>
        <color rgb="FF000000"/>
        <rFont val="Arial"/>
        <family val="2"/>
      </rPr>
      <t>≥ 21 maka skor = 1.</t>
    </r>
  </si>
  <si>
    <r>
      <t>skor = (R</t>
    </r>
    <r>
      <rPr>
        <sz val="10"/>
        <color rgb="FF000000"/>
        <rFont val="Arial"/>
        <family val="2"/>
      </rPr>
      <t xml:space="preserve">FTE </t>
    </r>
    <r>
      <rPr>
        <sz val="10"/>
        <color rgb="FF000000"/>
        <rFont val="Arial"/>
        <family val="2"/>
      </rPr>
      <t>– 3) / 2.</t>
    </r>
  </si>
  <si>
    <r>
      <t>R</t>
    </r>
    <r>
      <rPr>
        <sz val="10"/>
        <color rgb="FF000000"/>
        <rFont val="Arial"/>
        <family val="2"/>
      </rPr>
      <t>FTE</t>
    </r>
    <r>
      <rPr>
        <sz val="10"/>
        <color rgb="FF000000"/>
        <rFont val="Arial"/>
        <family val="2"/>
      </rPr>
      <t xml:space="preserve"> = rata-rata FTE</t>
    </r>
  </si>
  <si>
    <r>
      <t>Jika 13 &lt; R</t>
    </r>
    <r>
      <rPr>
        <sz val="10"/>
        <color rgb="FF000000"/>
        <rFont val="Arial"/>
        <family val="2"/>
      </rPr>
      <t xml:space="preserve">FTE </t>
    </r>
    <r>
      <rPr>
        <sz val="10"/>
        <color rgb="FF000000"/>
        <rFont val="Arial"/>
        <family val="2"/>
      </rPr>
      <t xml:space="preserve">&lt; 21 sks, maka </t>
    </r>
  </si>
  <si>
    <r>
      <t>skor = (71 – 3 x R</t>
    </r>
    <r>
      <rPr>
        <sz val="10"/>
        <color rgb="FF000000"/>
        <rFont val="Arial"/>
        <family val="2"/>
      </rPr>
      <t>FTE</t>
    </r>
    <r>
      <rPr>
        <sz val="10"/>
        <color rgb="FF000000"/>
        <rFont val="Arial"/>
        <family val="2"/>
      </rPr>
      <t>) / 8.</t>
    </r>
  </si>
  <si>
    <t>7.1.1  Jumlah penelitian yang sesuai dengan bidang keilmuan PS, yang dilakukan oleh dosen tetap yang bidang keahliannya sama dengan PS, selama 3 tahun.</t>
  </si>
  <si>
    <t>Jika NK ≥ 2, maka skor = 4.</t>
  </si>
  <si>
    <t>Jika 0 &lt; NK &lt; 2, maka skor = (1.5 x NK) + 1</t>
  </si>
  <si>
    <t>Jika NK = 0, maka skor = 0.</t>
  </si>
  <si>
    <t>Penilaian dilakukan dengan penghitungan berikut:</t>
  </si>
  <si>
    <t xml:space="preserve">NK = Nilai kasar = </t>
  </si>
  <si>
    <t>Keterangan:</t>
  </si>
  <si>
    <r>
      <t>n</t>
    </r>
    <r>
      <rPr>
        <sz val="10"/>
        <color rgb="FF000000"/>
        <rFont val="Arial"/>
        <family val="2"/>
      </rPr>
      <t xml:space="preserve">a  </t>
    </r>
    <r>
      <rPr>
        <sz val="10"/>
        <color rgb="FF000000"/>
        <rFont val="Arial"/>
        <family val="2"/>
      </rPr>
      <t>=</t>
    </r>
    <r>
      <rPr>
        <sz val="10"/>
        <color rgb="FF000000"/>
        <rFont val="Arial"/>
        <family val="2"/>
      </rPr>
      <t xml:space="preserve">  </t>
    </r>
    <r>
      <rPr>
        <sz val="10"/>
        <color rgb="FF000000"/>
        <rFont val="Arial"/>
        <family val="2"/>
      </rPr>
      <t>Jumlah penelitian dengan biaya luar negeri yang sesuai bidang ilmu</t>
    </r>
  </si>
  <si>
    <r>
      <t>n</t>
    </r>
    <r>
      <rPr>
        <sz val="10"/>
        <color rgb="FF000000"/>
        <rFont val="Arial"/>
        <family val="2"/>
      </rPr>
      <t xml:space="preserve">b  </t>
    </r>
    <r>
      <rPr>
        <sz val="10"/>
        <color rgb="FF000000"/>
        <rFont val="Arial"/>
        <family val="2"/>
      </rPr>
      <t>=</t>
    </r>
    <r>
      <rPr>
        <sz val="10"/>
        <color rgb="FF000000"/>
        <rFont val="Arial"/>
        <family val="2"/>
      </rPr>
      <t xml:space="preserve">  </t>
    </r>
    <r>
      <rPr>
        <sz val="10"/>
        <color rgb="FF000000"/>
        <rFont val="Arial"/>
        <family val="2"/>
      </rPr>
      <t>Jumlah penelitian dengan biaya luar yang sesuai bidang ilmu</t>
    </r>
  </si>
  <si>
    <r>
      <t>n</t>
    </r>
    <r>
      <rPr>
        <sz val="10"/>
        <color rgb="FF000000"/>
        <rFont val="Arial"/>
        <family val="2"/>
      </rPr>
      <t xml:space="preserve">c  </t>
    </r>
    <r>
      <rPr>
        <sz val="10"/>
        <color rgb="FF000000"/>
        <rFont val="Arial"/>
        <family val="2"/>
      </rPr>
      <t>=  Jumlah penelitian dengan biaya dari PT/sendiri yang sesuai bidang ilmu</t>
    </r>
  </si>
  <si>
    <t>f   =  Jumlah dosen tetap yang bidang keahliannya sesuai dengan PS</t>
  </si>
  <si>
    <t>7.1.3 Jumlah artikel ilmiah yang dihasilkan oleh dosen tetap yang bidang keahliannya sama dengan PS, selama 3 tahun</t>
  </si>
  <si>
    <t>Jika NK ≥ 6, maka skor = 4.</t>
  </si>
  <si>
    <t>Jika 0 &lt; NK &lt;  6, maka skor = 1 + (NK / 2).</t>
  </si>
  <si>
    <r>
      <t>n</t>
    </r>
    <r>
      <rPr>
        <sz val="10"/>
        <color rgb="FF000000"/>
        <rFont val="Arial"/>
        <family val="2"/>
      </rPr>
      <t xml:space="preserve">a  </t>
    </r>
    <r>
      <rPr>
        <sz val="10"/>
        <color rgb="FF000000"/>
        <rFont val="Arial"/>
        <family val="2"/>
      </rPr>
      <t>=</t>
    </r>
    <r>
      <rPr>
        <sz val="10"/>
        <color rgb="FF000000"/>
        <rFont val="Arial"/>
        <family val="2"/>
      </rPr>
      <t xml:space="preserve">  </t>
    </r>
    <r>
      <rPr>
        <sz val="10"/>
        <color rgb="FF000000"/>
        <rFont val="Arial"/>
        <family val="2"/>
      </rPr>
      <t>Jumlah artikel terpublikasi tingkat internasional</t>
    </r>
  </si>
  <si>
    <r>
      <t>n</t>
    </r>
    <r>
      <rPr>
        <sz val="10"/>
        <color rgb="FF000000"/>
        <rFont val="Arial"/>
        <family val="2"/>
      </rPr>
      <t xml:space="preserve">b  </t>
    </r>
    <r>
      <rPr>
        <sz val="10"/>
        <color rgb="FF000000"/>
        <rFont val="Arial"/>
        <family val="2"/>
      </rPr>
      <t>=</t>
    </r>
    <r>
      <rPr>
        <sz val="10"/>
        <color rgb="FF000000"/>
        <rFont val="Arial"/>
        <family val="2"/>
      </rPr>
      <t xml:space="preserve">  </t>
    </r>
    <r>
      <rPr>
        <sz val="10"/>
        <color rgb="FF000000"/>
        <rFont val="Arial"/>
        <family val="2"/>
      </rPr>
      <t>Jumlah artikel terpublikasi tingkat nasional</t>
    </r>
  </si>
  <si>
    <r>
      <t>n</t>
    </r>
    <r>
      <rPr>
        <sz val="10"/>
        <color rgb="FF000000"/>
        <rFont val="Arial"/>
        <family val="2"/>
      </rPr>
      <t xml:space="preserve">c  </t>
    </r>
    <r>
      <rPr>
        <sz val="10"/>
        <color rgb="FF000000"/>
        <rFont val="Arial"/>
        <family val="2"/>
      </rPr>
      <t>= Jumlah artikel terpublikasi tingkat lokal</t>
    </r>
  </si>
  <si>
    <t>f  =  Jumlah dosen tetap yang bidang keahliannya sesuai dengan PS</t>
  </si>
  <si>
    <r>
      <t xml:space="preserve">7.2.1  </t>
    </r>
    <r>
      <rPr>
        <sz val="10"/>
        <color rgb="FF000000"/>
        <rFont val="Arial"/>
        <family val="2"/>
      </rPr>
      <t>Jumlah kegiatan pelayanan/pengabdian kepada masyarakat (PkM) yang dilakukan oleh dosen tetap yang bidang keahliannya sama dengan PS selama tiga tahun.</t>
    </r>
  </si>
  <si>
    <t>Jika NK ≥ 1, maka skor = 4.</t>
  </si>
  <si>
    <r>
      <t xml:space="preserve">Jika 0 </t>
    </r>
    <r>
      <rPr>
        <sz val="10"/>
        <color rgb="FF000000"/>
        <rFont val="Symbol"/>
        <family val="1"/>
        <charset val="2"/>
      </rPr>
      <t>£</t>
    </r>
    <r>
      <rPr>
        <sz val="10"/>
        <color rgb="FF000000"/>
        <rFont val="Arial"/>
        <family val="2"/>
      </rPr>
      <t xml:space="preserve">  NK &lt;  1, maka skor = (3 x NK) + 1</t>
    </r>
  </si>
  <si>
    <r>
      <t>n</t>
    </r>
    <r>
      <rPr>
        <sz val="10"/>
        <color rgb="FF000000"/>
        <rFont val="Arial"/>
        <family val="2"/>
      </rPr>
      <t xml:space="preserve">a </t>
    </r>
    <r>
      <rPr>
        <sz val="10"/>
        <color rgb="FF000000"/>
        <rFont val="Arial"/>
        <family val="2"/>
      </rPr>
      <t>=   Jumlah kegiatan PkM dengan biaya luar negeri yang sesuai bidang ilmu</t>
    </r>
  </si>
  <si>
    <r>
      <t>n</t>
    </r>
    <r>
      <rPr>
        <sz val="10"/>
        <color rgb="FF000000"/>
        <rFont val="Arial"/>
        <family val="2"/>
      </rPr>
      <t xml:space="preserve">b </t>
    </r>
    <r>
      <rPr>
        <sz val="10"/>
        <color rgb="FF000000"/>
        <rFont val="Arial"/>
        <family val="2"/>
      </rPr>
      <t xml:space="preserve">= </t>
    </r>
    <r>
      <rPr>
        <sz val="10"/>
        <color rgb="FF000000"/>
        <rFont val="Arial"/>
        <family val="2"/>
      </rPr>
      <t xml:space="preserve">  </t>
    </r>
    <r>
      <rPr>
        <sz val="10"/>
        <color rgb="FF000000"/>
        <rFont val="Arial"/>
        <family val="2"/>
      </rPr>
      <t>Jumlah kegiatan PkM dengan biaya luar yang sesuai bidang ilmu</t>
    </r>
  </si>
  <si>
    <r>
      <t>n</t>
    </r>
    <r>
      <rPr>
        <sz val="10"/>
        <color rgb="FF000000"/>
        <rFont val="Arial"/>
        <family val="2"/>
      </rPr>
      <t xml:space="preserve">c </t>
    </r>
    <r>
      <rPr>
        <sz val="10"/>
        <color rgb="FF000000"/>
        <rFont val="Arial"/>
        <family val="2"/>
      </rPr>
      <t>=   Jumlah kegiatan PkM dengan biaya dari PT/sendiri yang sesuai bidang ilmu</t>
    </r>
  </si>
  <si>
    <t>DEPARTMENT PERFORMANCE APPRAISAL</t>
  </si>
  <si>
    <t xml:space="preserve"> PRODI</t>
  </si>
  <si>
    <t>Department</t>
  </si>
  <si>
    <t>Nama Departemen</t>
  </si>
  <si>
    <t>Text biru: perlu diisi</t>
  </si>
  <si>
    <t>Period</t>
  </si>
  <si>
    <t>[month] s.d [month] [year]</t>
  </si>
  <si>
    <t>Text Biru: Isian</t>
  </si>
  <si>
    <t>NO</t>
  </si>
  <si>
    <t>Weight</t>
  </si>
  <si>
    <t>PERPECTIVE</t>
  </si>
  <si>
    <t>PERSPECTIVE WEIGHT</t>
  </si>
  <si>
    <t>CRITERIA</t>
  </si>
  <si>
    <t>CRITERIA WEIGHT</t>
  </si>
  <si>
    <t>SCORE</t>
  </si>
  <si>
    <t>FINAL SCORE</t>
  </si>
  <si>
    <t>Pertumbuhan Jumlah Mahasiswa</t>
  </si>
  <si>
    <t>(Jumlah mahasiswa periode ini - jumlah mahasiswa periode sebelumnya)/Jumlah mahasiswa periode sebelumnya</t>
  </si>
  <si>
    <t>&lt;2.5%</t>
  </si>
  <si>
    <t>&gt; 2.5% s.d 5%</t>
  </si>
  <si>
    <t>&gt; 5% s.d 7.5%</t>
  </si>
  <si>
    <t>&gt; 7.5%</t>
  </si>
  <si>
    <t>Realisasi penggunaan anggaran/Total anggaran internal</t>
  </si>
  <si>
    <t>&gt; 25% s.d 50% atau melebihi anggaran s.d 25%</t>
  </si>
  <si>
    <t>&gt; 50% s.d 75% atau melebihi anggaran s.d 15%</t>
  </si>
  <si>
    <t>Jumlah kegiatan pengabdian masyarakat</t>
  </si>
  <si>
    <t>2 kegiatan pengabdian masyarakat atau lebih</t>
  </si>
  <si>
    <t>Tingkat internasional</t>
  </si>
  <si>
    <t>Employability Index</t>
  </si>
  <si>
    <t>Jumlah lulusan yang bekerja/total lulusan</t>
  </si>
  <si>
    <t xml:space="preserve">Masa Tunggu </t>
  </si>
  <si>
    <t>Rata-rata masa tunggu untuk mendapatkan pekerjaan pertama setelah kellulusan</t>
  </si>
  <si>
    <t>≤ 3 bulan</t>
  </si>
  <si>
    <t>3.5 tahun</t>
  </si>
  <si>
    <t>3 bentuk kegiatan (kegiatan akademik, pengembangan jejaring, penyediaan fasilitas untuk kegiatan akademik)</t>
  </si>
  <si>
    <t>Pembaharuan kurikulum</t>
  </si>
  <si>
    <t>Tingkat kemajuan pembaharuan kurikulum</t>
  </si>
  <si>
    <t>Review setiap tahun</t>
  </si>
  <si>
    <t>Rata-rata hasil evaluasi perkuliahan  3.50-4.0</t>
  </si>
  <si>
    <t>Tingkat Kepuasan Layanan Departemen</t>
  </si>
  <si>
    <t>Rata-rata 3.50-4.0</t>
  </si>
  <si>
    <t>Rata-rata jumlah penelitian per tahun per dosen</t>
  </si>
  <si>
    <t>1 judul penelitian</t>
  </si>
  <si>
    <t>Karya Ilmiah</t>
  </si>
  <si>
    <t>Rata-rata jumlah karya ilmiah per tahun per dosen</t>
  </si>
  <si>
    <t>2 karya ilmiah</t>
  </si>
  <si>
    <t>Project khusus/pengembangan</t>
  </si>
  <si>
    <t>Rata-rata jam training/seminar/ workshop dan sejenisnya per tahun per dosen</t>
  </si>
  <si>
    <t>40 jam</t>
  </si>
  <si>
    <t>Lektor Kepala &amp; Guru Besar</t>
  </si>
  <si>
    <t>&gt;40%</t>
  </si>
  <si>
    <t>Need confirmation</t>
  </si>
  <si>
    <t>APS std 6, klausul 4.3.1</t>
  </si>
  <si>
    <t>&gt;30%</t>
  </si>
  <si>
    <t>TOTAL</t>
  </si>
  <si>
    <t>PRINCIPAL ACCOUNTABILITY</t>
  </si>
  <si>
    <t>WORKING ATTITUDE</t>
  </si>
  <si>
    <t>Beberapa yang perlu kita diskusikan</t>
  </si>
  <si>
    <r>
      <t>·</t>
    </r>
    <r>
      <rPr>
        <sz val="7"/>
        <color rgb="FFFF0000"/>
        <rFont val="Times New Roman"/>
        <family val="1"/>
      </rPr>
      <t>         </t>
    </r>
    <r>
      <rPr>
        <sz val="11"/>
        <color rgb="FFFF0000"/>
        <rFont val="Calibri"/>
        <family val="2"/>
      </rPr>
      <t>Usulan insentif/sejenisnya untuk kelebihan beban sks dosen </t>
    </r>
    <r>
      <rPr>
        <sz val="11"/>
        <color rgb="FFFF0000"/>
        <rFont val="Wingdings"/>
        <charset val="2"/>
      </rPr>
      <t>è</t>
    </r>
    <r>
      <rPr>
        <sz val="11"/>
        <color rgb="FFFF0000"/>
        <rFont val="Calibri"/>
        <family val="2"/>
      </rPr>
      <t> maks kelebihan sks</t>
    </r>
  </si>
  <si>
    <t>Total Weight Perspective</t>
  </si>
  <si>
    <r>
      <t>·</t>
    </r>
    <r>
      <rPr>
        <sz val="7"/>
        <color rgb="FFFF0000"/>
        <rFont val="Times New Roman"/>
        <family val="1"/>
      </rPr>
      <t>         </t>
    </r>
    <r>
      <rPr>
        <sz val="11"/>
        <color rgb="FFFF0000"/>
        <rFont val="Calibri"/>
        <family val="2"/>
      </rPr>
      <t>Usulan Kinerja struktural</t>
    </r>
  </si>
  <si>
    <r>
      <t>·</t>
    </r>
    <r>
      <rPr>
        <sz val="7"/>
        <color rgb="FFFF0000"/>
        <rFont val="Times New Roman"/>
        <family val="1"/>
      </rPr>
      <t>         </t>
    </r>
    <r>
      <rPr>
        <sz val="11"/>
        <color rgb="FFFF0000"/>
        <rFont val="Calibri"/>
        <family val="2"/>
      </rPr>
      <t>Non dosen/departmen non akademik</t>
    </r>
  </si>
  <si>
    <t>Next Period</t>
  </si>
  <si>
    <t>Rasio Pendapatan Eksternal</t>
  </si>
  <si>
    <t>Total Weight 
Criteria</t>
  </si>
  <si>
    <t>Realisasi pendapatan eksternal/Total anggaran</t>
  </si>
  <si>
    <t>Improve ourselves &amp; achieve more 
(Perbaiki diri kita dan capailah lebih baik lagi)</t>
  </si>
  <si>
    <t>PERFORMANCE INDEX</t>
  </si>
  <si>
    <t xml:space="preserve">Note: </t>
  </si>
  <si>
    <t>Tingkat Kepuasan Layanan Departemen, diperoleh dari hasil peer assessment</t>
  </si>
  <si>
    <t>Bobot</t>
  </si>
  <si>
    <t>Jumlah realisasi anggaran/anggaran.</t>
  </si>
  <si>
    <t>Rasio serapan anggaran area masing-masing</t>
  </si>
  <si>
    <t>Jumlah layanan tepat waktu/jumlah total layanan</t>
  </si>
  <si>
    <t>Jumlah modul terintegrasi yang tersedia (functionally used)/total modul yang terencana di roadmap. Roadmap sistem informasi merupakan hasil koordinasi dengan seluruh departemen.</t>
  </si>
  <si>
    <t>Internal Business Process</t>
  </si>
  <si>
    <t>&lt; 3 menit</t>
  </si>
  <si>
    <t>Rata-rata pencapaian DMS update, sosialisasi DMS, CPA completion, &amp; CPA aging</t>
  </si>
  <si>
    <t>Jumlah barang yang telah terinventaris/total barang seharusnya. Total barang seharusnya berdasarkan hasil stock opname.</t>
  </si>
  <si>
    <t>Pemenuhan kompetensi per jabatan di area masing-masing</t>
  </si>
  <si>
    <t>Tingkat pemenuhan kompetensi</t>
  </si>
  <si>
    <t xml:space="preserve">Indeks kepuasan karyawan
</t>
  </si>
  <si>
    <t>Jumlah responden yang puas dalam aspek manajemen organisasi &amp; fasilitas karyawan/jumlah responden. Definisi puas dalam hal ini adalah responden yang memberikan rata-rata skor ≥ 4 (skala 1 s.d. 5)</t>
  </si>
  <si>
    <t>Indeks kepuasan layanan prima departemen</t>
  </si>
  <si>
    <t>Survei layanan department atau program studi (mencakup evaluasi Service Level Agreement per dept). Contoh ICT: layanan fasilitas kelas dan administrasi, layanan sistem informasi.</t>
  </si>
  <si>
    <t>Indeks karakter IPE karyawan</t>
  </si>
  <si>
    <t>Rata-rata indeks karakter IPE karyawan</t>
  </si>
  <si>
    <t>Kedisiplinan karyawan</t>
  </si>
  <si>
    <t>Rata-rata Man Hour Lost (MHL).
MHL dihitung dari jumlah jam kerja yang hilang/21. 21 diperoleh dari (5 hari kerja X 4 minggu) + 1 hari kerja</t>
  </si>
  <si>
    <t>Pencapaian Roadmap Integrated Information System</t>
  </si>
  <si>
    <t>: ICT</t>
  </si>
  <si>
    <t>: Nama Dept.</t>
  </si>
  <si>
    <t>DEFINISI</t>
  </si>
  <si>
    <t>TENAGA PENDIDIK:</t>
  </si>
  <si>
    <t>Karyawan yang tercatat di data karyawan sebagai Tenaga Pendidik.</t>
  </si>
  <si>
    <t>Untuk Tenaga Pendidik yang melakukan pekerjaan di luar tanggung jawab utamanya, maka kinerjanya dinilai di "unsur penunjang".</t>
  </si>
  <si>
    <t>TENAGA KEPENDIDIKAN:</t>
  </si>
  <si>
    <t>Karyawan yang tercatat di data karyawan dalam kategori Tenaga Kependidikan.</t>
  </si>
  <si>
    <t>Untuk tenaga kependidikan yang melakukan pekerjaan di luar tanggung jawab utamanya, maka kinerjanya dinilai di "unsur penunjang".</t>
  </si>
  <si>
    <t>INDIVIDUAL PA</t>
  </si>
  <si>
    <t>PA CATEGORY</t>
  </si>
  <si>
    <t>Performance Appraisal terdiri atas 3 kategori sebagaimana ditusliskan pada Tabel 1.</t>
  </si>
  <si>
    <t>Tabel 1. Kategori dan Bobot PA</t>
  </si>
  <si>
    <t>No.</t>
  </si>
  <si>
    <t>Kategori</t>
  </si>
  <si>
    <t>Definisi</t>
  </si>
  <si>
    <t>Principal Accountability</t>
  </si>
  <si>
    <t>Menilai kinerja karyawan atas pelaksanaan tanggung jawab utama sesuai posisi masing-masing</t>
  </si>
  <si>
    <t>Self Development</t>
  </si>
  <si>
    <t>Menilai kompetensi karyawan melalui peer assessment</t>
  </si>
  <si>
    <t>Menilai kedisiplinan karyawan dari sisi keHCMan</t>
  </si>
  <si>
    <t>Principal Accountability terdiri atas 3 kriteria utama</t>
  </si>
  <si>
    <t>Tabel 2. Matriks Principal Accountability</t>
  </si>
  <si>
    <t>Kriteria</t>
  </si>
  <si>
    <t>Tenaga Pendidik</t>
  </si>
  <si>
    <t>Tenaga Kependidikan</t>
  </si>
  <si>
    <t>Struktural</t>
  </si>
  <si>
    <t>Non Struktural</t>
  </si>
  <si>
    <t>Manajemen</t>
  </si>
  <si>
    <t>Sesuai Matriks sks per Jabatan</t>
  </si>
  <si>
    <t>BSC Dept</t>
  </si>
  <si>
    <t>Kinerja Individu</t>
  </si>
  <si>
    <t>Sesuai Surat Tugas</t>
  </si>
  <si>
    <t>Pendidikan</t>
  </si>
  <si>
    <t>Klasifikasi Pekerjaan Sesuai Job Desc &amp; mengacu ke BSC Dept</t>
  </si>
  <si>
    <t>Studi Lanjut*)
(biaya UC atau non mandiri lainnya {baik pada jam kerja ataupun di luar jam kerja} dan tetap bekerja di UC)</t>
  </si>
  <si>
    <t>Unsur Penunjang*)
(contoh: Koordinator magang, Koordinator penelitian dan pengabdian masyarakat, Koordinator penjaminan mutu, Koordinator Kemahasiswaan dan Alumni, Koordinator Jejaring 
dan Kerja Sama, Tim PA, Tim kurikulum, tenaga kependidikan yang melakukan penelitian/PkM atau kegiatan lainnya dll.)</t>
  </si>
  <si>
    <t>Rangkap Jabatan Non Struktural di Departemen Lain</t>
  </si>
  <si>
    <t>Sesuai Surat Keputusan</t>
  </si>
  <si>
    <t>Matriks sks ini dimanfaatkan sebagai batasan bobot PA, bukan sebagai batasan pemberian beban kerja</t>
  </si>
  <si>
    <t>Jabatan</t>
  </si>
  <si>
    <t>Pengajaran</t>
  </si>
  <si>
    <t>Bimbingan Akademik</t>
  </si>
  <si>
    <t>Bimbingan Tugas Akhir</t>
  </si>
  <si>
    <t>Max</t>
  </si>
  <si>
    <t>Rektor</t>
  </si>
  <si>
    <t>Wakil Rektor</t>
  </si>
  <si>
    <t>Dekan</t>
  </si>
  <si>
    <t>Kepala Kantor</t>
  </si>
  <si>
    <t>Kepala Pusat</t>
  </si>
  <si>
    <t>Kaprodi/Wakil Dekan</t>
  </si>
  <si>
    <t>Kepala Biro</t>
  </si>
  <si>
    <t>Ketua Program</t>
  </si>
  <si>
    <t>BSC Dept: penilaian kinerja dilakukan untuk personil yang menduduki jabatan struktural ≥ 3 bulan</t>
  </si>
  <si>
    <t>Pengajaran: sks sesuai dengan surat tugas yang tercreate di sistem</t>
  </si>
  <si>
    <t xml:space="preserve">Dosen dengan jabatan struktural wajib mengajar di prodi yang sesuai homebasenya dengan beban pengajaran minimal 3 sks. </t>
  </si>
  <si>
    <t>Bimbingan Akademik: APS skor 4 jika rata-rata jumlah mahasiswa bimbingan akademik per dosen &lt;= 20 mahasiswa per semester. Sks dihitung dari jumlah mahasiswa bimbingan akademik dibagi 12.</t>
  </si>
  <si>
    <t xml:space="preserve">Bimbingan Tugas Akhir: APS skor 4 jika rata-rata jumlah mahasiswa bimbingan TA per dosen &lt;= 4 mahasiswa per semester. Sks dihitung dari jumlah mahasiswa bimbingan akademik dibagi 6. </t>
  </si>
  <si>
    <t>Penelitian: sks dihitung berdasarkan jumlah judul penelitian dan peran tim peneliti</t>
  </si>
  <si>
    <t>Pengabdian Masyarakat: sks dihitung berdasarkan jumlah jam kerja pengabdian masyarakat</t>
  </si>
  <si>
    <t>Studi Lanjut:</t>
  </si>
  <si>
    <t>Unsur Penunjang: sks dihitung berdasarkan rubrik BKD</t>
  </si>
  <si>
    <t>Jika terdapat perubahan rubrik beban kerja dosen dari Dikti, maka matriks sks per jabatan ini perlu disesuaikan kembali.</t>
  </si>
  <si>
    <t>SELF DEVELOPMENT</t>
  </si>
  <si>
    <t>Self Development terdiri atas 3 kategori kompetensi sebagaimana dijelaskan di tabel 5 di bawah ini</t>
  </si>
  <si>
    <t>Tabel 5. Kategori Kompetensi</t>
  </si>
  <si>
    <t>Kompetensi</t>
  </si>
  <si>
    <t>Core Competency</t>
  </si>
  <si>
    <t>Jenis kompetensi yang perlu dievaluasi pada seluruh karyawan</t>
  </si>
  <si>
    <t>1.1 Act with Integrity</t>
  </si>
  <si>
    <t>1.2 Spirit of Excellence</t>
  </si>
  <si>
    <t>1.3 Continuous Improvement &amp; Innovation</t>
  </si>
  <si>
    <t>1.4 Team Collaboration</t>
  </si>
  <si>
    <t>1.5 Organizational Commitment</t>
  </si>
  <si>
    <t>Job Family Competency</t>
  </si>
  <si>
    <t>Jenis kompetensi yang dievaluasi sesuai dengan posisi masing-masing</t>
  </si>
  <si>
    <t>Sesuai dengan jabatan</t>
  </si>
  <si>
    <t>Leadership Competency</t>
  </si>
  <si>
    <t>Jenis kompetensi yang dievaluasi pada personil yang menduduki jabatan struktural</t>
  </si>
  <si>
    <t>3.2 Passion for the Business</t>
  </si>
  <si>
    <t>3.3 Strategic Orientation</t>
  </si>
  <si>
    <t>Sources</t>
  </si>
  <si>
    <t>25% s.d &lt; 50% atau melebihi anggaran s.d 25%</t>
  </si>
  <si>
    <t>&gt;80% s.d. 100%</t>
  </si>
  <si>
    <t>&gt; 70% s.d 80% atau melebihi anggaran s.d 5%</t>
  </si>
  <si>
    <t>50% s.d 70% atau melebihi anggaran s.d 10%</t>
  </si>
  <si>
    <t>Sesuai hasil perhitungan quality improvement score</t>
  </si>
  <si>
    <t>Quality Improvement Score</t>
  </si>
  <si>
    <t>Total harus</t>
  </si>
  <si>
    <t>Sesuai rata-rata pemenuhan kompetensi</t>
  </si>
  <si>
    <t>Rata-rata tingkat kepuasan layanan karyawan</t>
  </si>
  <si>
    <t xml:space="preserve"> &gt;85% Modul tersedia</t>
  </si>
  <si>
    <t>65% - 74% Modul tersedia</t>
  </si>
  <si>
    <t xml:space="preserve"> 75% - 85% Modul tersedia </t>
  </si>
  <si>
    <t>50% - 64% Modul tersedia</t>
  </si>
  <si>
    <t xml:space="preserve">&lt;50% Modul tersedia </t>
  </si>
  <si>
    <t>Rekap data MHL HCM</t>
  </si>
  <si>
    <t>Head</t>
  </si>
  <si>
    <t>Atasan langsung</t>
  </si>
  <si>
    <t>FA_Rekap realisasi anggaran</t>
  </si>
  <si>
    <t>Sesuai hasil perhitungan indeks karakter IPE karyawan</t>
  </si>
  <si>
    <t>QA_Rekap Perhitungan Quality Improvement Score</t>
  </si>
  <si>
    <t>HCM_Rekap Perhitungan Pemenuhan Kompetensi</t>
  </si>
  <si>
    <t>HCM_Employee Survey Report</t>
  </si>
  <si>
    <t>HCM_Rekap Peer Dept.</t>
  </si>
  <si>
    <t>HCM_Rekap IPE</t>
  </si>
  <si>
    <t>: 2018/2019</t>
  </si>
  <si>
    <t>90.5%</t>
  </si>
  <si>
    <t>SM2.5.2.2 Prosentase SLA  mencakup pengadaan hardware / pembuatan aplikasi / maintenance SW / HW, dll</t>
  </si>
  <si>
    <t>SM2.5.2.3 Prosentase inventarisasi barang</t>
  </si>
  <si>
    <t>SM2.5.2.4 Prosentase waktu penyelesaian komplain</t>
  </si>
  <si>
    <t>Rata-rata waktu penyelesaian komplain</t>
  </si>
  <si>
    <t>SM2.5.2.5 Ketersediaan bandwidth internet</t>
  </si>
  <si>
    <t>Besaran bandwidth akademik per mahasiswa per akhir periode akademik</t>
  </si>
  <si>
    <t>85kbpm</t>
  </si>
  <si>
    <t>&lt; 29 hari</t>
  </si>
  <si>
    <t>Pembuatan Aplikasi Ciputra Information System</t>
  </si>
  <si>
    <t>Peningkatan kualitas Aplikasi Ciputra Information System</t>
  </si>
  <si>
    <t>Persentase terpenuhi sesuai rencana strategis</t>
  </si>
  <si>
    <t>Sesuai hasil perhitungan jumlah layanan tepat waktu</t>
  </si>
  <si>
    <t>Sesuai hasil perhitungan persentase terpenuhi sesuai rencana strategis</t>
  </si>
  <si>
    <t>ICT_Work order</t>
  </si>
  <si>
    <t>ICT_Data Rincian Bandwidth</t>
  </si>
  <si>
    <t>ICT_Data Capaian Renstra</t>
  </si>
  <si>
    <t>ICT_Data Stock Opname</t>
  </si>
  <si>
    <t>Sesuai angka besaran bandwidth akademik per mahasiswa</t>
  </si>
  <si>
    <t>&lt;65%</t>
  </si>
  <si>
    <t>&gt;=25 hari dan &lt; 29 hari</t>
  </si>
  <si>
    <t>&gt;=65% dan &lt;85%</t>
  </si>
  <si>
    <t>&gt;=85% dan &lt;90%</t>
  </si>
  <si>
    <t>&gt;=90% dan &lt;95.95%</t>
  </si>
  <si>
    <t>&gt;95.95% dan &lt;=100%</t>
  </si>
  <si>
    <t>&lt; 25 hari</t>
  </si>
  <si>
    <t>&gt;=29 hari dan &lt; 33 hari</t>
  </si>
  <si>
    <t>&gt;=33 hari dan &lt; 37 hari</t>
  </si>
  <si>
    <t>&gt;= 37 hari</t>
  </si>
  <si>
    <t>Sesuai hasil perhitungan MHL</t>
  </si>
  <si>
    <t xml:space="preserve">Tambahkan criteria sesuai renstra departemen, guina menjawab: “Untuk mencapai visi perusahaan, bagaimana seharusnya kita dilihat  di mata pelanggan”
</t>
  </si>
  <si>
    <t>dst..</t>
  </si>
  <si>
    <t>Tambahkan criteria sesuai renstra departemen, guna menjawab: “Untuk memuaskan pemegang saham &amp; pelanggan kita, proses bisnis apa yang  harus unggul?”</t>
  </si>
  <si>
    <t>PA Dept</t>
  </si>
  <si>
    <t xml:space="preserve">A. </t>
  </si>
  <si>
    <t xml:space="preserve">B.1 dst. Klasifikasi pekerjaan sesuai </t>
  </si>
  <si>
    <t>job desc</t>
  </si>
  <si>
    <t xml:space="preserve">B.4 </t>
  </si>
  <si>
    <t xml:space="preserve">Studi Lanjut </t>
  </si>
  <si>
    <t>B.5 Unsur Penunjang</t>
  </si>
  <si>
    <t>C. Rangkap Jabatan Non Struktural</t>
  </si>
  <si>
    <t>S2: 4</t>
  </si>
  <si>
    <t>S3: 6</t>
  </si>
  <si>
    <t>part time</t>
  </si>
  <si>
    <t>Supervisor/Officer full time &amp; part time</t>
  </si>
  <si>
    <t>Staf full time &amp; part time</t>
  </si>
  <si>
    <t>Koordinator full time &amp; part time</t>
  </si>
  <si>
    <t xml:space="preserve">B.1.1 </t>
  </si>
  <si>
    <t xml:space="preserve">B.1.2 </t>
  </si>
  <si>
    <t xml:space="preserve">B.1.3 </t>
  </si>
  <si>
    <t>B.1.4 Bimbingan Dosen Muda</t>
  </si>
  <si>
    <t>B.2 Penelitian</t>
  </si>
  <si>
    <t>B.3 Pengabdian Masyarakat</t>
  </si>
  <si>
    <t xml:space="preserve">B.4 Studi Lanjut </t>
  </si>
  <si>
    <t>Kepala Lembaga</t>
  </si>
  <si>
    <t>Wakaprodi/</t>
  </si>
  <si>
    <t>Koordinator Prodi</t>
  </si>
  <si>
    <t xml:space="preserve">Non struktural </t>
  </si>
  <si>
    <t>full time</t>
  </si>
  <si>
    <t xml:space="preserve">Tabel 3. Matriks Bobot PA Tenaga Pendidik per semester </t>
  </si>
  <si>
    <t xml:space="preserve">Tabel 4. Matriks Bobot PA Tenaga Kependidikan per semester 
</t>
  </si>
  <si>
    <t>Head, ICT</t>
  </si>
  <si>
    <t>Indikator</t>
  </si>
  <si>
    <t>Measurement Methode</t>
  </si>
  <si>
    <t>SM2.1.1.4 Pencapaian roadmap integrated system</t>
  </si>
  <si>
    <t>Jumlah modul terintegrasi yang tersedia (functionally used)/total modul yang terencana diroadmap. Roadmap sistem informasi merupakan hasil koordinasi dengan seluruh departemen.</t>
  </si>
  <si>
    <t>Network &amp; Infrastructure</t>
  </si>
  <si>
    <t>Programmer</t>
  </si>
  <si>
    <t>Helpdesk</t>
  </si>
  <si>
    <t>3.2.1.3 Waktu penyelesaian komplain</t>
  </si>
  <si>
    <t>&lt; 1 bulan</t>
  </si>
  <si>
    <t>% realisasi dibandingkan dengan % target</t>
  </si>
  <si>
    <t>Jumlah complaint yang terselesaikan &lt; 1 bulan/jumlah complaint</t>
  </si>
  <si>
    <t>Pemenuhan service level agreeement tepat waktu. SLA mencakup pengadaan hardware/pembuatan aplikasi/maintenance SW/HW dll.</t>
  </si>
  <si>
    <t>% barang terinventaris</t>
  </si>
  <si>
    <t>Tahun pertama 95%, tahun berikutnya 100%</t>
  </si>
  <si>
    <r>
      <t xml:space="preserve">Komputer, Laptop, Printer, LCD, </t>
    </r>
    <r>
      <rPr>
        <sz val="11"/>
        <color rgb="FFFF0000"/>
        <rFont val="Calibri"/>
        <family val="2"/>
        <scheme val="minor"/>
      </rPr>
      <t>TV</t>
    </r>
    <r>
      <rPr>
        <sz val="12"/>
        <color rgb="FF000000"/>
        <rFont val="Calibri"/>
        <family val="2"/>
      </rPr>
      <t>, CCTV</t>
    </r>
  </si>
  <si>
    <t>SM2.1.1.3 Corrective &amp; preventive action (temuan audit, komplain dll.)</t>
  </si>
  <si>
    <t>Jumlah ketidaksesuaian yang telah diselesaikan/total ketidaksesuaian</t>
  </si>
  <si>
    <t>2.3.2.1 Pemenuhan kompetensi per jabatan</t>
  </si>
  <si>
    <t>3.2.1.1 Indeks kepuasan layanan prima departemen</t>
  </si>
  <si>
    <t>Survei layanan department HCM (mengcover evaluasi Service Level Agreement per dept). Contoh HCM: layanan fasilitas kesehatan</t>
  </si>
  <si>
    <t>2.5.2.1 Indeks Kepuasan Karyawan</t>
  </si>
  <si>
    <t>Rata-rata survei kepuasan karyawan aspek manajemen organisasi &amp; fasilitas karyawan.
Indeks pemahaman karyawan terhadap visi dan misi organisasi perlu dianalisis dalam survei karyawan</t>
  </si>
  <si>
    <t>SM2.3.2.2 Indeks karakter IPE karyawan</t>
  </si>
  <si>
    <t>Rata-rata indeks karakter IPE karyawan dari penilaian working attitude</t>
  </si>
  <si>
    <t>SM2.3.2.3 Kedisiplinan karyawan</t>
  </si>
  <si>
    <t>Rata-rata Man Hour Lost (MHL).
 MHL dihitung dari jumlah jam kerja yang hilang/21. 21 diperoleh dari (5 hari kerja X 4 minggu) + 1 hari kerja</t>
  </si>
  <si>
    <t>2.1.1.1 Update DMS (Document Management System)</t>
  </si>
  <si>
    <t>Jumlah DMS yang update/total dokumen</t>
  </si>
  <si>
    <t>2.1.1.2 Sosialisasi DMS</t>
  </si>
  <si>
    <t>Jumlah DMS yang tersosialisasi/total dokumen</t>
  </si>
  <si>
    <t>2.4.3.2 Rasio serapan anggaran</t>
  </si>
  <si>
    <t>Jumlah realisasi anggaran/anggaran. Catatan: hibah dan program yang terbukti melakukan efisiensi biaya, tidak tercatat sebagai unutilized budget.</t>
  </si>
  <si>
    <t xml:space="preserve">2.5.2.1 Indeks kepuasan karyawan
</t>
  </si>
  <si>
    <t>SM2.2.2.2 Rasio karyawan yang tidak mendapatkan surat peringatan</t>
  </si>
  <si>
    <t>Jumlah karyawan ICT yang tidak mendapat surat peringatan/ total karyawan ICT</t>
  </si>
  <si>
    <t>SM3.2.1.1 Indeks kepuasan layanan prima departemen</t>
  </si>
  <si>
    <t>Head, HCM</t>
  </si>
  <si>
    <t>3.1.2.2 Rasio dosen : mahasiswa</t>
  </si>
  <si>
    <t>Jumlah prodi yang memenuhi rasio ideal/total prodi.
Rasio dosen:mahasiswa :
Prodi S1 eksakta  1:17 s.d. 23
Prodi S1 Sosial 1 : 27 s.d. 33</t>
  </si>
  <si>
    <t>2.3.1.1 Jabatan fungsional dosen</t>
  </si>
  <si>
    <t>Jumlah dosen dengan jabatan fungsional LK dan ke atas/ total dosen</t>
  </si>
  <si>
    <t>2.3.1.2 Strata pendidikan dosen</t>
  </si>
  <si>
    <t>Jumlah dosen strata S3/ jumlah dosen</t>
  </si>
  <si>
    <t>Corrective &amp; preventive action (temuan audit, komplain dll.) internal HCM</t>
  </si>
  <si>
    <t>2.3.2.2 Pemenuhan kompetensi per jabatan yang ada di HCM</t>
  </si>
  <si>
    <t>Jumlah jabatan yang telah dilengkapi dengan daftar kompetensi/total jabatan yang ada di UC</t>
  </si>
  <si>
    <t>Survei layanan department HCM (mengcover evaluasi Service Level Agreement per dept). Contoh HCM: layanan fasilitas karyawan</t>
  </si>
  <si>
    <t>SM1.1.1.1 Indeks kepuasan mahasiswa</t>
  </si>
  <si>
    <t>Jumlah mahasiswa yang puas dalam hal perkuliahan, fasilitas, dan layanan akademik/jumlah responden. Skor diambil dari courses survey, new student survey, &amp; exit survey. Defnisi puas dalam hal ini adalah responden yang memberikan rata-rata skor ≥ 4 (skala 1 s.d. 5)</t>
  </si>
  <si>
    <t>3.2.2.1 Rasio penerimaan karyawan</t>
  </si>
  <si>
    <t>Jumlah calon karyawan yang diterima / jumlah permintaan karyawan baru per tahun</t>
  </si>
  <si>
    <t>Employee retention rate</t>
  </si>
  <si>
    <t>Jumlah karyawan akhir periode/jumlah karyawan di awal periode.</t>
  </si>
  <si>
    <t>Head, MNA</t>
  </si>
  <si>
    <t>Perspektif</t>
  </si>
  <si>
    <t>Indikator Induk</t>
  </si>
  <si>
    <t>Indikator Dept</t>
  </si>
  <si>
    <t>Target 18/19</t>
  </si>
  <si>
    <t>SM1.3.1 Rasio penerimaan mahasiswa baru</t>
  </si>
  <si>
    <t>Jumlah calon mahasiswa baru yang mendaftar/total mahasiswa baru. Data diambil dari akhir perkuliahan minggu kedua.</t>
  </si>
  <si>
    <t>1:2</t>
  </si>
  <si>
    <t>SM1.3.2 Rasio populasi pendaftar mahasiswa baru dari jalur prestasi dan setara</t>
  </si>
  <si>
    <t>Jumlah mahasiswa baru dari jalur prestasi atau setara/total mahasiswa. Data diambil dari akhir perkuliahan minggu kedua.</t>
  </si>
  <si>
    <t>30% populasi</t>
  </si>
  <si>
    <t>PR value tahunan</t>
  </si>
  <si>
    <t>Perkiraan nilai rupiah untuk liputan media massa cetak dan online dibandingkan dengan nilai iklan di media tersebut dengan ukuran atau durasi yang sama.</t>
  </si>
  <si>
    <t>Corrective &amp; preventive action (temuan audit, komplain dll.)</t>
  </si>
  <si>
    <t>2017/2018: Jumlah jabatan yang telah dilengkapi dengan daftar kompetensi/total jabatan
2018/2019 dst.: tingkat pemenuhan kompetensi</t>
  </si>
  <si>
    <t>Head, LIB</t>
  </si>
  <si>
    <t>Kecukupan koleksi perpustakaan</t>
  </si>
  <si>
    <t xml:space="preserve">(4 Skor A + 3 Skor B + 2 Skor C + 1 Skor D) / 10.
</t>
  </si>
  <si>
    <t>AIPT</t>
  </si>
  <si>
    <t>% jumlah koleksi perpustakaan terpinjam</t>
  </si>
  <si>
    <t xml:space="preserve">Jumlah koleksi perpustakaan terpinjam/total koleksi perpustakaan. </t>
  </si>
  <si>
    <t>% jumlah pengunjung perpustakaan</t>
  </si>
  <si>
    <t>Jumlah pengunjung perpustakaan/jumlah mahasiswa aktif &amp; dosen</t>
  </si>
  <si>
    <t>SM2.3.2.1 Pemenuhan kompetensi per jabatan</t>
  </si>
  <si>
    <t>2017/2018: Jumlah jabatan yang telah dilengkapi dengan daftar kompetensi/total jabatan
 2018/2019 dst.: tingkat pemenuhan kompetensi</t>
  </si>
  <si>
    <t>Head, FA</t>
  </si>
  <si>
    <t>Pencairan dana tepat waktu</t>
  </si>
  <si>
    <t>Jumlah RF cair tepat waktu/total RF. Definisi tepat waktu: dana cair selambat-lambatnya 10 hari kerja terhitung dari tanggal terima dokumen lengkap oleh FA.</t>
  </si>
  <si>
    <t>Wacana edit 75% (LR email 27 Nov 7)</t>
  </si>
  <si>
    <t>Ketepatan laporan keuangan (neraca, laba rugi, arus kas)</t>
  </si>
  <si>
    <t>Jumlah laporan keuangan tepat waktu/jumlah laporan seharusnya. Definisi tepat waktu: maksimal 15 hari kerja bulan berikutnya.</t>
  </si>
  <si>
    <t>Tingkat keberhasilan autodebit</t>
  </si>
  <si>
    <t>Jumlah transaksi autodebit yang berhasil/total transaksi</t>
  </si>
  <si>
    <t xml:space="preserve">Corrective &amp; preventive action (temuan audit, komplain dll.) </t>
  </si>
  <si>
    <t>Head, PM</t>
  </si>
  <si>
    <t>GA</t>
  </si>
  <si>
    <t>Purchasing</t>
  </si>
  <si>
    <t>ME</t>
  </si>
  <si>
    <t>Building</t>
  </si>
  <si>
    <t>% pemenuhan SLA tepat waktu</t>
  </si>
  <si>
    <t>Jumlah pemenuhan tepat waktu/total kebutuhan. Definisi tepat waktu sesuai SLA PM (misal SLA per kategori permintaan (barang cetakan dll.) terhitung dari tanggal terima dokumen lengkap oleh PM.</t>
  </si>
  <si>
    <t>% realisasi maintenance</t>
  </si>
  <si>
    <t>Jumlah realisasi maintenance/total rencana maintenance</t>
  </si>
  <si>
    <t>Zero accident</t>
  </si>
  <si>
    <t>Jumlah hari tanpa kecelakaan/total hari. Kecelakaan yang terhitung dalam hal ini disebabkan oleh kondisi sarana/prasarana yang tidak aman sehingga menyebabkan cedera dan atau kerugian aset institusi.</t>
  </si>
  <si>
    <t>Discipline</t>
  </si>
  <si>
    <t>Rangkap Jabatan Non Struktural di Departemen Lain.
Contoh: Tenaga Pendidik atau Tenaga Kependidikan yang ditugaskan sebagai Koordinator MK FEH, Staf TLC, Staf LPPM dll.</t>
  </si>
  <si>
    <t xml:space="preserve">* S2: 4 sks (diasumsikan 2/3 beban sks S3) </t>
  </si>
  <si>
    <t>* S3: 6 sks (berdasarkan rubrik BKD Dikti)</t>
  </si>
  <si>
    <t>3.1 Managing Your People</t>
  </si>
  <si>
    <t>DISCIPLINE</t>
  </si>
  <si>
    <t>Aspek disiplin karyawan dievaluasi berdasarkan Kepatuhan dan Tatib Perilaku (HCM)</t>
  </si>
  <si>
    <t>Nama Terang</t>
  </si>
  <si>
    <t>Jabatan atasan langsung</t>
  </si>
  <si>
    <t>Jabatan minimal 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</si>
</sst>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.0%"/>
    <numFmt numFmtId="165" formatCode="0.00000000000000%"/>
  </numFmts>
  <fonts count="65">
    <font>
      <sz val="12"/>
      <color rgb="FF000000"/>
      <name val="Calibri"/>
    </font>
    <font>
      <sz val="11"/>
      <color theme="1"/>
      <name val="Calibri"/>
      <family val="2"/>
      <scheme val="minor"/>
    </font>
    <font>
      <sz val="12"/>
      <name val="Calibri"/>
      <family val="2"/>
    </font>
    <font>
      <b/>
      <sz val="24"/>
      <name val="Cambria"/>
      <family val="1"/>
    </font>
    <font>
      <b/>
      <sz val="12"/>
      <name val="Calibri"/>
      <family val="2"/>
    </font>
    <font>
      <sz val="12"/>
      <color rgb="FF0033CC"/>
      <name val="Calibri"/>
      <family val="2"/>
    </font>
    <font>
      <sz val="12"/>
      <name val="Calibri"/>
      <family val="2"/>
    </font>
    <font>
      <b/>
      <sz val="12"/>
      <color rgb="FF0033CC"/>
      <name val="Calibri"/>
      <family val="2"/>
    </font>
    <font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sz val="24"/>
      <color rgb="FF000000"/>
      <name val="Cambria"/>
      <family val="1"/>
    </font>
    <font>
      <b/>
      <sz val="14"/>
      <color rgb="FF000000"/>
      <name val="Cambria"/>
      <family val="1"/>
    </font>
    <font>
      <sz val="11"/>
      <color rgb="FF0000FF"/>
      <name val="Calibri"/>
      <family val="2"/>
    </font>
    <font>
      <sz val="12"/>
      <color rgb="FF0000FF"/>
      <name val="Calibri"/>
      <family val="2"/>
    </font>
    <font>
      <sz val="12"/>
      <color rgb="FFFF0000"/>
      <name val="Calibri"/>
      <family val="2"/>
    </font>
    <font>
      <sz val="11"/>
      <color rgb="FFFF0000"/>
      <name val="Calibri"/>
      <family val="2"/>
    </font>
    <font>
      <sz val="11"/>
      <color rgb="FFFF0000"/>
      <name val="Noto Sans Symbols"/>
    </font>
    <font>
      <i/>
      <sz val="14"/>
      <color rgb="FF000000"/>
      <name val="Times New Roman"/>
      <family val="1"/>
    </font>
    <font>
      <b/>
      <sz val="14"/>
      <color rgb="FFFFFFFF"/>
      <name val="Calibri"/>
      <family val="2"/>
    </font>
    <font>
      <sz val="14"/>
      <color rgb="FF000000"/>
      <name val="Calibri"/>
      <family val="2"/>
    </font>
    <font>
      <i/>
      <sz val="10"/>
      <color rgb="FF000000"/>
      <name val="Arial"/>
      <family val="2"/>
    </font>
    <font>
      <sz val="10"/>
      <color rgb="FF000000"/>
      <name val="Symbol"/>
      <family val="1"/>
      <charset val="2"/>
    </font>
    <font>
      <sz val="7"/>
      <color rgb="FFFF0000"/>
      <name val="Times New Roman"/>
      <family val="1"/>
    </font>
    <font>
      <sz val="11"/>
      <color rgb="FFFF0000"/>
      <name val="Wingdings"/>
      <charset val="2"/>
    </font>
    <font>
      <sz val="11"/>
      <name val="Calibri"/>
      <family val="2"/>
    </font>
    <font>
      <b/>
      <sz val="11"/>
      <name val="Calibri"/>
      <family val="2"/>
    </font>
    <font>
      <sz val="12"/>
      <name val="Calibri"/>
      <family val="2"/>
    </font>
    <font>
      <sz val="12"/>
      <color rgb="FF0033CC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rgb="FFFF66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12"/>
      <color theme="0"/>
      <name val="Calibri"/>
      <family val="2"/>
      <charset val="1"/>
      <scheme val="minor"/>
    </font>
    <font>
      <sz val="12"/>
      <name val="Calibri"/>
      <family val="2"/>
      <charset val="1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1"/>
      <scheme val="minor"/>
    </font>
    <font>
      <b/>
      <sz val="11"/>
      <color rgb="FF000000"/>
      <name val="Calibri"/>
      <family val="2"/>
      <charset val="1"/>
      <scheme val="minor"/>
    </font>
    <font>
      <b/>
      <sz val="1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name val="Calibri"/>
      <family val="2"/>
    </font>
    <font>
      <sz val="14"/>
      <name val="Calibri"/>
      <family val="2"/>
    </font>
    <font>
      <sz val="14"/>
      <color rgb="FF0033CC"/>
      <name val="Calibri"/>
      <family val="2"/>
    </font>
    <font>
      <sz val="14"/>
      <color rgb="FF0000FF"/>
      <name val="Calibri"/>
      <family val="2"/>
    </font>
    <font>
      <b/>
      <sz val="14"/>
      <color rgb="FF0000CC"/>
      <name val="Calibri"/>
      <family val="2"/>
    </font>
    <font>
      <b/>
      <sz val="14"/>
      <color rgb="FF0033CC"/>
      <name val="Calibri"/>
      <family val="2"/>
    </font>
    <font>
      <sz val="12"/>
      <color rgb="FF0000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8DB3E2"/>
        <bgColor rgb="FF8DB3E2"/>
      </patternFill>
    </fill>
    <fill>
      <patternFill patternType="solid">
        <fgColor rgb="FFFABF8F"/>
        <bgColor rgb="FFFABF8F"/>
      </patternFill>
    </fill>
    <fill>
      <patternFill patternType="solid">
        <fgColor rgb="FF3366FF"/>
        <bgColor rgb="FF3366FF"/>
      </patternFill>
    </fill>
    <fill>
      <patternFill patternType="solid">
        <fgColor rgb="FF0000FF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8">
    <xf numFmtId="0" fontId="0" fillId="0" borderId="0"/>
    <xf numFmtId="0" fontId="31" fillId="0" borderId="0"/>
    <xf numFmtId="9" fontId="31" fillId="0" borderId="0" applyFont="0" applyFill="0" applyBorder="0" applyAlignment="0" applyProtection="0"/>
    <xf numFmtId="0" fontId="11" fillId="0" borderId="0"/>
    <xf numFmtId="41" fontId="31" fillId="0" borderId="0" applyFont="0" applyFill="0" applyBorder="0" applyAlignment="0" applyProtection="0"/>
    <xf numFmtId="0" fontId="34" fillId="0" borderId="0"/>
    <xf numFmtId="0" fontId="11" fillId="0" borderId="0"/>
    <xf numFmtId="9" fontId="34" fillId="0" borderId="0" applyFont="0" applyFill="0" applyBorder="0" applyAlignment="0" applyProtection="0"/>
  </cellStyleXfs>
  <cellXfs count="473">
    <xf numFmtId="0" fontId="0" fillId="0" borderId="0" xfId="0"/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9" fontId="5" fillId="0" borderId="0" xfId="0" applyNumberFormat="1" applyFont="1" applyAlignment="1">
      <alignment vertical="top"/>
    </xf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12" xfId="0" applyFont="1" applyBorder="1"/>
    <xf numFmtId="0" fontId="9" fillId="0" borderId="12" xfId="0" applyFont="1" applyBorder="1" applyAlignment="1">
      <alignment horizontal="center"/>
    </xf>
    <xf numFmtId="0" fontId="9" fillId="0" borderId="0" xfId="0" applyFont="1"/>
    <xf numFmtId="0" fontId="8" fillId="0" borderId="1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0" fillId="0" borderId="13" xfId="0" applyBorder="1" applyAlignment="1">
      <alignment vertical="top" wrapText="1"/>
    </xf>
    <xf numFmtId="0" fontId="8" fillId="0" borderId="13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9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/>
    </xf>
    <xf numFmtId="0" fontId="14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9" fontId="0" fillId="0" borderId="0" xfId="0" applyNumberFormat="1"/>
    <xf numFmtId="0" fontId="9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0" fillId="0" borderId="0" xfId="0" applyAlignment="1">
      <alignment vertical="top"/>
    </xf>
    <xf numFmtId="9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0" fillId="5" borderId="0" xfId="0" applyFill="1" applyAlignment="1">
      <alignment vertical="top" wrapText="1"/>
    </xf>
    <xf numFmtId="0" fontId="0" fillId="0" borderId="1" xfId="0" applyBorder="1" applyAlignment="1">
      <alignment vertical="top"/>
    </xf>
    <xf numFmtId="9" fontId="0" fillId="0" borderId="1" xfId="0" applyNumberFormat="1" applyBorder="1" applyAlignment="1">
      <alignment horizontal="center" vertical="top"/>
    </xf>
    <xf numFmtId="0" fontId="0" fillId="3" borderId="0" xfId="0" applyFill="1" applyAlignment="1">
      <alignment vertical="top" wrapText="1"/>
    </xf>
    <xf numFmtId="0" fontId="0" fillId="0" borderId="5" xfId="0" applyBorder="1" applyAlignment="1">
      <alignment vertical="top"/>
    </xf>
    <xf numFmtId="9" fontId="0" fillId="0" borderId="0" xfId="0" applyNumberFormat="1" applyAlignment="1">
      <alignment horizontal="left" vertical="top" wrapText="1"/>
    </xf>
    <xf numFmtId="0" fontId="0" fillId="0" borderId="7" xfId="0" applyBorder="1" applyAlignment="1">
      <alignment vertical="top" wrapText="1"/>
    </xf>
    <xf numFmtId="164" fontId="0" fillId="0" borderId="12" xfId="0" applyNumberFormat="1" applyBorder="1" applyAlignment="1">
      <alignment horizontal="center" vertical="top"/>
    </xf>
    <xf numFmtId="0" fontId="15" fillId="0" borderId="12" xfId="0" applyFont="1" applyBorder="1" applyAlignment="1">
      <alignment horizontal="center" vertical="top" wrapText="1"/>
    </xf>
    <xf numFmtId="164" fontId="0" fillId="0" borderId="0" xfId="0" applyNumberFormat="1" applyAlignment="1">
      <alignment vertical="top"/>
    </xf>
    <xf numFmtId="2" fontId="0" fillId="0" borderId="12" xfId="0" applyNumberFormat="1" applyBorder="1" applyAlignment="1">
      <alignment horizontal="center" vertical="top"/>
    </xf>
    <xf numFmtId="0" fontId="0" fillId="0" borderId="13" xfId="0" applyBorder="1" applyAlignment="1">
      <alignment vertical="top"/>
    </xf>
    <xf numFmtId="0" fontId="16" fillId="3" borderId="0" xfId="0" applyFont="1" applyFill="1" applyAlignment="1">
      <alignment vertical="top" wrapText="1"/>
    </xf>
    <xf numFmtId="0" fontId="16" fillId="0" borderId="0" xfId="0" applyFont="1" applyAlignment="1">
      <alignment vertical="top" wrapText="1"/>
    </xf>
    <xf numFmtId="9" fontId="0" fillId="0" borderId="13" xfId="0" applyNumberFormat="1" applyBorder="1" applyAlignment="1">
      <alignment horizontal="center" vertical="top"/>
    </xf>
    <xf numFmtId="0" fontId="9" fillId="0" borderId="0" xfId="0" applyFont="1" applyAlignment="1">
      <alignment vertical="top"/>
    </xf>
    <xf numFmtId="0" fontId="0" fillId="0" borderId="8" xfId="0" applyBorder="1" applyAlignment="1">
      <alignment vertical="top"/>
    </xf>
    <xf numFmtId="9" fontId="9" fillId="0" borderId="0" xfId="0" applyNumberFormat="1" applyFont="1" applyAlignment="1">
      <alignment vertical="top"/>
    </xf>
    <xf numFmtId="9" fontId="0" fillId="0" borderId="8" xfId="0" applyNumberFormat="1" applyBorder="1" applyAlignment="1">
      <alignment horizontal="center" vertical="top"/>
    </xf>
    <xf numFmtId="0" fontId="9" fillId="0" borderId="0" xfId="0" applyFont="1" applyAlignment="1">
      <alignment vertical="top" wrapText="1"/>
    </xf>
    <xf numFmtId="0" fontId="17" fillId="0" borderId="0" xfId="0" applyFont="1"/>
    <xf numFmtId="0" fontId="16" fillId="0" borderId="0" xfId="0" applyFont="1"/>
    <xf numFmtId="0" fontId="18" fillId="0" borderId="0" xfId="0" applyFont="1"/>
    <xf numFmtId="0" fontId="9" fillId="0" borderId="12" xfId="0" applyFont="1" applyBorder="1" applyAlignment="1">
      <alignment vertical="center" wrapText="1"/>
    </xf>
    <xf numFmtId="9" fontId="9" fillId="0" borderId="12" xfId="0" applyNumberFormat="1" applyFont="1" applyBorder="1" applyAlignment="1">
      <alignment horizontal="center" vertical="center"/>
    </xf>
    <xf numFmtId="0" fontId="5" fillId="0" borderId="0" xfId="0" applyFont="1" applyAlignment="1">
      <alignment vertical="top" wrapText="1"/>
    </xf>
    <xf numFmtId="9" fontId="9" fillId="0" borderId="5" xfId="0" applyNumberFormat="1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9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 wrapText="1"/>
    </xf>
    <xf numFmtId="9" fontId="9" fillId="0" borderId="0" xfId="0" applyNumberFormat="1" applyFont="1" applyAlignment="1">
      <alignment horizontal="left" vertical="top"/>
    </xf>
    <xf numFmtId="9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164" fontId="26" fillId="0" borderId="18" xfId="0" applyNumberFormat="1" applyFont="1" applyBorder="1" applyAlignment="1">
      <alignment horizontal="center" vertical="center" wrapText="1"/>
    </xf>
    <xf numFmtId="0" fontId="26" fillId="0" borderId="18" xfId="0" applyFont="1" applyBorder="1" applyAlignment="1">
      <alignment horizontal="left" vertical="center" wrapText="1"/>
    </xf>
    <xf numFmtId="0" fontId="26" fillId="0" borderId="18" xfId="0" applyFont="1" applyBorder="1" applyAlignment="1">
      <alignment vertical="center" wrapText="1"/>
    </xf>
    <xf numFmtId="9" fontId="26" fillId="0" borderId="18" xfId="0" applyNumberFormat="1" applyFont="1" applyBorder="1" applyAlignment="1">
      <alignment horizontal="center" vertical="center" wrapText="1"/>
    </xf>
    <xf numFmtId="164" fontId="28" fillId="0" borderId="18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9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9" fillId="0" borderId="0" xfId="0" applyFont="1" applyAlignment="1">
      <alignment vertical="center"/>
    </xf>
    <xf numFmtId="9" fontId="33" fillId="7" borderId="0" xfId="2" applyFont="1" applyFill="1" applyAlignment="1">
      <alignment horizontal="center"/>
    </xf>
    <xf numFmtId="9" fontId="34" fillId="0" borderId="0" xfId="2" applyFont="1" applyAlignment="1">
      <alignment horizontal="center"/>
    </xf>
    <xf numFmtId="9" fontId="33" fillId="8" borderId="0" xfId="2" applyFont="1" applyFill="1" applyAlignment="1">
      <alignment horizontal="center"/>
    </xf>
    <xf numFmtId="9" fontId="34" fillId="0" borderId="0" xfId="2" applyFont="1" applyAlignment="1">
      <alignment horizontal="center" vertical="center"/>
    </xf>
    <xf numFmtId="9" fontId="34" fillId="0" borderId="29" xfId="2" applyFont="1" applyBorder="1" applyAlignment="1">
      <alignment horizontal="center" vertical="top" wrapText="1"/>
    </xf>
    <xf numFmtId="0" fontId="2" fillId="0" borderId="18" xfId="0" applyFont="1" applyBorder="1" applyAlignment="1">
      <alignment horizontal="left" vertical="center" wrapText="1"/>
    </xf>
    <xf numFmtId="164" fontId="15" fillId="0" borderId="18" xfId="0" applyNumberFormat="1" applyFont="1" applyBorder="1" applyAlignment="1">
      <alignment horizontal="center" vertical="center" wrapText="1"/>
    </xf>
    <xf numFmtId="0" fontId="15" fillId="0" borderId="18" xfId="0" applyFont="1" applyBorder="1" applyAlignment="1">
      <alignment vertical="center" wrapText="1"/>
    </xf>
    <xf numFmtId="9" fontId="15" fillId="0" borderId="18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vertical="center" wrapText="1"/>
    </xf>
    <xf numFmtId="9" fontId="2" fillId="0" borderId="18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vertical="center"/>
    </xf>
    <xf numFmtId="10" fontId="15" fillId="0" borderId="18" xfId="0" quotePrefix="1" applyNumberFormat="1" applyFont="1" applyBorder="1" applyAlignment="1">
      <alignment horizontal="center" vertical="center" wrapText="1"/>
    </xf>
    <xf numFmtId="10" fontId="2" fillId="0" borderId="18" xfId="0" applyNumberFormat="1" applyFont="1" applyBorder="1" applyAlignment="1">
      <alignment horizontal="center" vertical="center" wrapText="1"/>
    </xf>
    <xf numFmtId="10" fontId="15" fillId="0" borderId="18" xfId="0" applyNumberFormat="1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/>
    </xf>
    <xf numFmtId="0" fontId="14" fillId="0" borderId="18" xfId="0" applyFont="1" applyBorder="1" applyAlignment="1">
      <alignment horizontal="left" vertical="center" wrapText="1"/>
    </xf>
    <xf numFmtId="164" fontId="14" fillId="0" borderId="18" xfId="0" applyNumberFormat="1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7" fillId="0" borderId="18" xfId="0" applyFont="1" applyBorder="1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5" fillId="0" borderId="18" xfId="0" applyFont="1" applyBorder="1" applyAlignment="1">
      <alignment vertical="center" wrapText="1"/>
    </xf>
    <xf numFmtId="0" fontId="45" fillId="0" borderId="18" xfId="0" applyFont="1" applyBorder="1" applyAlignment="1">
      <alignment horizontal="center" vertical="center" wrapText="1"/>
    </xf>
    <xf numFmtId="0" fontId="50" fillId="0" borderId="0" xfId="1" applyFont="1" applyAlignment="1">
      <alignment horizontal="left" vertical="top" wrapText="1"/>
    </xf>
    <xf numFmtId="0" fontId="50" fillId="0" borderId="0" xfId="1" applyFont="1" applyAlignment="1">
      <alignment horizontal="center" vertical="top" wrapText="1"/>
    </xf>
    <xf numFmtId="0" fontId="31" fillId="0" borderId="0" xfId="1"/>
    <xf numFmtId="0" fontId="51" fillId="0" borderId="0" xfId="1" applyFont="1" applyAlignment="1">
      <alignment horizontal="left" vertical="top" wrapText="1"/>
    </xf>
    <xf numFmtId="0" fontId="52" fillId="0" borderId="0" xfId="1" applyFont="1" applyAlignment="1">
      <alignment horizontal="left" vertical="top" wrapText="1"/>
    </xf>
    <xf numFmtId="0" fontId="52" fillId="0" borderId="0" xfId="1" applyFont="1" applyAlignment="1">
      <alignment horizontal="center" vertical="top" wrapText="1"/>
    </xf>
    <xf numFmtId="0" fontId="31" fillId="0" borderId="0" xfId="1" applyAlignment="1">
      <alignment vertical="top" wrapText="1"/>
    </xf>
    <xf numFmtId="9" fontId="26" fillId="0" borderId="0" xfId="1" applyNumberFormat="1" applyFont="1" applyAlignment="1">
      <alignment horizontal="center" vertical="top" wrapText="1"/>
    </xf>
    <xf numFmtId="0" fontId="31" fillId="0" borderId="0" xfId="1" applyAlignment="1">
      <alignment horizontal="center" vertical="top" wrapText="1"/>
    </xf>
    <xf numFmtId="0" fontId="31" fillId="0" borderId="0" xfId="1" applyAlignment="1">
      <alignment wrapText="1"/>
    </xf>
    <xf numFmtId="0" fontId="31" fillId="0" borderId="0" xfId="1" applyAlignment="1">
      <alignment vertical="top"/>
    </xf>
    <xf numFmtId="0" fontId="53" fillId="0" borderId="0" xfId="1" applyFont="1" applyAlignment="1">
      <alignment vertical="top" wrapText="1"/>
    </xf>
    <xf numFmtId="9" fontId="53" fillId="0" borderId="0" xfId="1" applyNumberFormat="1" applyFont="1" applyAlignment="1">
      <alignment horizontal="center" vertical="top" wrapText="1"/>
    </xf>
    <xf numFmtId="9" fontId="31" fillId="0" borderId="0" xfId="1" applyNumberFormat="1" applyAlignment="1">
      <alignment vertical="top"/>
    </xf>
    <xf numFmtId="9" fontId="0" fillId="0" borderId="0" xfId="2" applyFont="1" applyAlignment="1">
      <alignment vertical="top"/>
    </xf>
    <xf numFmtId="0" fontId="26" fillId="0" borderId="0" xfId="1" applyFont="1" applyAlignment="1">
      <alignment horizontal="left" vertical="top" wrapText="1"/>
    </xf>
    <xf numFmtId="0" fontId="31" fillId="9" borderId="0" xfId="1" applyFill="1" applyAlignment="1">
      <alignment vertical="top" wrapText="1"/>
    </xf>
    <xf numFmtId="9" fontId="31" fillId="9" borderId="0" xfId="1" applyNumberFormat="1" applyFill="1" applyAlignment="1">
      <alignment horizontal="center" vertical="top" wrapText="1"/>
    </xf>
    <xf numFmtId="0" fontId="31" fillId="9" borderId="0" xfId="1" applyFill="1" applyAlignment="1">
      <alignment horizontal="left" vertical="top" wrapText="1"/>
    </xf>
    <xf numFmtId="0" fontId="50" fillId="9" borderId="0" xfId="1" applyFont="1" applyFill="1" applyAlignment="1">
      <alignment horizontal="left" vertical="top" wrapText="1"/>
    </xf>
    <xf numFmtId="9" fontId="50" fillId="9" borderId="0" xfId="1" applyNumberFormat="1" applyFont="1" applyFill="1" applyAlignment="1">
      <alignment horizontal="center" vertical="top" wrapText="1"/>
    </xf>
    <xf numFmtId="0" fontId="31" fillId="9" borderId="0" xfId="1" applyFill="1" applyAlignment="1">
      <alignment horizontal="center" vertical="top" wrapText="1"/>
    </xf>
    <xf numFmtId="0" fontId="31" fillId="0" borderId="0" xfId="1" applyAlignment="1">
      <alignment horizontal="center"/>
    </xf>
    <xf numFmtId="0" fontId="26" fillId="0" borderId="0" xfId="1" applyFont="1" applyAlignment="1">
      <alignment horizontal="center" vertical="top" wrapText="1"/>
    </xf>
    <xf numFmtId="0" fontId="54" fillId="0" borderId="0" xfId="1" applyFont="1" applyAlignment="1">
      <alignment horizontal="left" vertical="top" wrapText="1"/>
    </xf>
    <xf numFmtId="0" fontId="27" fillId="0" borderId="0" xfId="1" applyFont="1" applyAlignment="1">
      <alignment horizontal="left" vertical="top" wrapText="1"/>
    </xf>
    <xf numFmtId="0" fontId="27" fillId="0" borderId="0" xfId="1" applyFont="1" applyAlignment="1">
      <alignment horizontal="center" vertical="top" wrapText="1"/>
    </xf>
    <xf numFmtId="0" fontId="55" fillId="0" borderId="0" xfId="1" applyFont="1" applyAlignment="1">
      <alignment vertical="top" wrapText="1"/>
    </xf>
    <xf numFmtId="0" fontId="26" fillId="9" borderId="0" xfId="1" applyFont="1" applyFill="1" applyAlignment="1">
      <alignment horizontal="left" vertical="top" wrapText="1"/>
    </xf>
    <xf numFmtId="10" fontId="11" fillId="9" borderId="0" xfId="1" applyNumberFormat="1" applyFont="1" applyFill="1" applyAlignment="1">
      <alignment horizontal="center" vertical="top"/>
    </xf>
    <xf numFmtId="9" fontId="26" fillId="9" borderId="0" xfId="1" applyNumberFormat="1" applyFont="1" applyFill="1" applyAlignment="1">
      <alignment horizontal="center" vertical="top" wrapText="1"/>
    </xf>
    <xf numFmtId="0" fontId="26" fillId="14" borderId="0" xfId="1" applyFont="1" applyFill="1" applyAlignment="1">
      <alignment horizontal="center" vertical="top" wrapText="1"/>
    </xf>
    <xf numFmtId="0" fontId="1" fillId="0" borderId="43" xfId="1" applyFont="1" applyBorder="1" applyAlignment="1">
      <alignment vertical="top" wrapText="1"/>
    </xf>
    <xf numFmtId="0" fontId="1" fillId="0" borderId="43" xfId="1" applyFont="1" applyBorder="1" applyAlignment="1">
      <alignment horizontal="left" vertical="top" wrapText="1"/>
    </xf>
    <xf numFmtId="0" fontId="1" fillId="0" borderId="44" xfId="1" applyFont="1" applyBorder="1" applyAlignment="1">
      <alignment vertical="top" wrapText="1"/>
    </xf>
    <xf numFmtId="0" fontId="1" fillId="0" borderId="45" xfId="1" applyFont="1" applyBorder="1" applyAlignment="1">
      <alignment vertical="top" wrapText="1"/>
    </xf>
    <xf numFmtId="0" fontId="1" fillId="0" borderId="46" xfId="1" applyFont="1" applyBorder="1" applyAlignment="1">
      <alignment vertical="top" wrapText="1"/>
    </xf>
    <xf numFmtId="0" fontId="49" fillId="0" borderId="0" xfId="1" applyFont="1" applyAlignment="1">
      <alignment vertical="top"/>
    </xf>
    <xf numFmtId="0" fontId="56" fillId="0" borderId="43" xfId="1" applyFont="1" applyBorder="1" applyAlignment="1">
      <alignment vertical="top" wrapText="1"/>
    </xf>
    <xf numFmtId="0" fontId="49" fillId="0" borderId="43" xfId="1" applyFont="1" applyBorder="1" applyAlignment="1">
      <alignment vertical="top" wrapText="1"/>
    </xf>
    <xf numFmtId="0" fontId="49" fillId="0" borderId="43" xfId="1" applyFont="1" applyBorder="1" applyAlignment="1">
      <alignment horizontal="left" vertical="top" wrapText="1"/>
    </xf>
    <xf numFmtId="0" fontId="55" fillId="0" borderId="43" xfId="1" applyFont="1" applyBorder="1" applyAlignment="1">
      <alignment vertical="top" wrapText="1"/>
    </xf>
    <xf numFmtId="20" fontId="55" fillId="0" borderId="43" xfId="1" quotePrefix="1" applyNumberFormat="1" applyFont="1" applyBorder="1" applyAlignment="1">
      <alignment horizontal="left" vertical="top" wrapText="1"/>
    </xf>
    <xf numFmtId="0" fontId="55" fillId="0" borderId="43" xfId="1" applyFont="1" applyBorder="1" applyAlignment="1">
      <alignment horizontal="left" vertical="top" wrapText="1"/>
    </xf>
    <xf numFmtId="41" fontId="55" fillId="0" borderId="43" xfId="4" applyFont="1" applyBorder="1" applyAlignment="1">
      <alignment horizontal="left" vertical="top" wrapText="1"/>
    </xf>
    <xf numFmtId="0" fontId="31" fillId="15" borderId="0" xfId="1" applyFill="1" applyAlignment="1">
      <alignment vertical="top"/>
    </xf>
    <xf numFmtId="0" fontId="55" fillId="15" borderId="43" xfId="1" applyFont="1" applyFill="1" applyBorder="1" applyAlignment="1">
      <alignment vertical="top" wrapText="1"/>
    </xf>
    <xf numFmtId="0" fontId="1" fillId="15" borderId="43" xfId="1" applyFont="1" applyFill="1" applyBorder="1" applyAlignment="1">
      <alignment vertical="top" wrapText="1"/>
    </xf>
    <xf numFmtId="9" fontId="57" fillId="15" borderId="43" xfId="1" applyNumberFormat="1" applyFont="1" applyFill="1" applyBorder="1" applyAlignment="1">
      <alignment horizontal="left" vertical="top" wrapText="1"/>
    </xf>
    <xf numFmtId="9" fontId="1" fillId="15" borderId="43" xfId="1" applyNumberFormat="1" applyFont="1" applyFill="1" applyBorder="1" applyAlignment="1">
      <alignment horizontal="left" vertical="top" wrapText="1"/>
    </xf>
    <xf numFmtId="9" fontId="55" fillId="15" borderId="43" xfId="1" applyNumberFormat="1" applyFont="1" applyFill="1" applyBorder="1" applyAlignment="1">
      <alignment horizontal="left" vertical="top" wrapText="1"/>
    </xf>
    <xf numFmtId="0" fontId="55" fillId="15" borderId="43" xfId="1" applyFont="1" applyFill="1" applyBorder="1" applyAlignment="1">
      <alignment horizontal="left" vertical="top" wrapText="1"/>
    </xf>
    <xf numFmtId="0" fontId="1" fillId="15" borderId="43" xfId="1" applyFont="1" applyFill="1" applyBorder="1" applyAlignment="1">
      <alignment horizontal="left" vertical="top" wrapText="1"/>
    </xf>
    <xf numFmtId="0" fontId="31" fillId="0" borderId="0" xfId="1" applyAlignment="1">
      <alignment horizontal="left" vertical="top"/>
    </xf>
    <xf numFmtId="9" fontId="26" fillId="16" borderId="0" xfId="1" applyNumberFormat="1" applyFont="1" applyFill="1" applyAlignment="1">
      <alignment horizontal="center" vertical="top" wrapText="1"/>
    </xf>
    <xf numFmtId="0" fontId="31" fillId="17" borderId="0" xfId="1" applyFill="1" applyAlignment="1">
      <alignment vertical="top" wrapText="1"/>
    </xf>
    <xf numFmtId="9" fontId="31" fillId="17" borderId="0" xfId="1" applyNumberFormat="1" applyFill="1" applyAlignment="1">
      <alignment horizontal="center" vertical="top" wrapText="1"/>
    </xf>
    <xf numFmtId="0" fontId="26" fillId="17" borderId="0" xfId="1" applyFont="1" applyFill="1" applyAlignment="1">
      <alignment horizontal="left" vertical="top" wrapText="1"/>
    </xf>
    <xf numFmtId="9" fontId="26" fillId="17" borderId="0" xfId="1" applyNumberFormat="1" applyFont="1" applyFill="1" applyAlignment="1">
      <alignment horizontal="center" vertical="top" wrapText="1"/>
    </xf>
    <xf numFmtId="0" fontId="31" fillId="17" borderId="0" xfId="1" applyFill="1" applyAlignment="1">
      <alignment horizontal="center" vertical="top" wrapText="1"/>
    </xf>
    <xf numFmtId="0" fontId="31" fillId="17" borderId="0" xfId="1" applyFill="1" applyAlignment="1">
      <alignment horizontal="left" vertical="top" wrapText="1"/>
    </xf>
    <xf numFmtId="0" fontId="26" fillId="0" borderId="0" xfId="1" applyFont="1" applyAlignment="1">
      <alignment vertical="top" wrapText="1"/>
    </xf>
    <xf numFmtId="9" fontId="0" fillId="0" borderId="0" xfId="2" applyFont="1"/>
    <xf numFmtId="9" fontId="31" fillId="0" borderId="0" xfId="1" applyNumberFormat="1"/>
    <xf numFmtId="9" fontId="45" fillId="9" borderId="0" xfId="1" applyNumberFormat="1" applyFont="1" applyFill="1" applyAlignment="1">
      <alignment horizontal="center" vertical="top"/>
    </xf>
    <xf numFmtId="0" fontId="26" fillId="9" borderId="0" xfId="1" applyFont="1" applyFill="1" applyAlignment="1">
      <alignment horizontal="center" vertical="top" wrapText="1"/>
    </xf>
    <xf numFmtId="0" fontId="31" fillId="0" borderId="0" xfId="1" applyAlignment="1">
      <alignment horizontal="center" vertical="top"/>
    </xf>
    <xf numFmtId="0" fontId="31" fillId="0" borderId="0" xfId="1" applyAlignment="1">
      <alignment horizontal="left" vertical="top" wrapText="1"/>
    </xf>
    <xf numFmtId="9" fontId="26" fillId="0" borderId="0" xfId="1" applyNumberFormat="1" applyFont="1" applyAlignment="1">
      <alignment horizontal="left" vertical="top"/>
    </xf>
    <xf numFmtId="9" fontId="26" fillId="0" borderId="0" xfId="1" applyNumberFormat="1" applyFont="1" applyAlignment="1">
      <alignment horizontal="left" vertical="top" wrapText="1"/>
    </xf>
    <xf numFmtId="165" fontId="31" fillId="0" borderId="0" xfId="1" applyNumberFormat="1"/>
    <xf numFmtId="9" fontId="45" fillId="9" borderId="0" xfId="1" applyNumberFormat="1" applyFont="1" applyFill="1" applyAlignment="1">
      <alignment horizontal="left" vertical="top"/>
    </xf>
    <xf numFmtId="9" fontId="26" fillId="9" borderId="0" xfId="1" applyNumberFormat="1" applyFont="1" applyFill="1" applyAlignment="1">
      <alignment horizontal="left" vertical="top" wrapText="1"/>
    </xf>
    <xf numFmtId="9" fontId="31" fillId="9" borderId="0" xfId="1" applyNumberFormat="1" applyFill="1" applyAlignment="1">
      <alignment horizontal="left" vertical="top" wrapText="1"/>
    </xf>
    <xf numFmtId="0" fontId="31" fillId="0" borderId="0" xfId="1" applyAlignment="1">
      <alignment horizontal="left"/>
    </xf>
    <xf numFmtId="0" fontId="58" fillId="0" borderId="0" xfId="0" applyFont="1" applyAlignment="1">
      <alignment vertical="center"/>
    </xf>
    <xf numFmtId="0" fontId="59" fillId="0" borderId="0" xfId="0" applyFont="1" applyAlignment="1">
      <alignment vertical="center" wrapText="1"/>
    </xf>
    <xf numFmtId="0" fontId="60" fillId="0" borderId="0" xfId="0" applyFont="1" applyAlignment="1">
      <alignment vertical="center"/>
    </xf>
    <xf numFmtId="0" fontId="59" fillId="0" borderId="0" xfId="0" applyFont="1" applyAlignment="1">
      <alignment horizontal="center" vertical="center" wrapText="1"/>
    </xf>
    <xf numFmtId="0" fontId="60" fillId="0" borderId="0" xfId="0" applyFont="1" applyAlignment="1">
      <alignment horizontal="left" vertical="center"/>
    </xf>
    <xf numFmtId="0" fontId="59" fillId="2" borderId="12" xfId="0" applyFont="1" applyFill="1" applyBorder="1" applyAlignment="1">
      <alignment horizontal="center" vertical="center"/>
    </xf>
    <xf numFmtId="0" fontId="58" fillId="2" borderId="12" xfId="0" applyFont="1" applyFill="1" applyBorder="1" applyAlignment="1">
      <alignment horizontal="center" vertical="center"/>
    </xf>
    <xf numFmtId="0" fontId="58" fillId="2" borderId="5" xfId="0" applyFont="1" applyFill="1" applyBorder="1" applyAlignment="1">
      <alignment horizontal="center" vertical="center"/>
    </xf>
    <xf numFmtId="0" fontId="61" fillId="0" borderId="20" xfId="0" applyFont="1" applyBorder="1" applyAlignment="1">
      <alignment vertical="top" wrapText="1"/>
    </xf>
    <xf numFmtId="0" fontId="59" fillId="0" borderId="0" xfId="0" applyFont="1" applyAlignment="1">
      <alignment horizontal="center" vertical="center"/>
    </xf>
    <xf numFmtId="0" fontId="59" fillId="0" borderId="0" xfId="0" applyFont="1" applyAlignment="1">
      <alignment vertical="center"/>
    </xf>
    <xf numFmtId="0" fontId="59" fillId="0" borderId="0" xfId="0" applyFont="1" applyAlignment="1">
      <alignment horizontal="left" vertical="center" wrapText="1"/>
    </xf>
    <xf numFmtId="164" fontId="58" fillId="0" borderId="0" xfId="0" applyNumberFormat="1" applyFont="1" applyAlignment="1">
      <alignment horizontal="left" vertical="center"/>
    </xf>
    <xf numFmtId="0" fontId="60" fillId="0" borderId="0" xfId="0" applyFont="1" applyAlignment="1">
      <alignment horizontal="center" vertical="center"/>
    </xf>
    <xf numFmtId="0" fontId="60" fillId="0" borderId="0" xfId="0" applyFont="1" applyAlignment="1">
      <alignment horizontal="left" vertical="center" wrapText="1"/>
    </xf>
    <xf numFmtId="164" fontId="63" fillId="0" borderId="0" xfId="0" applyNumberFormat="1" applyFont="1" applyAlignment="1">
      <alignment horizontal="left" vertical="center"/>
    </xf>
    <xf numFmtId="0" fontId="58" fillId="0" borderId="19" xfId="0" applyFont="1" applyBorder="1" applyAlignment="1">
      <alignment horizontal="center" vertical="top"/>
    </xf>
    <xf numFmtId="0" fontId="58" fillId="0" borderId="21" xfId="0" applyFont="1" applyBorder="1" applyAlignment="1">
      <alignment vertical="top" wrapText="1"/>
    </xf>
    <xf numFmtId="0" fontId="59" fillId="0" borderId="20" xfId="0" applyFont="1" applyBorder="1" applyAlignment="1">
      <alignment horizontal="center" vertical="top"/>
    </xf>
    <xf numFmtId="0" fontId="59" fillId="0" borderId="20" xfId="0" applyFont="1" applyBorder="1" applyAlignment="1">
      <alignment horizontal="left" vertical="top" wrapText="1"/>
    </xf>
    <xf numFmtId="164" fontId="59" fillId="0" borderId="18" xfId="0" applyNumberFormat="1" applyFont="1" applyBorder="1" applyAlignment="1">
      <alignment horizontal="center" vertical="top" wrapText="1"/>
    </xf>
    <xf numFmtId="0" fontId="21" fillId="0" borderId="0" xfId="0" applyFont="1" applyAlignment="1">
      <alignment horizontal="left" vertical="top" wrapText="1"/>
    </xf>
    <xf numFmtId="0" fontId="59" fillId="0" borderId="12" xfId="0" applyFont="1" applyBorder="1" applyAlignment="1">
      <alignment vertical="top" wrapText="1"/>
    </xf>
    <xf numFmtId="0" fontId="21" fillId="0" borderId="12" xfId="0" applyFont="1" applyBorder="1" applyAlignment="1">
      <alignment horizontal="left" vertical="top" wrapText="1"/>
    </xf>
    <xf numFmtId="0" fontId="59" fillId="0" borderId="8" xfId="0" applyFont="1" applyBorder="1" applyAlignment="1">
      <alignment vertical="top" wrapText="1"/>
    </xf>
    <xf numFmtId="0" fontId="58" fillId="0" borderId="22" xfId="0" applyFont="1" applyBorder="1" applyAlignment="1">
      <alignment horizontal="center" vertical="top"/>
    </xf>
    <xf numFmtId="0" fontId="58" fillId="0" borderId="23" xfId="0" applyFont="1" applyBorder="1" applyAlignment="1">
      <alignment vertical="top" wrapText="1"/>
    </xf>
    <xf numFmtId="0" fontId="61" fillId="0" borderId="20" xfId="0" applyFont="1" applyBorder="1" applyAlignment="1">
      <alignment horizontal="center" vertical="top"/>
    </xf>
    <xf numFmtId="164" fontId="61" fillId="0" borderId="18" xfId="0" applyNumberFormat="1" applyFont="1" applyBorder="1" applyAlignment="1">
      <alignment horizontal="center" vertical="top" wrapText="1"/>
    </xf>
    <xf numFmtId="0" fontId="61" fillId="0" borderId="18" xfId="0" applyFont="1" applyBorder="1" applyAlignment="1">
      <alignment vertical="top" wrapText="1"/>
    </xf>
    <xf numFmtId="9" fontId="61" fillId="0" borderId="18" xfId="0" applyNumberFormat="1" applyFont="1" applyBorder="1" applyAlignment="1">
      <alignment horizontal="center" vertical="top" wrapText="1"/>
    </xf>
    <xf numFmtId="0" fontId="59" fillId="0" borderId="7" xfId="0" applyFont="1" applyBorder="1" applyAlignment="1">
      <alignment vertical="top" wrapText="1"/>
    </xf>
    <xf numFmtId="0" fontId="58" fillId="0" borderId="24" xfId="0" applyFont="1" applyBorder="1" applyAlignment="1">
      <alignment horizontal="center" vertical="top"/>
    </xf>
    <xf numFmtId="0" fontId="58" fillId="0" borderId="25" xfId="0" applyFont="1" applyBorder="1" applyAlignment="1">
      <alignment vertical="top" wrapText="1"/>
    </xf>
    <xf numFmtId="0" fontId="60" fillId="0" borderId="20" xfId="0" applyFont="1" applyBorder="1" applyAlignment="1">
      <alignment horizontal="center" vertical="top"/>
    </xf>
    <xf numFmtId="0" fontId="61" fillId="0" borderId="20" xfId="0" applyFont="1" applyBorder="1" applyAlignment="1">
      <alignment horizontal="left" vertical="top" wrapText="1"/>
    </xf>
    <xf numFmtId="0" fontId="59" fillId="0" borderId="20" xfId="0" applyFont="1" applyBorder="1" applyAlignment="1">
      <alignment vertical="top" wrapText="1"/>
    </xf>
    <xf numFmtId="0" fontId="59" fillId="0" borderId="18" xfId="0" applyFont="1" applyBorder="1" applyAlignment="1">
      <alignment vertical="top" wrapText="1"/>
    </xf>
    <xf numFmtId="9" fontId="59" fillId="0" borderId="18" xfId="0" applyNumberFormat="1" applyFont="1" applyBorder="1" applyAlignment="1">
      <alignment horizontal="center" vertical="top" wrapText="1"/>
    </xf>
    <xf numFmtId="0" fontId="59" fillId="0" borderId="25" xfId="0" applyFont="1" applyBorder="1" applyAlignment="1">
      <alignment vertical="top" wrapText="1"/>
    </xf>
    <xf numFmtId="0" fontId="60" fillId="0" borderId="7" xfId="0" applyFont="1" applyBorder="1" applyAlignment="1">
      <alignment vertical="top" wrapText="1"/>
    </xf>
    <xf numFmtId="0" fontId="60" fillId="0" borderId="12" xfId="0" applyFont="1" applyBorder="1" applyAlignment="1">
      <alignment vertical="top" wrapText="1"/>
    </xf>
    <xf numFmtId="0" fontId="58" fillId="0" borderId="27" xfId="0" applyFont="1" applyBorder="1" applyAlignment="1">
      <alignment vertical="top" wrapText="1"/>
    </xf>
    <xf numFmtId="0" fontId="59" fillId="0" borderId="28" xfId="0" applyFont="1" applyBorder="1" applyAlignment="1">
      <alignment horizontal="center" vertical="top"/>
    </xf>
    <xf numFmtId="0" fontId="62" fillId="0" borderId="27" xfId="0" applyFont="1" applyBorder="1" applyAlignment="1">
      <alignment vertical="top" wrapText="1"/>
    </xf>
    <xf numFmtId="0" fontId="59" fillId="0" borderId="40" xfId="0" applyFont="1" applyBorder="1" applyAlignment="1">
      <alignment horizontal="center" vertical="top"/>
    </xf>
    <xf numFmtId="0" fontId="59" fillId="0" borderId="26" xfId="0" applyFont="1" applyBorder="1" applyAlignment="1">
      <alignment horizontal="center" vertical="top"/>
    </xf>
    <xf numFmtId="0" fontId="21" fillId="0" borderId="18" xfId="0" applyFont="1" applyBorder="1" applyAlignment="1">
      <alignment horizontal="left" vertical="top" wrapText="1"/>
    </xf>
    <xf numFmtId="0" fontId="59" fillId="0" borderId="34" xfId="0" applyFont="1" applyBorder="1" applyAlignment="1">
      <alignment horizontal="center" vertical="top" wrapText="1"/>
    </xf>
    <xf numFmtId="0" fontId="59" fillId="0" borderId="38" xfId="0" applyFont="1" applyBorder="1" applyAlignment="1">
      <alignment horizontal="center" vertical="top" wrapText="1"/>
    </xf>
    <xf numFmtId="0" fontId="32" fillId="7" borderId="0" xfId="3" applyFont="1" applyFill="1" applyAlignment="1">
      <alignment horizontal="left"/>
    </xf>
    <xf numFmtId="0" fontId="33" fillId="7" borderId="0" xfId="3" applyFont="1" applyFill="1"/>
    <xf numFmtId="0" fontId="33" fillId="7" borderId="0" xfId="3" applyFont="1" applyFill="1" applyAlignment="1">
      <alignment wrapText="1"/>
    </xf>
    <xf numFmtId="0" fontId="33" fillId="7" borderId="0" xfId="3" applyFont="1" applyFill="1" applyAlignment="1">
      <alignment horizontal="center" wrapText="1"/>
    </xf>
    <xf numFmtId="0" fontId="34" fillId="0" borderId="0" xfId="3" applyFont="1"/>
    <xf numFmtId="0" fontId="35" fillId="0" borderId="0" xfId="3" applyFont="1"/>
    <xf numFmtId="0" fontId="34" fillId="0" borderId="0" xfId="3" applyFont="1" applyAlignment="1">
      <alignment wrapText="1"/>
    </xf>
    <xf numFmtId="0" fontId="36" fillId="0" borderId="0" xfId="3" applyFont="1" applyAlignment="1">
      <alignment horizontal="left"/>
    </xf>
    <xf numFmtId="0" fontId="34" fillId="0" borderId="0" xfId="3" applyFont="1" applyAlignment="1">
      <alignment horizontal="center" wrapText="1"/>
    </xf>
    <xf numFmtId="0" fontId="37" fillId="0" borderId="0" xfId="3" applyFont="1" applyAlignment="1">
      <alignment horizontal="left"/>
    </xf>
    <xf numFmtId="0" fontId="35" fillId="0" borderId="0" xfId="3" applyFont="1" applyAlignment="1">
      <alignment horizontal="left"/>
    </xf>
    <xf numFmtId="0" fontId="32" fillId="8" borderId="0" xfId="3" applyFont="1" applyFill="1" applyAlignment="1">
      <alignment horizontal="left"/>
    </xf>
    <xf numFmtId="0" fontId="33" fillId="8" borderId="0" xfId="3" applyFont="1" applyFill="1"/>
    <xf numFmtId="0" fontId="33" fillId="8" borderId="0" xfId="3" applyFont="1" applyFill="1" applyAlignment="1">
      <alignment wrapText="1"/>
    </xf>
    <xf numFmtId="0" fontId="33" fillId="8" borderId="0" xfId="3" applyFont="1" applyFill="1" applyAlignment="1">
      <alignment horizontal="center" wrapText="1"/>
    </xf>
    <xf numFmtId="0" fontId="34" fillId="8" borderId="0" xfId="3" applyFont="1" applyFill="1"/>
    <xf numFmtId="0" fontId="38" fillId="0" borderId="0" xfId="3" applyFont="1" applyAlignment="1">
      <alignment horizontal="left"/>
    </xf>
    <xf numFmtId="0" fontId="35" fillId="0" borderId="0" xfId="3" applyFont="1" applyAlignment="1">
      <alignment horizontal="left" vertical="center"/>
    </xf>
    <xf numFmtId="0" fontId="35" fillId="9" borderId="29" xfId="3" applyFont="1" applyFill="1" applyBorder="1" applyAlignment="1">
      <alignment vertical="center"/>
    </xf>
    <xf numFmtId="0" fontId="35" fillId="9" borderId="29" xfId="3" applyFont="1" applyFill="1" applyBorder="1" applyAlignment="1">
      <alignment vertical="center" wrapText="1"/>
    </xf>
    <xf numFmtId="0" fontId="35" fillId="9" borderId="29" xfId="3" applyFont="1" applyFill="1" applyBorder="1" applyAlignment="1">
      <alignment horizontal="center" vertical="center" wrapText="1"/>
    </xf>
    <xf numFmtId="0" fontId="34" fillId="0" borderId="0" xfId="3" applyFont="1" applyAlignment="1">
      <alignment horizontal="center" vertical="center" wrapText="1"/>
    </xf>
    <xf numFmtId="0" fontId="34" fillId="0" borderId="0" xfId="3" applyFont="1" applyAlignment="1">
      <alignment vertical="center"/>
    </xf>
    <xf numFmtId="0" fontId="35" fillId="0" borderId="0" xfId="3" applyFont="1" applyAlignment="1">
      <alignment horizontal="left" vertical="top"/>
    </xf>
    <xf numFmtId="0" fontId="34" fillId="0" borderId="29" xfId="3" applyFont="1" applyBorder="1" applyAlignment="1">
      <alignment horizontal="left" vertical="top"/>
    </xf>
    <xf numFmtId="0" fontId="34" fillId="0" borderId="29" xfId="3" applyFont="1" applyBorder="1" applyAlignment="1">
      <alignment horizontal="left" vertical="top" wrapText="1"/>
    </xf>
    <xf numFmtId="0" fontId="34" fillId="0" borderId="0" xfId="3" applyFont="1" applyAlignment="1">
      <alignment horizontal="center" vertical="top" wrapText="1"/>
    </xf>
    <xf numFmtId="9" fontId="34" fillId="0" borderId="0" xfId="3" applyNumberFormat="1" applyFont="1" applyAlignment="1">
      <alignment horizontal="left" vertical="center"/>
    </xf>
    <xf numFmtId="0" fontId="34" fillId="0" borderId="0" xfId="3" applyFont="1" applyAlignment="1">
      <alignment vertical="top"/>
    </xf>
    <xf numFmtId="0" fontId="34" fillId="0" borderId="29" xfId="3" applyFont="1" applyBorder="1" applyAlignment="1">
      <alignment vertical="top" wrapText="1"/>
    </xf>
    <xf numFmtId="0" fontId="35" fillId="0" borderId="31" xfId="3" applyFont="1" applyBorder="1" applyAlignment="1">
      <alignment horizontal="center" wrapText="1"/>
    </xf>
    <xf numFmtId="9" fontId="35" fillId="0" borderId="29" xfId="3" applyNumberFormat="1" applyFont="1" applyBorder="1" applyAlignment="1">
      <alignment horizontal="center" wrapText="1"/>
    </xf>
    <xf numFmtId="0" fontId="35" fillId="0" borderId="0" xfId="3" applyFont="1" applyAlignment="1">
      <alignment vertical="top"/>
    </xf>
    <xf numFmtId="0" fontId="35" fillId="9" borderId="18" xfId="3" applyFont="1" applyFill="1" applyBorder="1" applyAlignment="1">
      <alignment vertical="center" wrapText="1"/>
    </xf>
    <xf numFmtId="0" fontId="34" fillId="0" borderId="18" xfId="3" applyFont="1" applyBorder="1" applyAlignment="1">
      <alignment horizontal="left" vertical="top" wrapText="1"/>
    </xf>
    <xf numFmtId="0" fontId="34" fillId="0" borderId="18" xfId="3" applyFont="1" applyBorder="1" applyAlignment="1">
      <alignment vertical="top" wrapText="1"/>
    </xf>
    <xf numFmtId="0" fontId="34" fillId="0" borderId="18" xfId="3" applyFont="1" applyBorder="1" applyAlignment="1">
      <alignment wrapText="1"/>
    </xf>
    <xf numFmtId="0" fontId="45" fillId="0" borderId="12" xfId="5" applyFont="1" applyBorder="1" applyAlignment="1">
      <alignment horizontal="left" vertical="top" wrapText="1" readingOrder="1"/>
    </xf>
    <xf numFmtId="0" fontId="34" fillId="0" borderId="33" xfId="3" applyFont="1" applyBorder="1" applyAlignment="1">
      <alignment horizontal="left" vertical="top" wrapText="1"/>
    </xf>
    <xf numFmtId="0" fontId="34" fillId="0" borderId="33" xfId="3" applyFont="1" applyBorder="1" applyAlignment="1">
      <alignment vertical="top" wrapText="1"/>
    </xf>
    <xf numFmtId="0" fontId="34" fillId="0" borderId="33" xfId="3" applyFont="1" applyBorder="1" applyAlignment="1">
      <alignment vertical="top"/>
    </xf>
    <xf numFmtId="0" fontId="34" fillId="0" borderId="35" xfId="3" applyFont="1" applyBorder="1" applyAlignment="1">
      <alignment horizontal="left" vertical="top" wrapText="1"/>
    </xf>
    <xf numFmtId="0" fontId="34" fillId="0" borderId="35" xfId="3" applyFont="1" applyBorder="1" applyAlignment="1">
      <alignment vertical="top" wrapText="1"/>
    </xf>
    <xf numFmtId="0" fontId="34" fillId="0" borderId="35" xfId="3" applyFont="1" applyBorder="1"/>
    <xf numFmtId="0" fontId="34" fillId="0" borderId="34" xfId="3" applyFont="1" applyBorder="1" applyAlignment="1">
      <alignment horizontal="left" vertical="top" wrapText="1"/>
    </xf>
    <xf numFmtId="0" fontId="34" fillId="0" borderId="34" xfId="3" applyFont="1" applyBorder="1" applyAlignment="1">
      <alignment vertical="top" wrapText="1"/>
    </xf>
    <xf numFmtId="0" fontId="34" fillId="0" borderId="34" xfId="3" applyFont="1" applyBorder="1"/>
    <xf numFmtId="0" fontId="34" fillId="0" borderId="18" xfId="3" applyFont="1" applyBorder="1" applyAlignment="1">
      <alignment vertical="top"/>
    </xf>
    <xf numFmtId="0" fontId="39" fillId="0" borderId="0" xfId="3" applyFont="1"/>
    <xf numFmtId="0" fontId="9" fillId="10" borderId="1" xfId="5" applyFont="1" applyFill="1" applyBorder="1" applyAlignment="1">
      <alignment horizontal="center" vertical="center" wrapText="1" readingOrder="1"/>
    </xf>
    <xf numFmtId="0" fontId="9" fillId="10" borderId="8" xfId="5" applyFont="1" applyFill="1" applyBorder="1" applyAlignment="1">
      <alignment horizontal="center" vertical="center" wrapText="1" readingOrder="1"/>
    </xf>
    <xf numFmtId="0" fontId="45" fillId="0" borderId="12" xfId="5" applyFont="1" applyBorder="1" applyAlignment="1">
      <alignment horizontal="center" vertical="center" wrapText="1" readingOrder="1"/>
    </xf>
    <xf numFmtId="0" fontId="45" fillId="0" borderId="12" xfId="5" applyFont="1" applyBorder="1" applyAlignment="1">
      <alignment horizontal="left" vertical="center" wrapText="1" readingOrder="1"/>
    </xf>
    <xf numFmtId="0" fontId="45" fillId="12" borderId="12" xfId="5" applyFont="1" applyFill="1" applyBorder="1" applyAlignment="1">
      <alignment horizontal="center" vertical="center" wrapText="1" readingOrder="1"/>
    </xf>
    <xf numFmtId="0" fontId="45" fillId="12" borderId="1" xfId="5" applyFont="1" applyFill="1" applyBorder="1" applyAlignment="1">
      <alignment horizontal="center" vertical="center" wrapText="1" readingOrder="1"/>
    </xf>
    <xf numFmtId="0" fontId="45" fillId="12" borderId="13" xfId="5" applyFont="1" applyFill="1" applyBorder="1" applyAlignment="1">
      <alignment horizontal="center" vertical="center" wrapText="1" readingOrder="1"/>
    </xf>
    <xf numFmtId="0" fontId="45" fillId="12" borderId="13" xfId="5" applyFont="1" applyFill="1" applyBorder="1" applyAlignment="1">
      <alignment horizontal="center" vertical="center" wrapText="1"/>
    </xf>
    <xf numFmtId="0" fontId="36" fillId="0" borderId="0" xfId="3" applyFont="1" applyAlignment="1">
      <alignment vertical="center"/>
    </xf>
    <xf numFmtId="0" fontId="45" fillId="0" borderId="1" xfId="5" applyFont="1" applyBorder="1" applyAlignment="1">
      <alignment horizontal="left" vertical="center" wrapText="1" readingOrder="1"/>
    </xf>
    <xf numFmtId="0" fontId="45" fillId="0" borderId="8" xfId="5" applyFont="1" applyBorder="1" applyAlignment="1">
      <alignment horizontal="left" vertical="center" wrapText="1" readingOrder="1"/>
    </xf>
    <xf numFmtId="0" fontId="11" fillId="0" borderId="0" xfId="3" applyAlignment="1">
      <alignment vertical="center"/>
    </xf>
    <xf numFmtId="0" fontId="45" fillId="12" borderId="8" xfId="5" applyFont="1" applyFill="1" applyBorder="1" applyAlignment="1">
      <alignment horizontal="center" vertical="center" wrapText="1"/>
    </xf>
    <xf numFmtId="0" fontId="41" fillId="0" borderId="0" xfId="3" applyFont="1" applyAlignment="1">
      <alignment vertical="center"/>
    </xf>
    <xf numFmtId="0" fontId="30" fillId="0" borderId="0" xfId="3" applyFont="1" applyAlignment="1">
      <alignment horizontal="center" vertical="center"/>
    </xf>
    <xf numFmtId="0" fontId="47" fillId="11" borderId="1" xfId="5" applyFont="1" applyFill="1" applyBorder="1" applyAlignment="1">
      <alignment horizontal="center" vertical="center" wrapText="1" readingOrder="1"/>
    </xf>
    <xf numFmtId="0" fontId="47" fillId="11" borderId="12" xfId="5" applyFont="1" applyFill="1" applyBorder="1" applyAlignment="1">
      <alignment horizontal="center" vertical="center" wrapText="1" readingOrder="1"/>
    </xf>
    <xf numFmtId="0" fontId="9" fillId="12" borderId="12" xfId="5" applyFont="1" applyFill="1" applyBorder="1" applyAlignment="1">
      <alignment horizontal="center" vertical="center" wrapText="1" readingOrder="1"/>
    </xf>
    <xf numFmtId="0" fontId="47" fillId="11" borderId="8" xfId="5" applyFont="1" applyFill="1" applyBorder="1" applyAlignment="1">
      <alignment horizontal="center" vertical="center" wrapText="1" readingOrder="1"/>
    </xf>
    <xf numFmtId="0" fontId="45" fillId="0" borderId="1" xfId="5" applyFont="1" applyBorder="1" applyAlignment="1">
      <alignment horizontal="center" vertical="center" wrapText="1" readingOrder="1"/>
    </xf>
    <xf numFmtId="0" fontId="45" fillId="13" borderId="12" xfId="5" applyFont="1" applyFill="1" applyBorder="1" applyAlignment="1">
      <alignment horizontal="center" vertical="center" wrapText="1" readingOrder="1"/>
    </xf>
    <xf numFmtId="0" fontId="45" fillId="0" borderId="13" xfId="5" applyFont="1" applyBorder="1" applyAlignment="1">
      <alignment horizontal="center" vertical="center" wrapText="1" readingOrder="1"/>
    </xf>
    <xf numFmtId="0" fontId="45" fillId="0" borderId="13" xfId="5" applyFont="1" applyBorder="1" applyAlignment="1">
      <alignment horizontal="center" vertical="center" wrapText="1"/>
    </xf>
    <xf numFmtId="0" fontId="45" fillId="13" borderId="1" xfId="5" applyFont="1" applyFill="1" applyBorder="1" applyAlignment="1">
      <alignment horizontal="center" vertical="center" wrapText="1" readingOrder="1"/>
    </xf>
    <xf numFmtId="0" fontId="45" fillId="0" borderId="8" xfId="5" applyFont="1" applyBorder="1" applyAlignment="1">
      <alignment horizontal="center" vertical="center" wrapText="1"/>
    </xf>
    <xf numFmtId="0" fontId="42" fillId="0" borderId="0" xfId="3" applyFont="1" applyAlignment="1">
      <alignment horizontal="left" vertical="center"/>
    </xf>
    <xf numFmtId="0" fontId="42" fillId="0" borderId="0" xfId="3" applyFont="1" applyAlignment="1">
      <alignment vertical="center"/>
    </xf>
    <xf numFmtId="0" fontId="43" fillId="0" borderId="0" xfId="3" applyFont="1" applyAlignment="1">
      <alignment horizontal="center" vertical="center"/>
    </xf>
    <xf numFmtId="0" fontId="42" fillId="0" borderId="0" xfId="3" applyFont="1" applyAlignment="1">
      <alignment vertical="center" wrapText="1"/>
    </xf>
    <xf numFmtId="0" fontId="44" fillId="0" borderId="0" xfId="6" applyFont="1" applyAlignment="1">
      <alignment vertical="center"/>
    </xf>
    <xf numFmtId="0" fontId="34" fillId="0" borderId="0" xfId="3" applyFont="1" applyAlignment="1">
      <alignment horizontal="left" vertical="center"/>
    </xf>
    <xf numFmtId="0" fontId="26" fillId="0" borderId="0" xfId="6" applyFont="1" applyAlignment="1">
      <alignment vertical="center"/>
    </xf>
    <xf numFmtId="0" fontId="40" fillId="9" borderId="18" xfId="3" applyFont="1" applyFill="1" applyBorder="1" applyAlignment="1">
      <alignment horizontal="left" vertical="center"/>
    </xf>
    <xf numFmtId="0" fontId="40" fillId="9" borderId="18" xfId="3" applyFont="1" applyFill="1" applyBorder="1" applyAlignment="1">
      <alignment vertical="center"/>
    </xf>
    <xf numFmtId="0" fontId="34" fillId="0" borderId="33" xfId="3" applyFont="1" applyBorder="1" applyAlignment="1">
      <alignment horizontal="left" vertical="center"/>
    </xf>
    <xf numFmtId="0" fontId="34" fillId="0" borderId="33" xfId="3" applyFont="1" applyBorder="1" applyAlignment="1">
      <alignment vertical="center"/>
    </xf>
    <xf numFmtId="0" fontId="34" fillId="0" borderId="35" xfId="3" applyFont="1" applyBorder="1" applyAlignment="1">
      <alignment horizontal="left" vertical="center"/>
    </xf>
    <xf numFmtId="0" fontId="34" fillId="0" borderId="35" xfId="3" applyFont="1" applyBorder="1" applyAlignment="1">
      <alignment vertical="center"/>
    </xf>
    <xf numFmtId="0" fontId="34" fillId="0" borderId="34" xfId="3" applyFont="1" applyBorder="1" applyAlignment="1">
      <alignment horizontal="left" vertical="center"/>
    </xf>
    <xf numFmtId="0" fontId="34" fillId="0" borderId="34" xfId="3" applyFont="1" applyBorder="1" applyAlignment="1">
      <alignment vertical="center"/>
    </xf>
    <xf numFmtId="0" fontId="34" fillId="0" borderId="18" xfId="3" applyFont="1" applyBorder="1" applyAlignment="1">
      <alignment horizontal="left" vertical="top"/>
    </xf>
    <xf numFmtId="0" fontId="34" fillId="0" borderId="33" xfId="3" applyFont="1" applyBorder="1" applyAlignment="1">
      <alignment horizontal="left"/>
    </xf>
    <xf numFmtId="0" fontId="0" fillId="0" borderId="0" xfId="3" applyFont="1"/>
    <xf numFmtId="0" fontId="34" fillId="0" borderId="0" xfId="5" applyAlignment="1">
      <alignment vertical="center"/>
    </xf>
    <xf numFmtId="0" fontId="64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9" fontId="34" fillId="0" borderId="0" xfId="7" applyFont="1" applyFill="1" applyBorder="1" applyAlignment="1">
      <alignment vertical="center"/>
    </xf>
    <xf numFmtId="0" fontId="34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164" fontId="35" fillId="0" borderId="0" xfId="7" applyNumberFormat="1" applyFont="1" applyBorder="1" applyAlignment="1">
      <alignment horizontal="left" vertical="center"/>
    </xf>
    <xf numFmtId="0" fontId="34" fillId="0" borderId="0" xfId="5" applyAlignment="1">
      <alignment horizontal="left" vertical="center"/>
    </xf>
    <xf numFmtId="0" fontId="34" fillId="0" borderId="0" xfId="5" applyAlignment="1">
      <alignment vertical="center" wrapText="1"/>
    </xf>
    <xf numFmtId="9" fontId="34" fillId="0" borderId="0" xfId="7" applyFont="1" applyAlignment="1">
      <alignment horizontal="center" vertical="center"/>
    </xf>
    <xf numFmtId="0" fontId="34" fillId="0" borderId="0" xfId="0" applyFont="1" applyAlignment="1">
      <alignment vertical="center" wrapText="1"/>
    </xf>
    <xf numFmtId="0" fontId="64" fillId="0" borderId="0" xfId="0" applyFont="1" applyAlignment="1">
      <alignment vertical="center"/>
    </xf>
    <xf numFmtId="0" fontId="34" fillId="0" borderId="26" xfId="3" applyFont="1" applyBorder="1" applyAlignment="1">
      <alignment horizontal="left" vertical="top"/>
    </xf>
    <xf numFmtId="0" fontId="34" fillId="0" borderId="21" xfId="3" applyFont="1" applyBorder="1" applyAlignment="1">
      <alignment horizontal="left" vertical="top"/>
    </xf>
    <xf numFmtId="0" fontId="34" fillId="0" borderId="33" xfId="3" applyFont="1" applyBorder="1" applyAlignment="1">
      <alignment horizontal="left" vertical="top" wrapText="1"/>
    </xf>
    <xf numFmtId="0" fontId="34" fillId="0" borderId="35" xfId="3" applyFont="1" applyBorder="1" applyAlignment="1">
      <alignment horizontal="left" vertical="top" wrapText="1"/>
    </xf>
    <xf numFmtId="0" fontId="34" fillId="0" borderId="34" xfId="3" applyFont="1" applyBorder="1" applyAlignment="1">
      <alignment horizontal="left" vertical="top" wrapText="1"/>
    </xf>
    <xf numFmtId="0" fontId="34" fillId="0" borderId="18" xfId="3" applyFont="1" applyBorder="1" applyAlignment="1">
      <alignment horizontal="left" vertical="top" wrapText="1"/>
    </xf>
    <xf numFmtId="0" fontId="34" fillId="0" borderId="26" xfId="3" applyFont="1" applyBorder="1" applyAlignment="1">
      <alignment horizontal="left"/>
    </xf>
    <xf numFmtId="0" fontId="34" fillId="0" borderId="21" xfId="3" applyFont="1" applyBorder="1" applyAlignment="1">
      <alignment horizontal="left"/>
    </xf>
    <xf numFmtId="0" fontId="40" fillId="9" borderId="26" xfId="3" applyFont="1" applyFill="1" applyBorder="1" applyAlignment="1">
      <alignment horizontal="left" vertical="center"/>
    </xf>
    <xf numFmtId="0" fontId="40" fillId="9" borderId="21" xfId="3" applyFont="1" applyFill="1" applyBorder="1" applyAlignment="1">
      <alignment horizontal="left" vertical="center"/>
    </xf>
    <xf numFmtId="0" fontId="34" fillId="0" borderId="26" xfId="3" applyFont="1" applyBorder="1" applyAlignment="1">
      <alignment horizontal="left" vertical="center"/>
    </xf>
    <xf numFmtId="0" fontId="34" fillId="0" borderId="21" xfId="3" applyFont="1" applyBorder="1" applyAlignment="1">
      <alignment horizontal="left" vertical="center"/>
    </xf>
    <xf numFmtId="0" fontId="34" fillId="0" borderId="26" xfId="3" applyFont="1" applyBorder="1" applyAlignment="1">
      <alignment horizontal="center" vertical="top" wrapText="1"/>
    </xf>
    <xf numFmtId="0" fontId="34" fillId="0" borderId="20" xfId="3" applyFont="1" applyBorder="1" applyAlignment="1">
      <alignment horizontal="center" vertical="top" wrapText="1"/>
    </xf>
    <xf numFmtId="0" fontId="34" fillId="0" borderId="21" xfId="3" applyFont="1" applyBorder="1" applyAlignment="1">
      <alignment horizontal="center" vertical="top" wrapText="1"/>
    </xf>
    <xf numFmtId="0" fontId="35" fillId="9" borderId="30" xfId="3" applyFont="1" applyFill="1" applyBorder="1" applyAlignment="1">
      <alignment horizontal="left" vertical="center" wrapText="1"/>
    </xf>
    <xf numFmtId="0" fontId="35" fillId="9" borderId="31" xfId="3" applyFont="1" applyFill="1" applyBorder="1" applyAlignment="1">
      <alignment horizontal="left" vertical="center" wrapText="1"/>
    </xf>
    <xf numFmtId="0" fontId="34" fillId="0" borderId="30" xfId="3" applyFont="1" applyBorder="1" applyAlignment="1">
      <alignment horizontal="left" vertical="top" wrapText="1"/>
    </xf>
    <xf numFmtId="0" fontId="34" fillId="0" borderId="31" xfId="3" applyFont="1" applyBorder="1" applyAlignment="1">
      <alignment horizontal="left" vertical="top" wrapText="1"/>
    </xf>
    <xf numFmtId="0" fontId="35" fillId="0" borderId="30" xfId="3" applyFont="1" applyBorder="1" applyAlignment="1">
      <alignment horizontal="center" wrapText="1"/>
    </xf>
    <xf numFmtId="0" fontId="35" fillId="0" borderId="32" xfId="3" applyFont="1" applyBorder="1" applyAlignment="1">
      <alignment horizontal="center" wrapText="1"/>
    </xf>
    <xf numFmtId="0" fontId="35" fillId="9" borderId="33" xfId="3" applyFont="1" applyFill="1" applyBorder="1" applyAlignment="1">
      <alignment horizontal="left" vertical="center" wrapText="1"/>
    </xf>
    <xf numFmtId="0" fontId="35" fillId="9" borderId="34" xfId="3" applyFont="1" applyFill="1" applyBorder="1" applyAlignment="1">
      <alignment horizontal="left" vertical="center" wrapText="1"/>
    </xf>
    <xf numFmtId="0" fontId="35" fillId="9" borderId="26" xfId="3" applyFont="1" applyFill="1" applyBorder="1" applyAlignment="1">
      <alignment horizontal="center" vertical="center" wrapText="1"/>
    </xf>
    <xf numFmtId="0" fontId="35" fillId="9" borderId="21" xfId="3" applyFont="1" applyFill="1" applyBorder="1" applyAlignment="1">
      <alignment horizontal="center" vertical="center" wrapText="1"/>
    </xf>
    <xf numFmtId="0" fontId="9" fillId="10" borderId="2" xfId="5" applyFont="1" applyFill="1" applyBorder="1" applyAlignment="1">
      <alignment horizontal="center" vertical="center" wrapText="1" readingOrder="1"/>
    </xf>
    <xf numFmtId="0" fontId="9" fillId="10" borderId="4" xfId="5" applyFont="1" applyFill="1" applyBorder="1" applyAlignment="1">
      <alignment horizontal="center" vertical="center" wrapText="1" readingOrder="1"/>
    </xf>
    <xf numFmtId="0" fontId="9" fillId="10" borderId="41" xfId="5" applyFont="1" applyFill="1" applyBorder="1" applyAlignment="1">
      <alignment horizontal="center" vertical="center" wrapText="1" readingOrder="1"/>
    </xf>
    <xf numFmtId="0" fontId="9" fillId="10" borderId="42" xfId="5" applyFont="1" applyFill="1" applyBorder="1" applyAlignment="1">
      <alignment horizontal="center" vertical="center" wrapText="1" readingOrder="1"/>
    </xf>
    <xf numFmtId="0" fontId="47" fillId="11" borderId="1" xfId="5" applyFont="1" applyFill="1" applyBorder="1" applyAlignment="1">
      <alignment horizontal="center" vertical="center" wrapText="1" readingOrder="1"/>
    </xf>
    <xf numFmtId="0" fontId="47" fillId="11" borderId="8" xfId="5" applyFont="1" applyFill="1" applyBorder="1" applyAlignment="1">
      <alignment horizontal="center" vertical="center" wrapText="1" readingOrder="1"/>
    </xf>
    <xf numFmtId="0" fontId="9" fillId="12" borderId="2" xfId="5" applyFont="1" applyFill="1" applyBorder="1" applyAlignment="1">
      <alignment horizontal="center" vertical="center" wrapText="1" readingOrder="1"/>
    </xf>
    <xf numFmtId="0" fontId="9" fillId="12" borderId="4" xfId="5" applyFont="1" applyFill="1" applyBorder="1" applyAlignment="1">
      <alignment horizontal="center" vertical="center" wrapText="1" readingOrder="1"/>
    </xf>
    <xf numFmtId="0" fontId="9" fillId="12" borderId="9" xfId="5" applyFont="1" applyFill="1" applyBorder="1" applyAlignment="1">
      <alignment horizontal="center" vertical="center" wrapText="1" readingOrder="1"/>
    </xf>
    <xf numFmtId="0" fontId="9" fillId="12" borderId="11" xfId="5" applyFont="1" applyFill="1" applyBorder="1" applyAlignment="1">
      <alignment horizontal="center" vertical="center" wrapText="1" readingOrder="1"/>
    </xf>
    <xf numFmtId="0" fontId="9" fillId="10" borderId="1" xfId="5" applyFont="1" applyFill="1" applyBorder="1" applyAlignment="1">
      <alignment horizontal="center" vertical="center" wrapText="1" readingOrder="1"/>
    </xf>
    <xf numFmtId="0" fontId="9" fillId="10" borderId="8" xfId="5" applyFont="1" applyFill="1" applyBorder="1" applyAlignment="1">
      <alignment horizontal="center" vertical="center" wrapText="1" readingOrder="1"/>
    </xf>
    <xf numFmtId="0" fontId="9" fillId="10" borderId="40" xfId="5" applyFont="1" applyFill="1" applyBorder="1" applyAlignment="1">
      <alignment horizontal="center" vertical="center" wrapText="1" readingOrder="1"/>
    </xf>
    <xf numFmtId="0" fontId="47" fillId="11" borderId="2" xfId="5" applyFont="1" applyFill="1" applyBorder="1" applyAlignment="1">
      <alignment horizontal="center" vertical="center" wrapText="1" readingOrder="1"/>
    </xf>
    <xf numFmtId="0" fontId="47" fillId="11" borderId="4" xfId="5" applyFont="1" applyFill="1" applyBorder="1" applyAlignment="1">
      <alignment horizontal="center" vertical="center" wrapText="1" readingOrder="1"/>
    </xf>
    <xf numFmtId="0" fontId="47" fillId="11" borderId="41" xfId="5" applyFont="1" applyFill="1" applyBorder="1" applyAlignment="1">
      <alignment horizontal="center" vertical="center" wrapText="1" readingOrder="1"/>
    </xf>
    <xf numFmtId="0" fontId="47" fillId="11" borderId="42" xfId="5" applyFont="1" applyFill="1" applyBorder="1" applyAlignment="1">
      <alignment horizontal="center" vertical="center" wrapText="1" readingOrder="1"/>
    </xf>
    <xf numFmtId="0" fontId="45" fillId="0" borderId="1" xfId="5" applyFont="1" applyBorder="1" applyAlignment="1">
      <alignment horizontal="center" vertical="center" wrapText="1" readingOrder="1"/>
    </xf>
    <xf numFmtId="0" fontId="45" fillId="0" borderId="8" xfId="5" applyFont="1" applyBorder="1" applyAlignment="1">
      <alignment horizontal="center" vertical="center" wrapText="1" readingOrder="1"/>
    </xf>
    <xf numFmtId="0" fontId="45" fillId="12" borderId="1" xfId="5" applyFont="1" applyFill="1" applyBorder="1" applyAlignment="1">
      <alignment horizontal="center" vertical="center" wrapText="1" readingOrder="1"/>
    </xf>
    <xf numFmtId="0" fontId="45" fillId="12" borderId="8" xfId="5" applyFont="1" applyFill="1" applyBorder="1" applyAlignment="1">
      <alignment horizontal="center" vertical="center" wrapText="1" readingOrder="1"/>
    </xf>
    <xf numFmtId="0" fontId="58" fillId="2" borderId="1" xfId="0" applyFont="1" applyFill="1" applyBorder="1" applyAlignment="1">
      <alignment horizontal="center" vertical="center"/>
    </xf>
    <xf numFmtId="0" fontId="59" fillId="0" borderId="13" xfId="0" applyFont="1" applyBorder="1" applyAlignment="1">
      <alignment horizontal="center" vertical="center"/>
    </xf>
    <xf numFmtId="0" fontId="59" fillId="0" borderId="40" xfId="0" applyFont="1" applyBorder="1" applyAlignment="1">
      <alignment vertical="center"/>
    </xf>
    <xf numFmtId="0" fontId="58" fillId="2" borderId="1" xfId="0" applyFont="1" applyFill="1" applyBorder="1" applyAlignment="1">
      <alignment horizontal="left" vertical="center"/>
    </xf>
    <xf numFmtId="0" fontId="58" fillId="2" borderId="2" xfId="0" applyFont="1" applyFill="1" applyBorder="1" applyAlignment="1">
      <alignment horizontal="center" vertical="center" wrapText="1"/>
    </xf>
    <xf numFmtId="0" fontId="58" fillId="2" borderId="4" xfId="0" applyFont="1" applyFill="1" applyBorder="1" applyAlignment="1">
      <alignment horizontal="center" vertical="center" wrapText="1"/>
    </xf>
    <xf numFmtId="0" fontId="58" fillId="2" borderId="14" xfId="0" applyFont="1" applyFill="1" applyBorder="1" applyAlignment="1">
      <alignment horizontal="center" vertical="center" wrapText="1"/>
    </xf>
    <xf numFmtId="0" fontId="58" fillId="2" borderId="15" xfId="0" applyFont="1" applyFill="1" applyBorder="1" applyAlignment="1">
      <alignment horizontal="center" vertical="center" wrapText="1"/>
    </xf>
    <xf numFmtId="0" fontId="58" fillId="2" borderId="1" xfId="0" applyFont="1" applyFill="1" applyBorder="1" applyAlignment="1">
      <alignment horizontal="left" vertical="center" wrapText="1"/>
    </xf>
    <xf numFmtId="0" fontId="59" fillId="0" borderId="13" xfId="0" applyFont="1" applyBorder="1" applyAlignment="1">
      <alignment vertical="center" wrapText="1"/>
    </xf>
    <xf numFmtId="0" fontId="58" fillId="2" borderId="1" xfId="0" applyFont="1" applyFill="1" applyBorder="1" applyAlignment="1">
      <alignment horizontal="center" vertical="center" wrapText="1"/>
    </xf>
    <xf numFmtId="0" fontId="58" fillId="2" borderId="40" xfId="0" applyFont="1" applyFill="1" applyBorder="1" applyAlignment="1">
      <alignment horizontal="center" vertical="center" wrapText="1"/>
    </xf>
    <xf numFmtId="0" fontId="58" fillId="2" borderId="5" xfId="0" applyFont="1" applyFill="1" applyBorder="1" applyAlignment="1">
      <alignment horizontal="center" vertical="center"/>
    </xf>
    <xf numFmtId="0" fontId="58" fillId="2" borderId="6" xfId="0" applyFont="1" applyFill="1" applyBorder="1" applyAlignment="1">
      <alignment horizontal="center" vertical="center"/>
    </xf>
    <xf numFmtId="0" fontId="58" fillId="2" borderId="36" xfId="0" applyFont="1" applyFill="1" applyBorder="1" applyAlignment="1">
      <alignment horizontal="center" vertical="center"/>
    </xf>
    <xf numFmtId="0" fontId="58" fillId="2" borderId="24" xfId="0" applyFont="1" applyFill="1" applyBorder="1" applyAlignment="1">
      <alignment horizontal="center" vertical="center"/>
    </xf>
    <xf numFmtId="0" fontId="59" fillId="0" borderId="37" xfId="0" applyFont="1" applyBorder="1" applyAlignment="1">
      <alignment horizontal="center" vertical="top" wrapText="1"/>
    </xf>
    <xf numFmtId="0" fontId="59" fillId="0" borderId="6" xfId="0" applyFont="1" applyBorder="1" applyAlignment="1">
      <alignment horizontal="center" vertical="top" wrapText="1"/>
    </xf>
    <xf numFmtId="0" fontId="59" fillId="0" borderId="7" xfId="0" applyFont="1" applyBorder="1" applyAlignment="1">
      <alignment horizontal="center" vertical="top" wrapText="1"/>
    </xf>
    <xf numFmtId="0" fontId="60" fillId="0" borderId="6" xfId="0" applyFont="1" applyBorder="1" applyAlignment="1">
      <alignment horizontal="center" vertical="top" wrapText="1"/>
    </xf>
    <xf numFmtId="0" fontId="60" fillId="0" borderId="7" xfId="0" applyFont="1" applyBorder="1" applyAlignment="1">
      <alignment horizontal="center" vertical="top" wrapText="1"/>
    </xf>
    <xf numFmtId="0" fontId="46" fillId="0" borderId="18" xfId="0" applyFont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0" fontId="4" fillId="2" borderId="18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center" vertical="center" wrapText="1"/>
    </xf>
    <xf numFmtId="0" fontId="50" fillId="0" borderId="0" xfId="1" applyFont="1" applyAlignment="1">
      <alignment horizontal="left" vertical="top" wrapText="1"/>
    </xf>
    <xf numFmtId="0" fontId="31" fillId="0" borderId="0" xfId="1"/>
    <xf numFmtId="0" fontId="26" fillId="0" borderId="0" xfId="1" applyFont="1" applyAlignment="1">
      <alignment horizontal="left" vertical="top" wrapText="1"/>
    </xf>
    <xf numFmtId="0" fontId="8" fillId="0" borderId="2" xfId="0" applyFont="1" applyBorder="1" applyAlignment="1">
      <alignment horizontal="center" vertical="center" wrapText="1"/>
    </xf>
    <xf numFmtId="0" fontId="6" fillId="0" borderId="4" xfId="0" applyFont="1" applyBorder="1"/>
    <xf numFmtId="0" fontId="6" fillId="0" borderId="14" xfId="0" applyFont="1" applyBorder="1"/>
    <xf numFmtId="0" fontId="6" fillId="0" borderId="15" xfId="0" applyFont="1" applyBorder="1"/>
    <xf numFmtId="0" fontId="8" fillId="0" borderId="1" xfId="0" applyFont="1" applyBorder="1" applyAlignment="1">
      <alignment horizontal="center" vertical="center" wrapText="1"/>
    </xf>
    <xf numFmtId="0" fontId="6" fillId="0" borderId="13" xfId="0" applyFont="1" applyBorder="1"/>
    <xf numFmtId="0" fontId="8" fillId="0" borderId="14" xfId="0" applyFont="1" applyBorder="1" applyAlignment="1">
      <alignment horizontal="center" vertical="center" wrapText="1"/>
    </xf>
    <xf numFmtId="0" fontId="6" fillId="0" borderId="8" xfId="0" applyFont="1" applyBorder="1"/>
    <xf numFmtId="0" fontId="6" fillId="0" borderId="3" xfId="0" applyFont="1" applyBorder="1"/>
    <xf numFmtId="0" fontId="0" fillId="0" borderId="0" xfId="0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20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center" wrapText="1"/>
    </xf>
    <xf numFmtId="9" fontId="9" fillId="4" borderId="1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6" fillId="0" borderId="7" xfId="0" applyFont="1" applyBorder="1"/>
    <xf numFmtId="2" fontId="9" fillId="4" borderId="5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20" fillId="6" borderId="5" xfId="0" applyFont="1" applyFill="1" applyBorder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left" vertical="center"/>
    </xf>
    <xf numFmtId="9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</cellXfs>
  <cellStyles count="8">
    <cellStyle name="Comma [0] 2" xfId="4" xr:uid="{00000000-0005-0000-0000-000000000000}"/>
    <cellStyle name="Normal" xfId="0" builtinId="0"/>
    <cellStyle name="Normal 2" xfId="1" xr:uid="{00000000-0005-0000-0000-000002000000}"/>
    <cellStyle name="Normal 2 2" xfId="3" xr:uid="{00000000-0005-0000-0000-000003000000}"/>
    <cellStyle name="Normal 2 2 2" xfId="6" xr:uid="{00000000-0005-0000-0000-000004000000}"/>
    <cellStyle name="Normal 4" xfId="5" xr:uid="{00000000-0005-0000-0000-000005000000}"/>
    <cellStyle name="Percent 2" xfId="2" xr:uid="{00000000-0005-0000-0000-000006000000}"/>
    <cellStyle name="Percent 4" xfId="7" xr:uid="{00000000-0005-0000-0000-000007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11</xdr:row>
      <xdr:rowOff>114300</xdr:rowOff>
    </xdr:from>
    <xdr:to>
      <xdr:col>1</xdr:col>
      <xdr:colOff>1828800</xdr:colOff>
      <xdr:row>14</xdr:row>
      <xdr:rowOff>38100</xdr:rowOff>
    </xdr:to>
    <xdr:pic>
      <xdr:nvPicPr>
        <xdr:cNvPr id="2" name="image1.png" descr="clip_image002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885825</xdr:colOff>
      <xdr:row>23</xdr:row>
      <xdr:rowOff>95250</xdr:rowOff>
    </xdr:from>
    <xdr:to>
      <xdr:col>1</xdr:col>
      <xdr:colOff>1800225</xdr:colOff>
      <xdr:row>26</xdr:row>
      <xdr:rowOff>19050</xdr:rowOff>
    </xdr:to>
    <xdr:pic>
      <xdr:nvPicPr>
        <xdr:cNvPr id="3" name="image1.png" descr="clip_image002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895350</xdr:colOff>
      <xdr:row>34</xdr:row>
      <xdr:rowOff>47625</xdr:rowOff>
    </xdr:from>
    <xdr:to>
      <xdr:col>1</xdr:col>
      <xdr:colOff>1809750</xdr:colOff>
      <xdr:row>36</xdr:row>
      <xdr:rowOff>95250</xdr:rowOff>
    </xdr:to>
    <xdr:pic>
      <xdr:nvPicPr>
        <xdr:cNvPr id="4" name="image1.png" descr="clip_image002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447675"/>
        </a:xfrm>
        <a:prstGeom prst="rect">
          <a:avLst/>
        </a:prstGeom>
        <a:noFill/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2"/>
  <sheetViews>
    <sheetView showGridLines="0" zoomScale="70" zoomScaleNormal="70" workbookViewId="0">
      <selection activeCell="J13" sqref="J13"/>
    </sheetView>
  </sheetViews>
  <sheetFormatPr defaultColWidth="8.875" defaultRowHeight="15.75"/>
  <cols>
    <col min="1" max="1" width="4.125" style="258" customWidth="1"/>
    <col min="2" max="2" width="4.625" style="258" customWidth="1"/>
    <col min="3" max="3" width="19.375" style="258" customWidth="1"/>
    <col min="4" max="4" width="18" style="258" customWidth="1"/>
    <col min="5" max="5" width="16.875" style="258" customWidth="1"/>
    <col min="6" max="6" width="16.625" style="258" customWidth="1"/>
    <col min="7" max="7" width="13.125" style="258" customWidth="1"/>
    <col min="8" max="8" width="13.625" style="258" customWidth="1"/>
    <col min="9" max="14" width="9.375" style="258" customWidth="1"/>
    <col min="15" max="16" width="10.125" style="258" customWidth="1"/>
    <col min="17" max="17" width="14" style="258" customWidth="1"/>
    <col min="18" max="19" width="10.25" style="258" customWidth="1"/>
    <col min="20" max="20" width="14.25" style="258" customWidth="1"/>
    <col min="21" max="16384" width="8.875" style="258"/>
  </cols>
  <sheetData>
    <row r="1" spans="1:12" ht="18" customHeight="1">
      <c r="A1" s="254" t="s">
        <v>174</v>
      </c>
      <c r="B1" s="255"/>
      <c r="C1" s="256"/>
      <c r="D1" s="256"/>
      <c r="E1" s="257"/>
      <c r="F1" s="257"/>
      <c r="G1" s="257"/>
      <c r="H1" s="257"/>
      <c r="I1" s="103"/>
      <c r="J1" s="255"/>
      <c r="K1" s="255"/>
      <c r="L1" s="255"/>
    </row>
    <row r="2" spans="1:12" ht="18" customHeight="1">
      <c r="A2" s="259" t="s">
        <v>175</v>
      </c>
      <c r="C2" s="260"/>
      <c r="D2" s="261" t="s">
        <v>176</v>
      </c>
      <c r="E2" s="262"/>
      <c r="F2" s="262"/>
      <c r="G2" s="262"/>
      <c r="H2" s="262"/>
      <c r="I2" s="104"/>
    </row>
    <row r="3" spans="1:12" ht="18" customHeight="1">
      <c r="A3" s="259"/>
      <c r="C3" s="260"/>
      <c r="D3" s="263" t="s">
        <v>177</v>
      </c>
      <c r="E3" s="262"/>
      <c r="F3" s="262"/>
      <c r="G3" s="262"/>
      <c r="H3" s="262"/>
      <c r="I3" s="104"/>
    </row>
    <row r="4" spans="1:12" ht="18" customHeight="1">
      <c r="A4" s="259" t="s">
        <v>178</v>
      </c>
      <c r="C4" s="260"/>
      <c r="D4" s="261" t="s">
        <v>179</v>
      </c>
      <c r="E4" s="262"/>
      <c r="F4" s="262"/>
      <c r="G4" s="262"/>
      <c r="H4" s="262"/>
      <c r="I4" s="104"/>
    </row>
    <row r="5" spans="1:12" ht="18" customHeight="1">
      <c r="A5" s="262"/>
      <c r="C5" s="260"/>
      <c r="D5" s="263" t="s">
        <v>180</v>
      </c>
      <c r="E5" s="262"/>
      <c r="F5" s="262"/>
      <c r="G5" s="262"/>
      <c r="H5" s="262"/>
      <c r="I5" s="104"/>
    </row>
    <row r="6" spans="1:12" ht="18" customHeight="1">
      <c r="A6" s="264"/>
      <c r="C6" s="260"/>
      <c r="D6" s="260"/>
      <c r="E6" s="262"/>
      <c r="F6" s="262"/>
      <c r="G6" s="262"/>
      <c r="H6" s="262"/>
      <c r="I6" s="104"/>
    </row>
    <row r="7" spans="1:12" ht="18" customHeight="1">
      <c r="A7" s="265" t="s">
        <v>181</v>
      </c>
      <c r="B7" s="266"/>
      <c r="C7" s="267"/>
      <c r="D7" s="267"/>
      <c r="E7" s="268"/>
      <c r="F7" s="268"/>
      <c r="G7" s="268"/>
      <c r="H7" s="268"/>
      <c r="I7" s="105"/>
      <c r="J7" s="266"/>
      <c r="K7" s="269"/>
      <c r="L7" s="269"/>
    </row>
    <row r="8" spans="1:12" ht="18" customHeight="1">
      <c r="A8" s="259" t="s">
        <v>182</v>
      </c>
      <c r="C8" s="260"/>
      <c r="D8" s="260"/>
      <c r="E8" s="262"/>
      <c r="F8" s="262"/>
      <c r="G8" s="262"/>
      <c r="H8" s="270"/>
      <c r="I8" s="104"/>
    </row>
    <row r="9" spans="1:12" ht="18" customHeight="1">
      <c r="B9" s="258" t="s">
        <v>183</v>
      </c>
      <c r="C9" s="260"/>
      <c r="D9" s="260"/>
      <c r="E9" s="262"/>
      <c r="F9" s="262"/>
      <c r="G9" s="262"/>
      <c r="H9" s="262"/>
      <c r="I9" s="104"/>
    </row>
    <row r="10" spans="1:12" ht="18" customHeight="1">
      <c r="A10" s="264"/>
      <c r="B10" s="258" t="s">
        <v>184</v>
      </c>
      <c r="C10" s="260"/>
      <c r="D10" s="260"/>
      <c r="E10" s="262"/>
      <c r="F10" s="262"/>
      <c r="G10" s="262"/>
      <c r="H10" s="262"/>
      <c r="I10" s="104"/>
    </row>
    <row r="11" spans="1:12" s="276" customFormat="1" ht="18" customHeight="1">
      <c r="A11" s="271"/>
      <c r="B11" s="272" t="s">
        <v>185</v>
      </c>
      <c r="C11" s="273" t="s">
        <v>186</v>
      </c>
      <c r="D11" s="375" t="s">
        <v>187</v>
      </c>
      <c r="E11" s="376"/>
      <c r="F11" s="274" t="s">
        <v>152</v>
      </c>
      <c r="G11" s="275"/>
      <c r="H11" s="271"/>
      <c r="I11" s="106"/>
    </row>
    <row r="12" spans="1:12" s="282" customFormat="1" ht="46.5" customHeight="1">
      <c r="A12" s="277"/>
      <c r="B12" s="278" t="s">
        <v>15</v>
      </c>
      <c r="C12" s="279" t="s">
        <v>188</v>
      </c>
      <c r="D12" s="377" t="s">
        <v>189</v>
      </c>
      <c r="E12" s="378"/>
      <c r="F12" s="107">
        <v>0.7</v>
      </c>
      <c r="G12" s="280"/>
      <c r="H12" s="276"/>
      <c r="I12" s="276"/>
      <c r="J12" s="281"/>
      <c r="K12" s="276"/>
    </row>
    <row r="13" spans="1:12" s="282" customFormat="1" ht="40.5" customHeight="1">
      <c r="A13" s="277"/>
      <c r="B13" s="278" t="s">
        <v>20</v>
      </c>
      <c r="C13" s="283" t="s">
        <v>190</v>
      </c>
      <c r="D13" s="377" t="s">
        <v>191</v>
      </c>
      <c r="E13" s="378"/>
      <c r="F13" s="107">
        <v>0.2</v>
      </c>
      <c r="G13" s="280"/>
      <c r="H13" s="276"/>
      <c r="I13" s="276"/>
      <c r="J13" s="281"/>
    </row>
    <row r="14" spans="1:12" s="282" customFormat="1" ht="35.25" customHeight="1">
      <c r="A14" s="277"/>
      <c r="B14" s="278" t="s">
        <v>28</v>
      </c>
      <c r="C14" s="283" t="s">
        <v>439</v>
      </c>
      <c r="D14" s="377" t="s">
        <v>192</v>
      </c>
      <c r="E14" s="378"/>
      <c r="F14" s="107">
        <v>0.1</v>
      </c>
      <c r="G14" s="280"/>
      <c r="H14" s="276"/>
      <c r="I14" s="276"/>
      <c r="J14" s="281"/>
    </row>
    <row r="15" spans="1:12" ht="18" customHeight="1">
      <c r="A15" s="264"/>
      <c r="B15" s="379" t="s">
        <v>43</v>
      </c>
      <c r="C15" s="380"/>
      <c r="D15" s="380"/>
      <c r="E15" s="284"/>
      <c r="F15" s="285">
        <f>SUM(F12:F14)</f>
        <v>0.99999999999999989</v>
      </c>
      <c r="G15" s="262"/>
      <c r="H15" s="262"/>
      <c r="I15" s="104"/>
    </row>
    <row r="17" spans="1:8">
      <c r="A17" s="264" t="s">
        <v>15</v>
      </c>
      <c r="B17" s="286" t="s">
        <v>137</v>
      </c>
    </row>
    <row r="18" spans="1:8">
      <c r="B18" s="258" t="s">
        <v>193</v>
      </c>
    </row>
    <row r="19" spans="1:8">
      <c r="B19" s="258" t="s">
        <v>194</v>
      </c>
    </row>
    <row r="20" spans="1:8" ht="15" customHeight="1">
      <c r="B20" s="381" t="s">
        <v>8</v>
      </c>
      <c r="C20" s="381" t="s">
        <v>195</v>
      </c>
      <c r="D20" s="381" t="s">
        <v>152</v>
      </c>
      <c r="E20" s="383" t="s">
        <v>196</v>
      </c>
      <c r="F20" s="384"/>
      <c r="G20" s="383" t="s">
        <v>197</v>
      </c>
      <c r="H20" s="384"/>
    </row>
    <row r="21" spans="1:8" ht="22.5" customHeight="1">
      <c r="B21" s="382"/>
      <c r="C21" s="382"/>
      <c r="D21" s="382"/>
      <c r="E21" s="287" t="s">
        <v>198</v>
      </c>
      <c r="F21" s="287" t="s">
        <v>199</v>
      </c>
      <c r="G21" s="287" t="s">
        <v>198</v>
      </c>
      <c r="H21" s="287" t="s">
        <v>199</v>
      </c>
    </row>
    <row r="22" spans="1:8" ht="31.5">
      <c r="B22" s="288">
        <v>1</v>
      </c>
      <c r="C22" s="289" t="s">
        <v>200</v>
      </c>
      <c r="D22" s="290" t="s">
        <v>201</v>
      </c>
      <c r="E22" s="291" t="s">
        <v>312</v>
      </c>
      <c r="F22" s="291" t="s">
        <v>312</v>
      </c>
      <c r="G22" s="291" t="s">
        <v>312</v>
      </c>
      <c r="H22" s="291" t="s">
        <v>312</v>
      </c>
    </row>
    <row r="23" spans="1:8" ht="36.75" customHeight="1">
      <c r="B23" s="292">
        <v>2</v>
      </c>
      <c r="C23" s="293" t="s">
        <v>203</v>
      </c>
      <c r="D23" s="294" t="s">
        <v>204</v>
      </c>
      <c r="E23" s="289" t="s">
        <v>205</v>
      </c>
      <c r="F23" s="289" t="s">
        <v>205</v>
      </c>
      <c r="G23" s="362" t="s">
        <v>206</v>
      </c>
      <c r="H23" s="362" t="s">
        <v>206</v>
      </c>
    </row>
    <row r="24" spans="1:8" ht="36.75" customHeight="1">
      <c r="B24" s="295"/>
      <c r="C24" s="296"/>
      <c r="D24" s="297"/>
      <c r="E24" s="289" t="s">
        <v>40</v>
      </c>
      <c r="F24" s="289" t="s">
        <v>40</v>
      </c>
      <c r="G24" s="363"/>
      <c r="H24" s="363"/>
    </row>
    <row r="25" spans="1:8" ht="36.75" customHeight="1">
      <c r="B25" s="295"/>
      <c r="C25" s="296"/>
      <c r="D25" s="297"/>
      <c r="E25" s="289" t="s">
        <v>42</v>
      </c>
      <c r="F25" s="289" t="s">
        <v>42</v>
      </c>
      <c r="G25" s="364"/>
      <c r="H25" s="364"/>
    </row>
    <row r="26" spans="1:8" ht="53.25" customHeight="1">
      <c r="B26" s="295"/>
      <c r="C26" s="296"/>
      <c r="D26" s="297"/>
      <c r="E26" s="372" t="s">
        <v>207</v>
      </c>
      <c r="F26" s="373"/>
      <c r="G26" s="373"/>
      <c r="H26" s="374"/>
    </row>
    <row r="27" spans="1:8" ht="97.5" customHeight="1">
      <c r="B27" s="298"/>
      <c r="C27" s="299"/>
      <c r="D27" s="300"/>
      <c r="E27" s="372" t="s">
        <v>208</v>
      </c>
      <c r="F27" s="373"/>
      <c r="G27" s="373"/>
      <c r="H27" s="374"/>
    </row>
    <row r="28" spans="1:8" ht="56.25" customHeight="1">
      <c r="B28" s="288">
        <v>3</v>
      </c>
      <c r="C28" s="289" t="s">
        <v>209</v>
      </c>
      <c r="D28" s="301" t="s">
        <v>210</v>
      </c>
      <c r="E28" s="372" t="s">
        <v>440</v>
      </c>
      <c r="F28" s="373"/>
      <c r="G28" s="373"/>
      <c r="H28" s="374"/>
    </row>
    <row r="31" spans="1:8">
      <c r="B31" s="258" t="s">
        <v>338</v>
      </c>
    </row>
    <row r="32" spans="1:8">
      <c r="B32" s="302" t="s">
        <v>211</v>
      </c>
    </row>
    <row r="33" spans="2:20" s="276" customFormat="1" ht="105" customHeight="1">
      <c r="B33" s="395" t="s">
        <v>8</v>
      </c>
      <c r="C33" s="395" t="s">
        <v>212</v>
      </c>
      <c r="D33" s="303" t="s">
        <v>313</v>
      </c>
      <c r="E33" s="398" t="s">
        <v>326</v>
      </c>
      <c r="F33" s="399"/>
      <c r="G33" s="385" t="s">
        <v>327</v>
      </c>
      <c r="H33" s="386"/>
      <c r="I33" s="398" t="s">
        <v>328</v>
      </c>
      <c r="J33" s="399"/>
      <c r="K33" s="385" t="s">
        <v>329</v>
      </c>
      <c r="L33" s="386"/>
      <c r="M33" s="398" t="s">
        <v>330</v>
      </c>
      <c r="N33" s="399"/>
      <c r="O33" s="385" t="s">
        <v>331</v>
      </c>
      <c r="P33" s="386"/>
      <c r="Q33" s="389" t="s">
        <v>332</v>
      </c>
      <c r="R33" s="391" t="s">
        <v>318</v>
      </c>
      <c r="S33" s="392"/>
      <c r="T33" s="389" t="s">
        <v>319</v>
      </c>
    </row>
    <row r="34" spans="2:20" s="276" customFormat="1" ht="42" customHeight="1">
      <c r="B34" s="397"/>
      <c r="C34" s="397"/>
      <c r="D34" s="304" t="s">
        <v>202</v>
      </c>
      <c r="E34" s="400" t="s">
        <v>213</v>
      </c>
      <c r="F34" s="401"/>
      <c r="G34" s="387" t="s">
        <v>214</v>
      </c>
      <c r="H34" s="388"/>
      <c r="I34" s="400" t="s">
        <v>215</v>
      </c>
      <c r="J34" s="401"/>
      <c r="K34" s="387"/>
      <c r="L34" s="388"/>
      <c r="M34" s="400"/>
      <c r="N34" s="401"/>
      <c r="O34" s="387"/>
      <c r="P34" s="388"/>
      <c r="Q34" s="390"/>
      <c r="R34" s="393"/>
      <c r="S34" s="394"/>
      <c r="T34" s="390"/>
    </row>
    <row r="35" spans="2:20" s="276" customFormat="1" ht="18" customHeight="1">
      <c r="B35" s="305">
        <v>1</v>
      </c>
      <c r="C35" s="306" t="s">
        <v>217</v>
      </c>
      <c r="D35" s="305">
        <v>12</v>
      </c>
      <c r="E35" s="307">
        <v>3</v>
      </c>
      <c r="F35" s="307">
        <v>6</v>
      </c>
      <c r="G35" s="305">
        <v>0</v>
      </c>
      <c r="H35" s="305">
        <v>0</v>
      </c>
      <c r="I35" s="307">
        <v>0</v>
      </c>
      <c r="J35" s="307">
        <v>0</v>
      </c>
      <c r="K35" s="305">
        <v>0</v>
      </c>
      <c r="L35" s="305">
        <v>2</v>
      </c>
      <c r="M35" s="307">
        <v>1</v>
      </c>
      <c r="N35" s="307">
        <v>4</v>
      </c>
      <c r="O35" s="305">
        <v>0.5</v>
      </c>
      <c r="P35" s="305">
        <v>1</v>
      </c>
      <c r="Q35" s="308" t="s">
        <v>320</v>
      </c>
      <c r="R35" s="305">
        <v>0</v>
      </c>
      <c r="S35" s="305">
        <v>1</v>
      </c>
      <c r="T35" s="307">
        <v>0</v>
      </c>
    </row>
    <row r="36" spans="2:20" s="276" customFormat="1" ht="18" customHeight="1">
      <c r="B36" s="305">
        <v>2</v>
      </c>
      <c r="C36" s="306" t="s">
        <v>218</v>
      </c>
      <c r="D36" s="305">
        <v>10</v>
      </c>
      <c r="E36" s="307">
        <v>3</v>
      </c>
      <c r="F36" s="307">
        <v>9</v>
      </c>
      <c r="G36" s="305">
        <v>0</v>
      </c>
      <c r="H36" s="305">
        <v>1</v>
      </c>
      <c r="I36" s="307">
        <v>0</v>
      </c>
      <c r="J36" s="307">
        <v>1</v>
      </c>
      <c r="K36" s="305">
        <v>0</v>
      </c>
      <c r="L36" s="305">
        <v>2</v>
      </c>
      <c r="M36" s="307">
        <v>1</v>
      </c>
      <c r="N36" s="307">
        <v>4</v>
      </c>
      <c r="O36" s="305">
        <v>0.5</v>
      </c>
      <c r="P36" s="305">
        <v>1</v>
      </c>
      <c r="Q36" s="309" t="s">
        <v>321</v>
      </c>
      <c r="R36" s="305">
        <v>0</v>
      </c>
      <c r="S36" s="305">
        <v>2</v>
      </c>
      <c r="T36" s="307">
        <v>0</v>
      </c>
    </row>
    <row r="37" spans="2:20" s="276" customFormat="1" ht="18" customHeight="1">
      <c r="B37" s="305">
        <v>3</v>
      </c>
      <c r="C37" s="306" t="s">
        <v>219</v>
      </c>
      <c r="D37" s="305">
        <v>10</v>
      </c>
      <c r="E37" s="307">
        <v>3</v>
      </c>
      <c r="F37" s="307">
        <v>9</v>
      </c>
      <c r="G37" s="305">
        <v>0</v>
      </c>
      <c r="H37" s="305">
        <v>1</v>
      </c>
      <c r="I37" s="307">
        <v>0</v>
      </c>
      <c r="J37" s="307">
        <v>1</v>
      </c>
      <c r="K37" s="305">
        <v>0</v>
      </c>
      <c r="L37" s="305">
        <v>2</v>
      </c>
      <c r="M37" s="307">
        <v>1</v>
      </c>
      <c r="N37" s="307">
        <v>4</v>
      </c>
      <c r="O37" s="305">
        <v>0.5</v>
      </c>
      <c r="P37" s="305">
        <v>1</v>
      </c>
      <c r="Q37" s="310"/>
      <c r="R37" s="305">
        <v>0</v>
      </c>
      <c r="S37" s="305">
        <v>2</v>
      </c>
      <c r="T37" s="307">
        <v>0</v>
      </c>
    </row>
    <row r="38" spans="2:20" s="311" customFormat="1" ht="18" customHeight="1">
      <c r="B38" s="305">
        <v>4</v>
      </c>
      <c r="C38" s="306" t="s">
        <v>333</v>
      </c>
      <c r="D38" s="305">
        <v>8</v>
      </c>
      <c r="E38" s="307">
        <v>3</v>
      </c>
      <c r="F38" s="307">
        <v>9</v>
      </c>
      <c r="G38" s="305">
        <v>0</v>
      </c>
      <c r="H38" s="305">
        <v>2</v>
      </c>
      <c r="I38" s="307">
        <v>0</v>
      </c>
      <c r="J38" s="307">
        <v>2</v>
      </c>
      <c r="K38" s="305">
        <v>0</v>
      </c>
      <c r="L38" s="305">
        <v>2</v>
      </c>
      <c r="M38" s="307">
        <v>1</v>
      </c>
      <c r="N38" s="307">
        <v>4</v>
      </c>
      <c r="O38" s="305">
        <v>0.5</v>
      </c>
      <c r="P38" s="305">
        <v>1</v>
      </c>
      <c r="Q38" s="310"/>
      <c r="R38" s="305">
        <v>0</v>
      </c>
      <c r="S38" s="305">
        <v>2</v>
      </c>
      <c r="T38" s="307">
        <v>0</v>
      </c>
    </row>
    <row r="39" spans="2:20" s="276" customFormat="1" ht="18" customHeight="1">
      <c r="B39" s="305">
        <v>5</v>
      </c>
      <c r="C39" s="306" t="s">
        <v>220</v>
      </c>
      <c r="D39" s="305">
        <v>8</v>
      </c>
      <c r="E39" s="307">
        <v>3</v>
      </c>
      <c r="F39" s="307">
        <v>9</v>
      </c>
      <c r="G39" s="305">
        <v>0</v>
      </c>
      <c r="H39" s="305">
        <v>2</v>
      </c>
      <c r="I39" s="307">
        <v>0</v>
      </c>
      <c r="J39" s="307">
        <v>2</v>
      </c>
      <c r="K39" s="305">
        <v>0</v>
      </c>
      <c r="L39" s="305">
        <v>2</v>
      </c>
      <c r="M39" s="307">
        <v>1</v>
      </c>
      <c r="N39" s="307">
        <v>4</v>
      </c>
      <c r="O39" s="305">
        <v>0.5</v>
      </c>
      <c r="P39" s="305">
        <v>1</v>
      </c>
      <c r="Q39" s="310"/>
      <c r="R39" s="305">
        <v>0</v>
      </c>
      <c r="S39" s="305">
        <v>2</v>
      </c>
      <c r="T39" s="307">
        <v>0</v>
      </c>
    </row>
    <row r="40" spans="2:20" s="276" customFormat="1" ht="18" customHeight="1">
      <c r="B40" s="305">
        <v>6</v>
      </c>
      <c r="C40" s="306" t="s">
        <v>221</v>
      </c>
      <c r="D40" s="305">
        <v>6</v>
      </c>
      <c r="E40" s="307">
        <v>3</v>
      </c>
      <c r="F40" s="307">
        <v>9</v>
      </c>
      <c r="G40" s="305">
        <v>0</v>
      </c>
      <c r="H40" s="305">
        <v>2</v>
      </c>
      <c r="I40" s="307">
        <v>0</v>
      </c>
      <c r="J40" s="307">
        <v>2</v>
      </c>
      <c r="K40" s="305">
        <v>0</v>
      </c>
      <c r="L40" s="305">
        <v>2</v>
      </c>
      <c r="M40" s="307">
        <v>1</v>
      </c>
      <c r="N40" s="307">
        <v>4</v>
      </c>
      <c r="O40" s="305">
        <v>0.5</v>
      </c>
      <c r="P40" s="305">
        <v>1</v>
      </c>
      <c r="Q40" s="310"/>
      <c r="R40" s="305">
        <v>0</v>
      </c>
      <c r="S40" s="305">
        <v>2</v>
      </c>
      <c r="T40" s="307">
        <v>0</v>
      </c>
    </row>
    <row r="41" spans="2:20" s="276" customFormat="1" ht="18" customHeight="1">
      <c r="B41" s="305">
        <v>7</v>
      </c>
      <c r="C41" s="306" t="s">
        <v>222</v>
      </c>
      <c r="D41" s="305">
        <v>6</v>
      </c>
      <c r="E41" s="307">
        <v>3</v>
      </c>
      <c r="F41" s="307">
        <v>9</v>
      </c>
      <c r="G41" s="305">
        <v>0</v>
      </c>
      <c r="H41" s="305">
        <v>2</v>
      </c>
      <c r="I41" s="307">
        <v>0</v>
      </c>
      <c r="J41" s="307">
        <v>2</v>
      </c>
      <c r="K41" s="305">
        <v>0</v>
      </c>
      <c r="L41" s="305">
        <v>2</v>
      </c>
      <c r="M41" s="307">
        <v>1</v>
      </c>
      <c r="N41" s="307">
        <v>4</v>
      </c>
      <c r="O41" s="305">
        <v>0.5</v>
      </c>
      <c r="P41" s="305">
        <v>1</v>
      </c>
      <c r="Q41" s="310"/>
      <c r="R41" s="305">
        <v>0</v>
      </c>
      <c r="S41" s="305">
        <v>2</v>
      </c>
      <c r="T41" s="307">
        <v>0</v>
      </c>
    </row>
    <row r="42" spans="2:20" s="276" customFormat="1" ht="18" customHeight="1">
      <c r="B42" s="305">
        <v>8</v>
      </c>
      <c r="C42" s="306" t="s">
        <v>223</v>
      </c>
      <c r="D42" s="305">
        <v>5</v>
      </c>
      <c r="E42" s="307">
        <v>3</v>
      </c>
      <c r="F42" s="307">
        <v>9</v>
      </c>
      <c r="G42" s="305">
        <v>0</v>
      </c>
      <c r="H42" s="305">
        <v>2</v>
      </c>
      <c r="I42" s="307">
        <v>0</v>
      </c>
      <c r="J42" s="307">
        <v>2</v>
      </c>
      <c r="K42" s="305">
        <v>0</v>
      </c>
      <c r="L42" s="305">
        <v>2</v>
      </c>
      <c r="M42" s="307">
        <v>1</v>
      </c>
      <c r="N42" s="307">
        <v>4</v>
      </c>
      <c r="O42" s="305">
        <v>0.5</v>
      </c>
      <c r="P42" s="305">
        <v>1</v>
      </c>
      <c r="Q42" s="310"/>
      <c r="R42" s="305">
        <v>0</v>
      </c>
      <c r="S42" s="305">
        <v>2</v>
      </c>
      <c r="T42" s="307">
        <v>0</v>
      </c>
    </row>
    <row r="43" spans="2:20" s="276" customFormat="1" ht="18" customHeight="1">
      <c r="B43" s="305">
        <v>9</v>
      </c>
      <c r="C43" s="306" t="s">
        <v>224</v>
      </c>
      <c r="D43" s="305">
        <v>4</v>
      </c>
      <c r="E43" s="307">
        <v>3</v>
      </c>
      <c r="F43" s="307">
        <v>9</v>
      </c>
      <c r="G43" s="305">
        <v>0</v>
      </c>
      <c r="H43" s="305">
        <v>2</v>
      </c>
      <c r="I43" s="307">
        <v>0</v>
      </c>
      <c r="J43" s="307">
        <v>2</v>
      </c>
      <c r="K43" s="305">
        <v>0</v>
      </c>
      <c r="L43" s="305">
        <v>2</v>
      </c>
      <c r="M43" s="307">
        <v>1</v>
      </c>
      <c r="N43" s="307">
        <v>4</v>
      </c>
      <c r="O43" s="305">
        <v>0.5</v>
      </c>
      <c r="P43" s="305">
        <v>1</v>
      </c>
      <c r="Q43" s="310"/>
      <c r="R43" s="305">
        <v>0</v>
      </c>
      <c r="S43" s="305">
        <v>2</v>
      </c>
      <c r="T43" s="307">
        <v>0</v>
      </c>
    </row>
    <row r="44" spans="2:20" s="276" customFormat="1">
      <c r="B44" s="402">
        <v>10</v>
      </c>
      <c r="C44" s="312" t="s">
        <v>334</v>
      </c>
      <c r="D44" s="402">
        <v>4</v>
      </c>
      <c r="E44" s="404">
        <v>3</v>
      </c>
      <c r="F44" s="404">
        <v>9</v>
      </c>
      <c r="G44" s="402">
        <v>0</v>
      </c>
      <c r="H44" s="402">
        <v>2</v>
      </c>
      <c r="I44" s="404">
        <v>0</v>
      </c>
      <c r="J44" s="404">
        <v>2</v>
      </c>
      <c r="K44" s="402">
        <v>0</v>
      </c>
      <c r="L44" s="402">
        <v>2</v>
      </c>
      <c r="M44" s="404">
        <v>1</v>
      </c>
      <c r="N44" s="404">
        <v>4</v>
      </c>
      <c r="O44" s="402">
        <v>0.5</v>
      </c>
      <c r="P44" s="402">
        <v>1</v>
      </c>
      <c r="Q44" s="310"/>
      <c r="R44" s="402">
        <v>0</v>
      </c>
      <c r="S44" s="402">
        <v>2</v>
      </c>
      <c r="T44" s="404">
        <v>0</v>
      </c>
    </row>
    <row r="45" spans="2:20">
      <c r="B45" s="403"/>
      <c r="C45" s="313" t="s">
        <v>335</v>
      </c>
      <c r="D45" s="403"/>
      <c r="E45" s="405"/>
      <c r="F45" s="405"/>
      <c r="G45" s="403"/>
      <c r="H45" s="403"/>
      <c r="I45" s="405"/>
      <c r="J45" s="405"/>
      <c r="K45" s="403"/>
      <c r="L45" s="403"/>
      <c r="M45" s="405"/>
      <c r="N45" s="405"/>
      <c r="O45" s="403"/>
      <c r="P45" s="403"/>
      <c r="Q45" s="310"/>
      <c r="R45" s="403"/>
      <c r="S45" s="403"/>
      <c r="T45" s="405"/>
    </row>
    <row r="46" spans="2:20">
      <c r="B46" s="402">
        <v>11</v>
      </c>
      <c r="C46" s="312" t="s">
        <v>336</v>
      </c>
      <c r="D46" s="402">
        <v>2</v>
      </c>
      <c r="E46" s="404">
        <v>3</v>
      </c>
      <c r="F46" s="404">
        <v>12</v>
      </c>
      <c r="G46" s="402">
        <v>0</v>
      </c>
      <c r="H46" s="402">
        <v>3</v>
      </c>
      <c r="I46" s="404">
        <v>0</v>
      </c>
      <c r="J46" s="404">
        <v>3</v>
      </c>
      <c r="K46" s="402">
        <v>0</v>
      </c>
      <c r="L46" s="402">
        <v>2</v>
      </c>
      <c r="M46" s="404">
        <v>1</v>
      </c>
      <c r="N46" s="404">
        <v>4</v>
      </c>
      <c r="O46" s="402">
        <v>1</v>
      </c>
      <c r="P46" s="402">
        <v>2</v>
      </c>
      <c r="Q46" s="310"/>
      <c r="R46" s="402">
        <v>0</v>
      </c>
      <c r="S46" s="402">
        <v>2</v>
      </c>
      <c r="T46" s="404">
        <v>4</v>
      </c>
    </row>
    <row r="47" spans="2:20" s="314" customFormat="1">
      <c r="B47" s="403"/>
      <c r="C47" s="313" t="s">
        <v>337</v>
      </c>
      <c r="D47" s="403"/>
      <c r="E47" s="405"/>
      <c r="F47" s="405"/>
      <c r="G47" s="403"/>
      <c r="H47" s="403"/>
      <c r="I47" s="405"/>
      <c r="J47" s="405"/>
      <c r="K47" s="403"/>
      <c r="L47" s="403"/>
      <c r="M47" s="405"/>
      <c r="N47" s="405"/>
      <c r="O47" s="403"/>
      <c r="P47" s="403"/>
      <c r="Q47" s="310"/>
      <c r="R47" s="403"/>
      <c r="S47" s="403"/>
      <c r="T47" s="405"/>
    </row>
    <row r="48" spans="2:20" s="314" customFormat="1">
      <c r="B48" s="402">
        <v>12</v>
      </c>
      <c r="C48" s="312" t="s">
        <v>336</v>
      </c>
      <c r="D48" s="402">
        <v>2</v>
      </c>
      <c r="E48" s="404">
        <v>3</v>
      </c>
      <c r="F48" s="404">
        <v>6</v>
      </c>
      <c r="G48" s="402">
        <v>0</v>
      </c>
      <c r="H48" s="402">
        <v>3</v>
      </c>
      <c r="I48" s="404">
        <v>0</v>
      </c>
      <c r="J48" s="404">
        <v>3</v>
      </c>
      <c r="K48" s="402">
        <v>0</v>
      </c>
      <c r="L48" s="402">
        <v>2</v>
      </c>
      <c r="M48" s="404">
        <v>1</v>
      </c>
      <c r="N48" s="404">
        <v>4</v>
      </c>
      <c r="O48" s="402">
        <v>1</v>
      </c>
      <c r="P48" s="402">
        <v>2</v>
      </c>
      <c r="Q48" s="310"/>
      <c r="R48" s="402">
        <v>0</v>
      </c>
      <c r="S48" s="402">
        <v>2</v>
      </c>
      <c r="T48" s="404">
        <v>4</v>
      </c>
    </row>
    <row r="49" spans="2:20" s="314" customFormat="1">
      <c r="B49" s="403"/>
      <c r="C49" s="313" t="s">
        <v>322</v>
      </c>
      <c r="D49" s="403"/>
      <c r="E49" s="405"/>
      <c r="F49" s="405"/>
      <c r="G49" s="403"/>
      <c r="H49" s="403"/>
      <c r="I49" s="405"/>
      <c r="J49" s="405"/>
      <c r="K49" s="403"/>
      <c r="L49" s="403"/>
      <c r="M49" s="405"/>
      <c r="N49" s="405"/>
      <c r="O49" s="403"/>
      <c r="P49" s="403"/>
      <c r="Q49" s="315"/>
      <c r="R49" s="403"/>
      <c r="S49" s="403"/>
      <c r="T49" s="405"/>
    </row>
    <row r="50" spans="2:20" s="314" customFormat="1" ht="22.5" customHeight="1">
      <c r="C50" s="316"/>
      <c r="P50" s="317"/>
    </row>
    <row r="51" spans="2:20" s="314" customFormat="1" ht="22.5" customHeight="1">
      <c r="B51" s="314" t="s">
        <v>339</v>
      </c>
      <c r="C51" s="316"/>
      <c r="P51" s="317"/>
    </row>
    <row r="52" spans="2:20" s="314" customFormat="1" ht="12.75" customHeight="1">
      <c r="B52" s="302" t="s">
        <v>211</v>
      </c>
      <c r="C52" s="316"/>
      <c r="P52" s="317"/>
    </row>
    <row r="53" spans="2:20" s="314" customFormat="1" ht="47.25">
      <c r="B53" s="395" t="s">
        <v>8</v>
      </c>
      <c r="C53" s="395" t="s">
        <v>212</v>
      </c>
      <c r="D53" s="303" t="s">
        <v>313</v>
      </c>
      <c r="E53" s="318" t="s">
        <v>314</v>
      </c>
      <c r="F53" s="303" t="s">
        <v>316</v>
      </c>
      <c r="G53" s="319" t="s">
        <v>318</v>
      </c>
      <c r="H53" s="320" t="s">
        <v>319</v>
      </c>
      <c r="P53" s="317"/>
    </row>
    <row r="54" spans="2:20" s="314" customFormat="1" ht="22.5" customHeight="1">
      <c r="B54" s="396"/>
      <c r="C54" s="396"/>
      <c r="D54" s="304" t="s">
        <v>312</v>
      </c>
      <c r="E54" s="321" t="s">
        <v>315</v>
      </c>
      <c r="F54" s="304" t="s">
        <v>317</v>
      </c>
      <c r="G54" s="319" t="s">
        <v>216</v>
      </c>
      <c r="H54" s="320" t="s">
        <v>216</v>
      </c>
      <c r="P54" s="317"/>
    </row>
    <row r="55" spans="2:20" s="314" customFormat="1" ht="37.5" customHeight="1">
      <c r="B55" s="305">
        <v>1</v>
      </c>
      <c r="C55" s="306" t="s">
        <v>220</v>
      </c>
      <c r="D55" s="305">
        <v>14</v>
      </c>
      <c r="E55" s="307">
        <v>0</v>
      </c>
      <c r="F55" s="322" t="s">
        <v>320</v>
      </c>
      <c r="G55" s="307">
        <v>2</v>
      </c>
      <c r="H55" s="323">
        <v>0</v>
      </c>
      <c r="P55" s="317"/>
    </row>
    <row r="56" spans="2:20" s="314" customFormat="1" ht="37.5" customHeight="1">
      <c r="B56" s="305">
        <v>2</v>
      </c>
      <c r="C56" s="306" t="s">
        <v>221</v>
      </c>
      <c r="D56" s="305">
        <v>14</v>
      </c>
      <c r="E56" s="307">
        <v>0</v>
      </c>
      <c r="F56" s="324" t="s">
        <v>321</v>
      </c>
      <c r="G56" s="307">
        <v>2</v>
      </c>
      <c r="H56" s="323">
        <v>0</v>
      </c>
      <c r="P56" s="317"/>
    </row>
    <row r="57" spans="2:20" s="314" customFormat="1" ht="37.5" customHeight="1">
      <c r="B57" s="305">
        <v>3</v>
      </c>
      <c r="C57" s="306" t="s">
        <v>223</v>
      </c>
      <c r="D57" s="305">
        <v>14</v>
      </c>
      <c r="E57" s="307">
        <v>0</v>
      </c>
      <c r="F57" s="325"/>
      <c r="G57" s="307">
        <v>2</v>
      </c>
      <c r="H57" s="323">
        <v>0</v>
      </c>
      <c r="P57" s="317"/>
    </row>
    <row r="58" spans="2:20" s="314" customFormat="1" ht="37.5" customHeight="1">
      <c r="B58" s="322">
        <v>4</v>
      </c>
      <c r="C58" s="312" t="s">
        <v>325</v>
      </c>
      <c r="D58" s="322">
        <v>4</v>
      </c>
      <c r="E58" s="308">
        <v>10</v>
      </c>
      <c r="F58" s="325"/>
      <c r="G58" s="308">
        <v>2</v>
      </c>
      <c r="H58" s="326">
        <v>4</v>
      </c>
      <c r="P58" s="317"/>
    </row>
    <row r="59" spans="2:20" s="314" customFormat="1" ht="37.5" customHeight="1">
      <c r="B59" s="305">
        <v>5</v>
      </c>
      <c r="C59" s="306" t="s">
        <v>323</v>
      </c>
      <c r="D59" s="305">
        <v>3</v>
      </c>
      <c r="E59" s="307">
        <v>11</v>
      </c>
      <c r="F59" s="325"/>
      <c r="G59" s="307">
        <v>2</v>
      </c>
      <c r="H59" s="323">
        <v>4</v>
      </c>
      <c r="P59" s="317"/>
    </row>
    <row r="60" spans="2:20" s="314" customFormat="1" ht="37.5" customHeight="1">
      <c r="B60" s="305">
        <v>6</v>
      </c>
      <c r="C60" s="306" t="s">
        <v>324</v>
      </c>
      <c r="D60" s="305">
        <v>2</v>
      </c>
      <c r="E60" s="307">
        <v>12</v>
      </c>
      <c r="F60" s="327"/>
      <c r="G60" s="307">
        <v>2</v>
      </c>
      <c r="H60" s="323">
        <v>4</v>
      </c>
      <c r="P60" s="317"/>
    </row>
    <row r="61" spans="2:20" s="314" customFormat="1" ht="22.5" customHeight="1">
      <c r="C61" s="316"/>
      <c r="P61" s="317"/>
    </row>
    <row r="62" spans="2:20" s="314" customFormat="1" ht="22.5" customHeight="1">
      <c r="B62" s="276" t="s">
        <v>64</v>
      </c>
      <c r="P62" s="317"/>
    </row>
    <row r="63" spans="2:20" s="329" customFormat="1" ht="22.5" customHeight="1">
      <c r="B63" s="328">
        <v>1</v>
      </c>
      <c r="C63" s="329" t="s">
        <v>225</v>
      </c>
      <c r="P63" s="330"/>
    </row>
    <row r="64" spans="2:20" s="329" customFormat="1" ht="22.5" customHeight="1">
      <c r="B64" s="328">
        <v>2</v>
      </c>
      <c r="C64" s="329" t="s">
        <v>226</v>
      </c>
      <c r="P64" s="330"/>
    </row>
    <row r="65" spans="1:16" s="329" customFormat="1" ht="22.5" customHeight="1">
      <c r="B65" s="328"/>
      <c r="C65" s="329" t="s">
        <v>227</v>
      </c>
      <c r="P65" s="330"/>
    </row>
    <row r="66" spans="1:16" s="329" customFormat="1" ht="22.5" customHeight="1">
      <c r="B66" s="328">
        <v>3</v>
      </c>
      <c r="C66" s="329" t="s">
        <v>228</v>
      </c>
      <c r="P66" s="330"/>
    </row>
    <row r="67" spans="1:16" s="329" customFormat="1" ht="22.5" customHeight="1">
      <c r="B67" s="328">
        <v>4</v>
      </c>
      <c r="C67" s="329" t="s">
        <v>229</v>
      </c>
      <c r="P67" s="330"/>
    </row>
    <row r="68" spans="1:16" s="329" customFormat="1" ht="22.5" customHeight="1">
      <c r="B68" s="328">
        <v>5</v>
      </c>
      <c r="C68" s="329" t="s">
        <v>230</v>
      </c>
      <c r="P68" s="330"/>
    </row>
    <row r="69" spans="1:16" s="329" customFormat="1" ht="22.5" customHeight="1">
      <c r="B69" s="328">
        <v>6</v>
      </c>
      <c r="C69" s="329" t="s">
        <v>231</v>
      </c>
      <c r="P69" s="330"/>
    </row>
    <row r="70" spans="1:16" s="329" customFormat="1" ht="25.5" customHeight="1">
      <c r="B70" s="328">
        <v>7</v>
      </c>
      <c r="C70" s="331" t="s">
        <v>232</v>
      </c>
      <c r="P70" s="330"/>
    </row>
    <row r="71" spans="1:16" s="329" customFormat="1" ht="19.5" customHeight="1">
      <c r="C71" s="329" t="s">
        <v>441</v>
      </c>
      <c r="P71" s="330"/>
    </row>
    <row r="72" spans="1:16" s="329" customFormat="1" ht="19.5" customHeight="1">
      <c r="C72" s="329" t="s">
        <v>442</v>
      </c>
      <c r="P72" s="330"/>
    </row>
    <row r="73" spans="1:16" s="329" customFormat="1" ht="19.5" customHeight="1">
      <c r="B73" s="328">
        <v>8</v>
      </c>
      <c r="C73" s="329" t="s">
        <v>233</v>
      </c>
      <c r="P73" s="330"/>
    </row>
    <row r="74" spans="1:16" s="329" customFormat="1" ht="19.5" customHeight="1">
      <c r="B74" s="328">
        <v>9</v>
      </c>
      <c r="C74" s="332" t="s">
        <v>234</v>
      </c>
      <c r="P74" s="330"/>
    </row>
    <row r="75" spans="1:16" s="314" customFormat="1" ht="19.5" customHeight="1">
      <c r="B75" s="333"/>
      <c r="C75" s="334"/>
      <c r="P75" s="317"/>
    </row>
    <row r="76" spans="1:16">
      <c r="A76" s="264" t="s">
        <v>20</v>
      </c>
      <c r="B76" s="286" t="s">
        <v>235</v>
      </c>
    </row>
    <row r="77" spans="1:16">
      <c r="B77" s="258" t="s">
        <v>236</v>
      </c>
    </row>
    <row r="78" spans="1:16">
      <c r="B78" s="258" t="s">
        <v>237</v>
      </c>
    </row>
    <row r="79" spans="1:16">
      <c r="B79" s="335" t="s">
        <v>185</v>
      </c>
      <c r="C79" s="336" t="s">
        <v>186</v>
      </c>
      <c r="D79" s="335" t="s">
        <v>187</v>
      </c>
      <c r="E79" s="368" t="s">
        <v>238</v>
      </c>
      <c r="F79" s="369"/>
    </row>
    <row r="80" spans="1:16">
      <c r="B80" s="337">
        <v>1</v>
      </c>
      <c r="C80" s="338" t="s">
        <v>239</v>
      </c>
      <c r="D80" s="362" t="s">
        <v>240</v>
      </c>
      <c r="E80" s="370" t="s">
        <v>241</v>
      </c>
      <c r="F80" s="371"/>
    </row>
    <row r="81" spans="1:6">
      <c r="B81" s="339"/>
      <c r="C81" s="340"/>
      <c r="D81" s="363"/>
      <c r="E81" s="370" t="s">
        <v>242</v>
      </c>
      <c r="F81" s="371"/>
    </row>
    <row r="82" spans="1:6">
      <c r="B82" s="339"/>
      <c r="C82" s="340"/>
      <c r="D82" s="363"/>
      <c r="E82" s="370" t="s">
        <v>243</v>
      </c>
      <c r="F82" s="371"/>
    </row>
    <row r="83" spans="1:6">
      <c r="B83" s="339"/>
      <c r="C83" s="340"/>
      <c r="D83" s="363"/>
      <c r="E83" s="370" t="s">
        <v>244</v>
      </c>
      <c r="F83" s="371"/>
    </row>
    <row r="84" spans="1:6">
      <c r="B84" s="341"/>
      <c r="C84" s="342"/>
      <c r="D84" s="364"/>
      <c r="E84" s="370" t="s">
        <v>245</v>
      </c>
      <c r="F84" s="371"/>
    </row>
    <row r="85" spans="1:6" ht="78.75">
      <c r="B85" s="343">
        <v>2</v>
      </c>
      <c r="C85" s="289" t="s">
        <v>246</v>
      </c>
      <c r="D85" s="288" t="s">
        <v>247</v>
      </c>
      <c r="E85" s="360" t="s">
        <v>248</v>
      </c>
      <c r="F85" s="361"/>
    </row>
    <row r="86" spans="1:6" ht="15.75" customHeight="1">
      <c r="B86" s="344">
        <v>3</v>
      </c>
      <c r="C86" s="362" t="s">
        <v>249</v>
      </c>
      <c r="D86" s="365" t="s">
        <v>250</v>
      </c>
      <c r="E86" s="366" t="s">
        <v>443</v>
      </c>
      <c r="F86" s="367"/>
    </row>
    <row r="87" spans="1:6">
      <c r="B87" s="297"/>
      <c r="C87" s="363"/>
      <c r="D87" s="365"/>
      <c r="E87" s="366" t="s">
        <v>251</v>
      </c>
      <c r="F87" s="367"/>
    </row>
    <row r="88" spans="1:6">
      <c r="B88" s="300"/>
      <c r="C88" s="364"/>
      <c r="D88" s="365"/>
      <c r="E88" s="366" t="s">
        <v>252</v>
      </c>
      <c r="F88" s="367"/>
    </row>
    <row r="90" spans="1:6">
      <c r="A90" s="264" t="s">
        <v>28</v>
      </c>
      <c r="B90" s="286" t="s">
        <v>444</v>
      </c>
    </row>
    <row r="91" spans="1:6">
      <c r="B91" s="258" t="s">
        <v>445</v>
      </c>
    </row>
    <row r="92" spans="1:6">
      <c r="B92" s="345"/>
    </row>
  </sheetData>
  <mergeCells count="95">
    <mergeCell ref="S48:S49"/>
    <mergeCell ref="T48:T49"/>
    <mergeCell ref="B44:B45"/>
    <mergeCell ref="D44:D45"/>
    <mergeCell ref="E44:E45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B48:B49"/>
    <mergeCell ref="S46:S47"/>
    <mergeCell ref="T46:T47"/>
    <mergeCell ref="D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R48:R49"/>
    <mergeCell ref="M46:M47"/>
    <mergeCell ref="N46:N47"/>
    <mergeCell ref="O46:O47"/>
    <mergeCell ref="P46:P47"/>
    <mergeCell ref="R46:R47"/>
    <mergeCell ref="H46:H47"/>
    <mergeCell ref="I46:I47"/>
    <mergeCell ref="J46:J47"/>
    <mergeCell ref="K46:K47"/>
    <mergeCell ref="L46:L47"/>
    <mergeCell ref="B46:B47"/>
    <mergeCell ref="D46:D47"/>
    <mergeCell ref="E46:E47"/>
    <mergeCell ref="F46:F47"/>
    <mergeCell ref="G46:G47"/>
    <mergeCell ref="O44:O45"/>
    <mergeCell ref="P44:P45"/>
    <mergeCell ref="R44:R45"/>
    <mergeCell ref="S44:S45"/>
    <mergeCell ref="T44:T45"/>
    <mergeCell ref="O33:P34"/>
    <mergeCell ref="Q33:Q34"/>
    <mergeCell ref="R33:S34"/>
    <mergeCell ref="T33:T34"/>
    <mergeCell ref="B53:B54"/>
    <mergeCell ref="C53:C54"/>
    <mergeCell ref="B33:B34"/>
    <mergeCell ref="C33:C34"/>
    <mergeCell ref="E33:F33"/>
    <mergeCell ref="G33:H33"/>
    <mergeCell ref="E34:F34"/>
    <mergeCell ref="G34:H34"/>
    <mergeCell ref="I33:J33"/>
    <mergeCell ref="I34:J34"/>
    <mergeCell ref="K33:L34"/>
    <mergeCell ref="M33:N34"/>
    <mergeCell ref="E28:H28"/>
    <mergeCell ref="D11:E11"/>
    <mergeCell ref="D12:E12"/>
    <mergeCell ref="D13:E13"/>
    <mergeCell ref="D14:E14"/>
    <mergeCell ref="B15:D15"/>
    <mergeCell ref="B20:B21"/>
    <mergeCell ref="C20:C21"/>
    <mergeCell ref="D20:D21"/>
    <mergeCell ref="E20:F20"/>
    <mergeCell ref="G20:H20"/>
    <mergeCell ref="G23:G25"/>
    <mergeCell ref="H23:H25"/>
    <mergeCell ref="E26:H26"/>
    <mergeCell ref="E27:H27"/>
    <mergeCell ref="E79:F79"/>
    <mergeCell ref="D80:D84"/>
    <mergeCell ref="E80:F80"/>
    <mergeCell ref="E81:F81"/>
    <mergeCell ref="E82:F82"/>
    <mergeCell ref="E83:F83"/>
    <mergeCell ref="E84:F84"/>
    <mergeCell ref="E85:F85"/>
    <mergeCell ref="C86:C88"/>
    <mergeCell ref="D86:D88"/>
    <mergeCell ref="E86:F86"/>
    <mergeCell ref="E87:F87"/>
    <mergeCell ref="E88:F8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1"/>
  <sheetViews>
    <sheetView view="pageLayout" zoomScale="50" zoomScaleNormal="90" zoomScalePageLayoutView="50" workbookViewId="0">
      <selection activeCell="L2" sqref="L2"/>
    </sheetView>
  </sheetViews>
  <sheetFormatPr defaultRowHeight="15.75"/>
  <cols>
    <col min="3" max="3" width="15.375" customWidth="1"/>
    <col min="4" max="4" width="4.625" customWidth="1"/>
    <col min="5" max="5" width="27" customWidth="1"/>
    <col min="7" max="7" width="26" customWidth="1"/>
    <col min="9" max="14" width="18.625" customWidth="1"/>
  </cols>
  <sheetData>
    <row r="1" spans="1:14" ht="30">
      <c r="A1" s="78"/>
      <c r="B1" s="83" t="s">
        <v>0</v>
      </c>
      <c r="C1" s="79"/>
      <c r="D1" s="80"/>
      <c r="E1" s="80"/>
      <c r="F1" s="81"/>
      <c r="G1" s="78"/>
      <c r="H1" s="82"/>
      <c r="I1" s="78"/>
      <c r="J1" s="78"/>
      <c r="K1" s="78"/>
      <c r="L1" s="78"/>
      <c r="M1" s="78"/>
      <c r="N1" s="78"/>
    </row>
    <row r="2" spans="1:14">
      <c r="A2" s="78"/>
      <c r="B2" s="84"/>
      <c r="C2" s="79"/>
      <c r="D2" s="80"/>
      <c r="E2" s="80"/>
      <c r="F2" s="81"/>
      <c r="G2" s="78"/>
      <c r="H2" s="82"/>
      <c r="I2" s="78"/>
      <c r="J2" s="78"/>
      <c r="K2" s="78"/>
      <c r="L2" s="78"/>
      <c r="M2" s="78"/>
      <c r="N2" s="78"/>
    </row>
    <row r="3" spans="1:14" ht="18.75">
      <c r="A3" s="78"/>
      <c r="B3" s="204" t="s">
        <v>1</v>
      </c>
      <c r="C3" s="205"/>
      <c r="D3" s="206" t="s">
        <v>173</v>
      </c>
      <c r="E3" s="207"/>
      <c r="F3" s="81"/>
      <c r="G3" s="86"/>
      <c r="H3" s="87" t="s">
        <v>2</v>
      </c>
      <c r="I3" s="78"/>
      <c r="J3" s="78"/>
      <c r="K3" s="78"/>
      <c r="L3" s="78"/>
      <c r="M3" s="78"/>
      <c r="N3" s="78"/>
    </row>
    <row r="4" spans="1:14" ht="18.75">
      <c r="A4" s="78"/>
      <c r="B4" s="204" t="s">
        <v>3</v>
      </c>
      <c r="C4" s="205"/>
      <c r="D4" s="208" t="s">
        <v>4</v>
      </c>
      <c r="E4" s="207"/>
      <c r="F4" s="81"/>
      <c r="G4" s="78"/>
      <c r="H4" s="82"/>
      <c r="I4" s="78"/>
      <c r="J4" s="78"/>
      <c r="K4" s="78"/>
      <c r="L4" s="78"/>
      <c r="M4" s="78"/>
      <c r="N4" s="78"/>
    </row>
    <row r="5" spans="1:14" ht="18.75">
      <c r="A5" s="78"/>
      <c r="B5" s="204" t="s">
        <v>6</v>
      </c>
      <c r="C5" s="205"/>
      <c r="D5" s="206" t="s">
        <v>7</v>
      </c>
      <c r="E5" s="207"/>
      <c r="F5" s="81"/>
      <c r="G5" s="78"/>
      <c r="H5" s="82"/>
      <c r="I5" s="78"/>
      <c r="J5" s="78"/>
      <c r="K5" s="78"/>
      <c r="L5" s="78"/>
      <c r="M5" s="78"/>
      <c r="N5" s="78"/>
    </row>
    <row r="6" spans="1:14">
      <c r="A6" s="78"/>
      <c r="B6" s="78"/>
      <c r="C6" s="79"/>
      <c r="D6" s="80"/>
      <c r="E6" s="80"/>
      <c r="F6" s="81"/>
      <c r="G6" s="78"/>
      <c r="H6" s="82"/>
      <c r="I6" s="78"/>
      <c r="J6" s="78"/>
      <c r="K6" s="78"/>
      <c r="L6" s="78"/>
      <c r="M6" s="78"/>
      <c r="N6" s="78"/>
    </row>
    <row r="7" spans="1:14" ht="18.75">
      <c r="A7" s="78"/>
      <c r="B7" s="406" t="s">
        <v>8</v>
      </c>
      <c r="C7" s="409" t="s">
        <v>9</v>
      </c>
      <c r="D7" s="410" t="s">
        <v>10</v>
      </c>
      <c r="E7" s="411"/>
      <c r="F7" s="414" t="s">
        <v>11</v>
      </c>
      <c r="G7" s="416" t="s">
        <v>12</v>
      </c>
      <c r="H7" s="406" t="s">
        <v>13</v>
      </c>
      <c r="I7" s="418" t="s">
        <v>14</v>
      </c>
      <c r="J7" s="419"/>
      <c r="K7" s="419"/>
      <c r="L7" s="419"/>
      <c r="M7" s="419"/>
      <c r="N7" s="420" t="s">
        <v>253</v>
      </c>
    </row>
    <row r="8" spans="1:14" ht="18.75">
      <c r="A8" s="78"/>
      <c r="B8" s="408"/>
      <c r="C8" s="408"/>
      <c r="D8" s="412"/>
      <c r="E8" s="413"/>
      <c r="F8" s="415"/>
      <c r="G8" s="417"/>
      <c r="H8" s="407"/>
      <c r="I8" s="209">
        <v>1</v>
      </c>
      <c r="J8" s="210">
        <v>2</v>
      </c>
      <c r="K8" s="210">
        <v>3</v>
      </c>
      <c r="L8" s="210">
        <v>4</v>
      </c>
      <c r="M8" s="211">
        <v>5</v>
      </c>
      <c r="N8" s="421"/>
    </row>
    <row r="9" spans="1:14" ht="75">
      <c r="A9" s="78"/>
      <c r="B9" s="220" t="s">
        <v>15</v>
      </c>
      <c r="C9" s="221" t="s">
        <v>16</v>
      </c>
      <c r="D9" s="222">
        <v>1</v>
      </c>
      <c r="E9" s="223" t="s">
        <v>154</v>
      </c>
      <c r="F9" s="224">
        <v>0.1</v>
      </c>
      <c r="G9" s="225" t="s">
        <v>153</v>
      </c>
      <c r="H9" s="226" t="s">
        <v>255</v>
      </c>
      <c r="I9" s="227" t="s">
        <v>18</v>
      </c>
      <c r="J9" s="227" t="s">
        <v>254</v>
      </c>
      <c r="K9" s="227" t="s">
        <v>257</v>
      </c>
      <c r="L9" s="227" t="s">
        <v>256</v>
      </c>
      <c r="M9" s="227" t="s">
        <v>255</v>
      </c>
      <c r="N9" s="228" t="s">
        <v>271</v>
      </c>
    </row>
    <row r="10" spans="1:14" ht="159" customHeight="1">
      <c r="A10" s="78"/>
      <c r="B10" s="229" t="s">
        <v>20</v>
      </c>
      <c r="C10" s="230" t="s">
        <v>21</v>
      </c>
      <c r="D10" s="231">
        <v>2</v>
      </c>
      <c r="E10" s="212" t="s">
        <v>309</v>
      </c>
      <c r="F10" s="232"/>
      <c r="G10" s="233"/>
      <c r="H10" s="234"/>
      <c r="I10" s="235"/>
      <c r="J10" s="226"/>
      <c r="K10" s="226"/>
      <c r="L10" s="226"/>
      <c r="M10" s="226"/>
      <c r="N10" s="226"/>
    </row>
    <row r="11" spans="1:14" ht="48.75" customHeight="1">
      <c r="A11" s="78"/>
      <c r="B11" s="236"/>
      <c r="C11" s="237"/>
      <c r="D11" s="238">
        <v>3</v>
      </c>
      <c r="E11" s="239" t="s">
        <v>310</v>
      </c>
      <c r="F11" s="232"/>
      <c r="G11" s="233"/>
      <c r="H11" s="234"/>
      <c r="I11" s="235"/>
      <c r="J11" s="226"/>
      <c r="K11" s="226"/>
      <c r="L11" s="226"/>
      <c r="M11" s="226"/>
      <c r="N11" s="226"/>
    </row>
    <row r="12" spans="1:14" ht="78" customHeight="1">
      <c r="A12" s="78"/>
      <c r="B12" s="229" t="s">
        <v>28</v>
      </c>
      <c r="C12" s="230" t="s">
        <v>157</v>
      </c>
      <c r="D12" s="222">
        <v>4</v>
      </c>
      <c r="E12" s="240" t="s">
        <v>259</v>
      </c>
      <c r="F12" s="224">
        <v>0.02</v>
      </c>
      <c r="G12" s="241" t="s">
        <v>159</v>
      </c>
      <c r="H12" s="242">
        <v>0.9</v>
      </c>
      <c r="I12" s="422" t="s">
        <v>258</v>
      </c>
      <c r="J12" s="423"/>
      <c r="K12" s="423"/>
      <c r="L12" s="423"/>
      <c r="M12" s="424"/>
      <c r="N12" s="226" t="s">
        <v>273</v>
      </c>
    </row>
    <row r="13" spans="1:14" ht="159" customHeight="1">
      <c r="A13" s="78"/>
      <c r="B13" s="236"/>
      <c r="C13" s="243"/>
      <c r="D13" s="238">
        <v>5</v>
      </c>
      <c r="E13" s="212" t="s">
        <v>311</v>
      </c>
      <c r="F13" s="234"/>
      <c r="G13" s="233"/>
      <c r="H13" s="234"/>
      <c r="I13" s="244"/>
      <c r="J13" s="245"/>
      <c r="K13" s="245"/>
      <c r="L13" s="245"/>
      <c r="M13" s="245"/>
      <c r="N13" s="245"/>
    </row>
    <row r="14" spans="1:14" ht="79.5" customHeight="1">
      <c r="A14" s="78"/>
      <c r="B14" s="229" t="s">
        <v>34</v>
      </c>
      <c r="C14" s="246" t="s">
        <v>35</v>
      </c>
      <c r="D14" s="222">
        <v>6</v>
      </c>
      <c r="E14" s="240" t="s">
        <v>161</v>
      </c>
      <c r="F14" s="242">
        <v>0.03</v>
      </c>
      <c r="G14" s="241" t="s">
        <v>162</v>
      </c>
      <c r="H14" s="242">
        <v>0.4</v>
      </c>
      <c r="I14" s="422" t="s">
        <v>261</v>
      </c>
      <c r="J14" s="423"/>
      <c r="K14" s="423"/>
      <c r="L14" s="423"/>
      <c r="M14" s="424"/>
      <c r="N14" s="226" t="s">
        <v>274</v>
      </c>
    </row>
    <row r="15" spans="1:14" ht="199.5" customHeight="1">
      <c r="A15" s="78"/>
      <c r="B15" s="247"/>
      <c r="C15" s="248"/>
      <c r="D15" s="222">
        <v>7</v>
      </c>
      <c r="E15" s="240" t="s">
        <v>163</v>
      </c>
      <c r="F15" s="224">
        <v>0.05</v>
      </c>
      <c r="G15" s="241" t="s">
        <v>164</v>
      </c>
      <c r="H15" s="242">
        <v>0.85</v>
      </c>
      <c r="I15" s="422" t="s">
        <v>262</v>
      </c>
      <c r="J15" s="425"/>
      <c r="K15" s="425"/>
      <c r="L15" s="425"/>
      <c r="M15" s="426"/>
      <c r="N15" s="226" t="s">
        <v>275</v>
      </c>
    </row>
    <row r="16" spans="1:14" ht="202.5" customHeight="1">
      <c r="A16" s="78"/>
      <c r="B16" s="249"/>
      <c r="C16" s="243"/>
      <c r="D16" s="250">
        <v>8</v>
      </c>
      <c r="E16" s="223" t="s">
        <v>171</v>
      </c>
      <c r="F16" s="224">
        <v>0.02</v>
      </c>
      <c r="G16" s="251" t="s">
        <v>156</v>
      </c>
      <c r="H16" s="242">
        <v>0.75</v>
      </c>
      <c r="I16" s="252" t="s">
        <v>267</v>
      </c>
      <c r="J16" s="252" t="s">
        <v>266</v>
      </c>
      <c r="K16" s="252" t="s">
        <v>264</v>
      </c>
      <c r="L16" s="253" t="s">
        <v>265</v>
      </c>
      <c r="M16" s="253" t="s">
        <v>263</v>
      </c>
      <c r="N16" s="245"/>
    </row>
    <row r="17" spans="1:20" ht="18.75">
      <c r="A17" s="78"/>
      <c r="B17" s="213"/>
      <c r="C17" s="214"/>
      <c r="D17" s="213"/>
      <c r="E17" s="215"/>
      <c r="F17" s="216">
        <f>SUM(F9:F16)</f>
        <v>0.22</v>
      </c>
      <c r="G17" s="214"/>
      <c r="H17" s="213"/>
      <c r="I17" s="214"/>
      <c r="J17" s="214"/>
      <c r="K17" s="214"/>
      <c r="L17" s="214"/>
      <c r="M17" s="214"/>
      <c r="N17" s="214"/>
    </row>
    <row r="18" spans="1:20" ht="18.75">
      <c r="A18" s="78"/>
      <c r="B18" s="213"/>
      <c r="C18" s="214"/>
      <c r="D18" s="213"/>
      <c r="E18" s="215"/>
      <c r="F18" s="216"/>
      <c r="G18" s="214"/>
      <c r="H18" s="213"/>
      <c r="I18" s="214"/>
      <c r="J18" s="214"/>
      <c r="K18" s="214"/>
      <c r="L18" s="214"/>
      <c r="M18" s="214"/>
      <c r="N18" s="214"/>
    </row>
    <row r="19" spans="1:20" ht="18.75">
      <c r="A19" s="78"/>
      <c r="B19" s="213"/>
      <c r="C19" s="214"/>
      <c r="D19" s="213"/>
      <c r="E19" s="215" t="s">
        <v>260</v>
      </c>
      <c r="F19" s="216">
        <v>1</v>
      </c>
      <c r="G19" s="214"/>
      <c r="H19" s="213"/>
      <c r="I19" s="214"/>
      <c r="J19" s="214"/>
      <c r="K19" s="214"/>
      <c r="L19" s="214"/>
      <c r="M19" s="214"/>
      <c r="N19" s="214"/>
    </row>
    <row r="20" spans="1:20" ht="18.75">
      <c r="A20" s="78"/>
      <c r="B20" s="213"/>
      <c r="C20" s="214"/>
      <c r="D20" s="213"/>
      <c r="E20" s="215"/>
      <c r="F20" s="216"/>
      <c r="G20" s="214"/>
      <c r="H20" s="213"/>
      <c r="I20" s="214"/>
      <c r="J20" s="214"/>
      <c r="K20" s="214"/>
      <c r="L20" s="214"/>
      <c r="M20" s="214"/>
      <c r="N20" s="214"/>
    </row>
    <row r="21" spans="1:20" ht="18.75">
      <c r="A21" s="78"/>
      <c r="B21" s="213"/>
      <c r="C21" s="206"/>
      <c r="D21" s="217"/>
      <c r="E21" s="218"/>
      <c r="F21" s="219"/>
      <c r="G21" s="206"/>
      <c r="H21" s="217"/>
      <c r="I21" s="214"/>
      <c r="J21" s="214"/>
      <c r="K21" s="214"/>
      <c r="L21" s="214"/>
      <c r="M21" s="214"/>
      <c r="N21" s="214"/>
    </row>
    <row r="22" spans="1:20" s="346" customFormat="1">
      <c r="B22" s="347" t="s">
        <v>44</v>
      </c>
      <c r="C22" s="348"/>
      <c r="D22" s="348"/>
      <c r="E22" s="348"/>
      <c r="F22" s="348"/>
      <c r="G22" s="348"/>
      <c r="H22" s="348"/>
      <c r="I22" s="349"/>
      <c r="J22" s="350"/>
      <c r="K22" s="351"/>
      <c r="L22" s="352"/>
      <c r="M22" s="352"/>
      <c r="N22" s="353"/>
      <c r="O22" s="354"/>
      <c r="S22" s="355"/>
      <c r="T22" s="356"/>
    </row>
    <row r="23" spans="1:20" s="346" customFormat="1">
      <c r="B23" s="333" t="s">
        <v>46</v>
      </c>
      <c r="C23" s="333"/>
      <c r="D23" s="333"/>
      <c r="E23" s="333"/>
      <c r="F23" s="333"/>
      <c r="G23" s="333"/>
      <c r="H23" s="333"/>
      <c r="I23" s="276"/>
      <c r="J23" s="350"/>
      <c r="K23" s="351"/>
      <c r="L23" s="350"/>
      <c r="M23" s="333"/>
      <c r="N23" s="333" t="s">
        <v>47</v>
      </c>
      <c r="O23" s="357"/>
      <c r="S23" s="355"/>
      <c r="T23" s="356"/>
    </row>
    <row r="24" spans="1:20" s="346" customFormat="1">
      <c r="B24" s="348"/>
      <c r="C24" s="358"/>
      <c r="D24" s="358"/>
      <c r="E24" s="358"/>
      <c r="F24" s="358"/>
      <c r="G24" s="358"/>
      <c r="H24" s="358"/>
      <c r="I24" s="358"/>
      <c r="J24" s="350"/>
      <c r="K24" s="351"/>
      <c r="L24" s="350"/>
      <c r="M24" s="348"/>
      <c r="N24" s="348"/>
      <c r="O24" s="357"/>
      <c r="S24" s="355"/>
      <c r="T24" s="356"/>
    </row>
    <row r="25" spans="1:20" s="346" customFormat="1">
      <c r="B25" s="348"/>
      <c r="C25" s="358"/>
      <c r="D25" s="358"/>
      <c r="E25" s="358"/>
      <c r="F25" s="358"/>
      <c r="G25" s="358"/>
      <c r="H25" s="358"/>
      <c r="I25" s="358"/>
      <c r="J25" s="350"/>
      <c r="K25" s="351"/>
      <c r="L25" s="350"/>
      <c r="M25" s="348"/>
      <c r="N25" s="348"/>
      <c r="O25" s="357"/>
      <c r="S25" s="355"/>
      <c r="T25" s="356"/>
    </row>
    <row r="26" spans="1:20" s="346" customFormat="1">
      <c r="B26" s="348"/>
      <c r="C26" s="358"/>
      <c r="D26" s="358"/>
      <c r="E26" s="358"/>
      <c r="F26" s="358"/>
      <c r="G26" s="358"/>
      <c r="H26" s="358"/>
      <c r="I26" s="358"/>
      <c r="J26" s="350"/>
      <c r="K26" s="351"/>
      <c r="L26" s="350"/>
      <c r="M26" s="348"/>
      <c r="N26" s="348"/>
      <c r="O26" s="357"/>
      <c r="S26" s="355"/>
      <c r="T26" s="356"/>
    </row>
    <row r="27" spans="1:20" s="346" customFormat="1">
      <c r="B27" s="348"/>
      <c r="C27" s="358"/>
      <c r="D27" s="358"/>
      <c r="E27" s="358"/>
      <c r="F27" s="358"/>
      <c r="G27" s="358"/>
      <c r="H27" s="358"/>
      <c r="I27" s="358"/>
      <c r="J27" s="350"/>
      <c r="K27" s="351"/>
      <c r="L27" s="350"/>
      <c r="M27" s="348"/>
      <c r="N27" s="348"/>
      <c r="O27" s="357"/>
      <c r="S27" s="355"/>
      <c r="T27" s="356"/>
    </row>
    <row r="28" spans="1:20" s="346" customFormat="1">
      <c r="B28" s="348"/>
      <c r="C28" s="358"/>
      <c r="D28" s="358"/>
      <c r="E28" s="358"/>
      <c r="F28" s="358"/>
      <c r="G28" s="358"/>
      <c r="H28" s="358"/>
      <c r="I28" s="358"/>
      <c r="J28" s="350"/>
      <c r="K28" s="351"/>
      <c r="L28" s="350"/>
      <c r="M28" s="348"/>
      <c r="N28" s="348"/>
      <c r="O28" s="357"/>
      <c r="S28" s="355"/>
      <c r="T28" s="356"/>
    </row>
    <row r="29" spans="1:20" s="346" customFormat="1">
      <c r="B29" s="348"/>
      <c r="C29" s="358"/>
      <c r="D29" s="358"/>
      <c r="E29" s="358"/>
      <c r="F29" s="358"/>
      <c r="G29" s="358"/>
      <c r="H29" s="358"/>
      <c r="I29" s="358"/>
      <c r="J29" s="350"/>
      <c r="K29" s="351"/>
      <c r="L29" s="350"/>
      <c r="M29" s="348"/>
      <c r="N29" s="348"/>
      <c r="O29" s="357"/>
      <c r="S29" s="355"/>
      <c r="T29" s="356"/>
    </row>
    <row r="30" spans="1:20" s="346" customFormat="1">
      <c r="B30" s="359" t="s">
        <v>446</v>
      </c>
      <c r="C30" s="358"/>
      <c r="D30" s="358"/>
      <c r="E30" s="358"/>
      <c r="F30" s="358"/>
      <c r="G30" s="358"/>
      <c r="H30" s="358"/>
      <c r="I30" s="358"/>
      <c r="J30" s="350"/>
      <c r="K30" s="351"/>
      <c r="L30" s="350"/>
      <c r="M30" s="348"/>
      <c r="N30" s="359" t="s">
        <v>446</v>
      </c>
      <c r="O30" s="357"/>
      <c r="S30" s="355"/>
      <c r="T30" s="356"/>
    </row>
    <row r="31" spans="1:20" s="346" customFormat="1">
      <c r="B31" s="359" t="s">
        <v>448</v>
      </c>
      <c r="C31" s="358"/>
      <c r="D31" s="358"/>
      <c r="E31" s="358"/>
      <c r="F31" s="358"/>
      <c r="G31" s="358"/>
      <c r="H31" s="358"/>
      <c r="I31" s="358"/>
      <c r="J31" s="350"/>
      <c r="K31" s="351"/>
      <c r="L31" s="350"/>
      <c r="M31" s="348"/>
      <c r="N31" s="359" t="s">
        <v>447</v>
      </c>
      <c r="O31" s="357"/>
      <c r="S31" s="355"/>
      <c r="T31" s="356"/>
    </row>
  </sheetData>
  <mergeCells count="11">
    <mergeCell ref="I7:M7"/>
    <mergeCell ref="N7:N8"/>
    <mergeCell ref="I12:M12"/>
    <mergeCell ref="I14:M14"/>
    <mergeCell ref="I15:M15"/>
    <mergeCell ref="H7:H8"/>
    <mergeCell ref="B7:B8"/>
    <mergeCell ref="C7:C8"/>
    <mergeCell ref="D7:E8"/>
    <mergeCell ref="F7:F8"/>
    <mergeCell ref="G7:G8"/>
  </mergeCells>
  <printOptions horizontalCentered="1"/>
  <pageMargins left="0.70866141699999996" right="0.90551181102362199" top="0.94488188976377996" bottom="0.55118110236220497" header="0.31496062992126" footer="0.31496062992126"/>
  <pageSetup paperSize="9" scale="50" orientation="landscape" horizontalDpi="4294967293" verticalDpi="4294967293" r:id="rId1"/>
  <headerFooter>
    <oddHeader>&amp;L                         &amp;G
&amp;R
UCM/FR/HCM/20 Rev 00
July 30, 2021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997"/>
  <sheetViews>
    <sheetView tabSelected="1" view="pageLayout" zoomScale="60" zoomScaleNormal="82" zoomScalePageLayoutView="60" workbookViewId="0">
      <selection activeCell="J6" sqref="J6"/>
    </sheetView>
  </sheetViews>
  <sheetFormatPr defaultColWidth="11.125" defaultRowHeight="15" customHeight="1"/>
  <cols>
    <col min="1" max="1" width="4.125" style="25" customWidth="1"/>
    <col min="2" max="2" width="4.625" style="25" customWidth="1"/>
    <col min="3" max="3" width="19" style="25" customWidth="1"/>
    <col min="4" max="4" width="6.625" style="25" customWidth="1"/>
    <col min="5" max="5" width="24.875" style="25" customWidth="1"/>
    <col min="6" max="6" width="14.625" style="25" customWidth="1"/>
    <col min="7" max="7" width="45" style="25" bestFit="1" customWidth="1"/>
    <col min="8" max="8" width="16.375" style="101" customWidth="1"/>
    <col min="9" max="13" width="24.375" style="25" customWidth="1"/>
    <col min="14" max="14" width="20.125" style="25" customWidth="1"/>
    <col min="15" max="23" width="8.875" style="25" customWidth="1"/>
    <col min="24" max="16384" width="11.125" style="25"/>
  </cols>
  <sheetData>
    <row r="1" spans="1:23" ht="18" customHeight="1">
      <c r="A1" s="78"/>
      <c r="B1" s="78"/>
      <c r="C1" s="79"/>
      <c r="D1" s="80"/>
      <c r="E1" s="80"/>
      <c r="F1" s="81"/>
      <c r="G1" s="78"/>
      <c r="H1" s="82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</row>
    <row r="2" spans="1:23" ht="18" customHeight="1">
      <c r="A2" s="78"/>
      <c r="B2" s="78"/>
      <c r="C2" s="79"/>
      <c r="D2" s="80"/>
      <c r="E2" s="80"/>
      <c r="F2" s="81"/>
      <c r="G2" s="78"/>
      <c r="H2" s="82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</row>
    <row r="3" spans="1:23" ht="18" customHeight="1">
      <c r="A3" s="78"/>
      <c r="B3" s="78"/>
      <c r="C3" s="79"/>
      <c r="D3" s="80"/>
      <c r="E3" s="80"/>
      <c r="F3" s="81"/>
      <c r="G3" s="78"/>
      <c r="H3" s="82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</row>
    <row r="4" spans="1:23" ht="30.75" customHeight="1">
      <c r="A4" s="78"/>
      <c r="B4" s="83" t="s">
        <v>0</v>
      </c>
      <c r="C4" s="79"/>
      <c r="D4" s="80"/>
      <c r="E4" s="80"/>
      <c r="F4" s="81"/>
      <c r="G4" s="78"/>
      <c r="H4" s="82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</row>
    <row r="5" spans="1:23" ht="18" customHeight="1">
      <c r="A5" s="78"/>
      <c r="B5" s="84"/>
      <c r="C5" s="79"/>
      <c r="D5" s="80"/>
      <c r="E5" s="80"/>
      <c r="F5" s="81"/>
      <c r="G5" s="78"/>
      <c r="H5" s="82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</row>
    <row r="6" spans="1:23" ht="18" customHeight="1">
      <c r="A6" s="78"/>
      <c r="B6" s="84" t="s">
        <v>1</v>
      </c>
      <c r="C6" s="79"/>
      <c r="D6" s="102" t="s">
        <v>172</v>
      </c>
      <c r="E6" s="80"/>
      <c r="F6" s="81"/>
      <c r="G6" s="86"/>
      <c r="H6" s="87" t="s">
        <v>2</v>
      </c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</row>
    <row r="7" spans="1:23" ht="18" customHeight="1">
      <c r="A7" s="78"/>
      <c r="B7" s="84" t="s">
        <v>3</v>
      </c>
      <c r="C7" s="79"/>
      <c r="D7" s="87" t="s">
        <v>278</v>
      </c>
      <c r="E7" s="80"/>
      <c r="F7" s="81"/>
      <c r="G7" s="78"/>
      <c r="H7" s="82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</row>
    <row r="8" spans="1:23" ht="18" customHeight="1">
      <c r="A8" s="78"/>
      <c r="B8" s="84" t="s">
        <v>6</v>
      </c>
      <c r="C8" s="79"/>
      <c r="D8" s="86" t="s">
        <v>7</v>
      </c>
      <c r="E8" s="80"/>
      <c r="F8" s="81"/>
      <c r="G8" s="78"/>
      <c r="H8" s="82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</row>
    <row r="9" spans="1:23" ht="18" customHeight="1">
      <c r="A9" s="78"/>
      <c r="B9" s="78"/>
      <c r="C9" s="79"/>
      <c r="D9" s="80"/>
      <c r="E9" s="80"/>
      <c r="F9" s="81"/>
      <c r="G9" s="78"/>
      <c r="H9" s="82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</row>
    <row r="10" spans="1:23" ht="18" customHeight="1">
      <c r="A10" s="78"/>
      <c r="B10" s="428" t="s">
        <v>8</v>
      </c>
      <c r="C10" s="439" t="s">
        <v>9</v>
      </c>
      <c r="D10" s="440" t="s">
        <v>10</v>
      </c>
      <c r="E10" s="440"/>
      <c r="F10" s="439" t="s">
        <v>11</v>
      </c>
      <c r="G10" s="440" t="s">
        <v>12</v>
      </c>
      <c r="H10" s="428" t="s">
        <v>13</v>
      </c>
      <c r="I10" s="428" t="s">
        <v>14</v>
      </c>
      <c r="J10" s="438"/>
      <c r="K10" s="438"/>
      <c r="L10" s="438"/>
      <c r="M10" s="438"/>
      <c r="N10" s="428" t="s">
        <v>253</v>
      </c>
      <c r="O10" s="78"/>
      <c r="P10" s="78"/>
      <c r="Q10" s="78"/>
      <c r="R10" s="78"/>
      <c r="S10" s="78"/>
      <c r="T10" s="78"/>
      <c r="U10" s="78"/>
      <c r="V10" s="78"/>
      <c r="W10" s="78"/>
    </row>
    <row r="11" spans="1:23" ht="18" customHeight="1">
      <c r="A11" s="78"/>
      <c r="B11" s="438"/>
      <c r="C11" s="438"/>
      <c r="D11" s="440"/>
      <c r="E11" s="440"/>
      <c r="F11" s="438"/>
      <c r="G11" s="440"/>
      <c r="H11" s="437"/>
      <c r="I11" s="122">
        <v>1</v>
      </c>
      <c r="J11" s="123">
        <v>2</v>
      </c>
      <c r="K11" s="123">
        <v>3</v>
      </c>
      <c r="L11" s="123">
        <v>4</v>
      </c>
      <c r="M11" s="123">
        <v>5</v>
      </c>
      <c r="N11" s="428"/>
      <c r="O11" s="78"/>
      <c r="P11" s="78"/>
      <c r="Q11" s="78"/>
      <c r="R11" s="78"/>
      <c r="S11" s="78"/>
      <c r="T11" s="78"/>
      <c r="U11" s="78"/>
      <c r="V11" s="78"/>
      <c r="W11" s="78"/>
    </row>
    <row r="12" spans="1:23" ht="60.75" customHeight="1">
      <c r="A12" s="78"/>
      <c r="B12" s="124" t="s">
        <v>15</v>
      </c>
      <c r="C12" s="125" t="s">
        <v>16</v>
      </c>
      <c r="D12" s="124">
        <v>1</v>
      </c>
      <c r="E12" s="89" t="s">
        <v>154</v>
      </c>
      <c r="F12" s="88">
        <v>0.1</v>
      </c>
      <c r="G12" s="89" t="s">
        <v>153</v>
      </c>
      <c r="H12" s="126" t="s">
        <v>256</v>
      </c>
      <c r="I12" s="126" t="s">
        <v>18</v>
      </c>
      <c r="J12" s="126" t="s">
        <v>254</v>
      </c>
      <c r="K12" s="126" t="s">
        <v>257</v>
      </c>
      <c r="L12" s="126" t="s">
        <v>256</v>
      </c>
      <c r="M12" s="126" t="s">
        <v>255</v>
      </c>
      <c r="N12" s="112" t="s">
        <v>271</v>
      </c>
      <c r="O12" s="78"/>
      <c r="P12" s="78"/>
      <c r="Q12" s="78"/>
      <c r="R12" s="78"/>
      <c r="S12" s="78"/>
      <c r="T12" s="78"/>
      <c r="U12" s="78"/>
      <c r="V12" s="78"/>
      <c r="W12" s="78"/>
    </row>
    <row r="13" spans="1:23" ht="78.75">
      <c r="A13" s="78"/>
      <c r="B13" s="121" t="s">
        <v>20</v>
      </c>
      <c r="C13" s="125" t="s">
        <v>21</v>
      </c>
      <c r="D13" s="118">
        <v>2</v>
      </c>
      <c r="E13" s="110" t="s">
        <v>280</v>
      </c>
      <c r="F13" s="109">
        <v>0.1</v>
      </c>
      <c r="G13" s="110" t="s">
        <v>155</v>
      </c>
      <c r="H13" s="115" t="s">
        <v>279</v>
      </c>
      <c r="I13" s="434" t="s">
        <v>291</v>
      </c>
      <c r="J13" s="435"/>
      <c r="K13" s="435"/>
      <c r="L13" s="435"/>
      <c r="M13" s="436"/>
      <c r="N13" s="112" t="s">
        <v>293</v>
      </c>
      <c r="O13" s="78"/>
      <c r="P13" s="78"/>
      <c r="Q13" s="78"/>
      <c r="R13" s="78"/>
      <c r="S13" s="78"/>
      <c r="T13" s="78"/>
      <c r="U13" s="78"/>
      <c r="V13" s="78"/>
      <c r="W13" s="78"/>
    </row>
    <row r="14" spans="1:23" ht="69" customHeight="1">
      <c r="A14" s="78"/>
      <c r="B14" s="124"/>
      <c r="C14" s="125"/>
      <c r="D14" s="118">
        <v>3</v>
      </c>
      <c r="E14" s="110" t="s">
        <v>282</v>
      </c>
      <c r="F14" s="109">
        <v>0.05</v>
      </c>
      <c r="G14" s="110" t="s">
        <v>283</v>
      </c>
      <c r="H14" s="117" t="s">
        <v>287</v>
      </c>
      <c r="I14" s="126" t="s">
        <v>307</v>
      </c>
      <c r="J14" s="126" t="s">
        <v>306</v>
      </c>
      <c r="K14" s="126" t="s">
        <v>305</v>
      </c>
      <c r="L14" s="126" t="s">
        <v>299</v>
      </c>
      <c r="M14" s="126" t="s">
        <v>304</v>
      </c>
      <c r="N14" s="112" t="s">
        <v>293</v>
      </c>
      <c r="O14" s="78"/>
      <c r="P14" s="78"/>
      <c r="Q14" s="78"/>
      <c r="R14" s="78"/>
      <c r="S14" s="78"/>
      <c r="T14" s="78"/>
      <c r="U14" s="78"/>
      <c r="V14" s="78"/>
      <c r="W14" s="78"/>
    </row>
    <row r="15" spans="1:23" ht="69" customHeight="1">
      <c r="A15" s="78"/>
      <c r="B15" s="124"/>
      <c r="C15" s="125"/>
      <c r="D15" s="118">
        <v>4</v>
      </c>
      <c r="E15" s="110" t="s">
        <v>284</v>
      </c>
      <c r="F15" s="109">
        <v>0.05</v>
      </c>
      <c r="G15" s="110" t="s">
        <v>285</v>
      </c>
      <c r="H15" s="117" t="s">
        <v>286</v>
      </c>
      <c r="I15" s="434" t="s">
        <v>297</v>
      </c>
      <c r="J15" s="435"/>
      <c r="K15" s="435"/>
      <c r="L15" s="435"/>
      <c r="M15" s="436"/>
      <c r="N15" s="112" t="s">
        <v>294</v>
      </c>
      <c r="O15" s="78"/>
      <c r="P15" s="78"/>
      <c r="Q15" s="78"/>
      <c r="R15" s="78"/>
      <c r="S15" s="78"/>
      <c r="T15" s="78"/>
      <c r="U15" s="78"/>
      <c r="V15" s="78"/>
      <c r="W15" s="78"/>
    </row>
    <row r="16" spans="1:23" ht="69" customHeight="1">
      <c r="A16" s="78"/>
      <c r="B16" s="124"/>
      <c r="C16" s="125"/>
      <c r="D16" s="118">
        <v>5</v>
      </c>
      <c r="E16" s="119" t="s">
        <v>288</v>
      </c>
      <c r="F16" s="120">
        <v>0.3</v>
      </c>
      <c r="G16" s="110" t="s">
        <v>290</v>
      </c>
      <c r="H16" s="111">
        <v>0.9</v>
      </c>
      <c r="I16" s="434" t="s">
        <v>292</v>
      </c>
      <c r="J16" s="435"/>
      <c r="K16" s="435"/>
      <c r="L16" s="435"/>
      <c r="M16" s="436"/>
      <c r="N16" s="112" t="s">
        <v>295</v>
      </c>
      <c r="O16" s="78"/>
      <c r="P16" s="78"/>
      <c r="Q16" s="78"/>
      <c r="R16" s="78"/>
      <c r="S16" s="78"/>
      <c r="T16" s="78"/>
      <c r="U16" s="78"/>
      <c r="V16" s="78"/>
      <c r="W16" s="78"/>
    </row>
    <row r="17" spans="1:23" ht="67.5" customHeight="1">
      <c r="A17" s="78"/>
      <c r="B17" s="121" t="s">
        <v>28</v>
      </c>
      <c r="C17" s="125" t="s">
        <v>157</v>
      </c>
      <c r="D17" s="121">
        <v>6</v>
      </c>
      <c r="E17" s="90" t="s">
        <v>259</v>
      </c>
      <c r="F17" s="88">
        <v>0.02</v>
      </c>
      <c r="G17" s="90" t="s">
        <v>159</v>
      </c>
      <c r="H17" s="116">
        <v>0.9</v>
      </c>
      <c r="I17" s="429" t="s">
        <v>258</v>
      </c>
      <c r="J17" s="429"/>
      <c r="K17" s="429"/>
      <c r="L17" s="429"/>
      <c r="M17" s="429"/>
      <c r="N17" s="112" t="s">
        <v>273</v>
      </c>
      <c r="O17" s="78"/>
      <c r="P17" s="78"/>
      <c r="Q17" s="78"/>
      <c r="R17" s="78"/>
      <c r="S17" s="78"/>
      <c r="T17" s="78"/>
      <c r="U17" s="78"/>
      <c r="V17" s="78"/>
      <c r="W17" s="78"/>
    </row>
    <row r="18" spans="1:23" ht="67.5" customHeight="1">
      <c r="A18" s="78"/>
      <c r="B18" s="121"/>
      <c r="C18" s="125"/>
      <c r="D18" s="118">
        <v>7</v>
      </c>
      <c r="E18" s="110" t="s">
        <v>281</v>
      </c>
      <c r="F18" s="120">
        <v>0.08</v>
      </c>
      <c r="G18" s="110" t="s">
        <v>160</v>
      </c>
      <c r="H18" s="117">
        <v>0.95950000000000002</v>
      </c>
      <c r="I18" s="126" t="s">
        <v>298</v>
      </c>
      <c r="J18" s="126" t="s">
        <v>300</v>
      </c>
      <c r="K18" s="126" t="s">
        <v>301</v>
      </c>
      <c r="L18" s="126" t="s">
        <v>302</v>
      </c>
      <c r="M18" s="113" t="s">
        <v>303</v>
      </c>
      <c r="N18" s="112" t="s">
        <v>296</v>
      </c>
      <c r="O18" s="78"/>
      <c r="P18" s="78"/>
      <c r="Q18" s="78"/>
      <c r="R18" s="78"/>
      <c r="S18" s="78"/>
      <c r="T18" s="78"/>
      <c r="U18" s="78"/>
      <c r="V18" s="78"/>
      <c r="W18" s="78"/>
    </row>
    <row r="19" spans="1:23" ht="67.5" customHeight="1">
      <c r="A19" s="78"/>
      <c r="B19" s="124"/>
      <c r="C19" s="90"/>
      <c r="D19" s="118">
        <v>8</v>
      </c>
      <c r="E19" s="110" t="s">
        <v>289</v>
      </c>
      <c r="F19" s="120">
        <v>0.1</v>
      </c>
      <c r="G19" s="110" t="s">
        <v>290</v>
      </c>
      <c r="H19" s="117">
        <v>0.9</v>
      </c>
      <c r="I19" s="434" t="s">
        <v>292</v>
      </c>
      <c r="J19" s="435"/>
      <c r="K19" s="435"/>
      <c r="L19" s="435"/>
      <c r="M19" s="436"/>
      <c r="N19" s="112" t="s">
        <v>295</v>
      </c>
      <c r="O19" s="78"/>
      <c r="P19" s="78"/>
      <c r="Q19" s="78"/>
      <c r="R19" s="78"/>
      <c r="S19" s="78"/>
      <c r="T19" s="78"/>
      <c r="U19" s="78"/>
      <c r="V19" s="78"/>
      <c r="W19" s="78"/>
    </row>
    <row r="20" spans="1:23" ht="67.5" customHeight="1">
      <c r="A20" s="78"/>
      <c r="B20" s="121" t="s">
        <v>34</v>
      </c>
      <c r="C20" s="125" t="s">
        <v>35</v>
      </c>
      <c r="D20" s="124">
        <v>9</v>
      </c>
      <c r="E20" s="90" t="s">
        <v>161</v>
      </c>
      <c r="F20" s="91">
        <v>0.03</v>
      </c>
      <c r="G20" s="90" t="s">
        <v>162</v>
      </c>
      <c r="H20" s="113">
        <v>0.4</v>
      </c>
      <c r="I20" s="429" t="s">
        <v>261</v>
      </c>
      <c r="J20" s="429"/>
      <c r="K20" s="429"/>
      <c r="L20" s="429"/>
      <c r="M20" s="429"/>
      <c r="N20" s="112" t="s">
        <v>274</v>
      </c>
      <c r="O20" s="78"/>
      <c r="P20" s="78"/>
      <c r="Q20" s="78"/>
      <c r="R20" s="78"/>
      <c r="S20" s="78"/>
      <c r="T20" s="78"/>
      <c r="U20" s="78"/>
      <c r="V20" s="78"/>
      <c r="W20" s="78"/>
    </row>
    <row r="21" spans="1:23" ht="81" customHeight="1">
      <c r="A21" s="78"/>
      <c r="B21" s="124"/>
      <c r="C21" s="90"/>
      <c r="D21" s="124">
        <v>10</v>
      </c>
      <c r="E21" s="90" t="s">
        <v>163</v>
      </c>
      <c r="F21" s="88">
        <v>0.05</v>
      </c>
      <c r="G21" s="90" t="s">
        <v>164</v>
      </c>
      <c r="H21" s="113">
        <v>0.85</v>
      </c>
      <c r="I21" s="429" t="s">
        <v>262</v>
      </c>
      <c r="J21" s="430"/>
      <c r="K21" s="430"/>
      <c r="L21" s="430"/>
      <c r="M21" s="430"/>
      <c r="N21" s="112" t="s">
        <v>275</v>
      </c>
      <c r="O21" s="78"/>
      <c r="P21" s="78"/>
      <c r="Q21" s="78"/>
      <c r="R21" s="78"/>
      <c r="S21" s="78"/>
      <c r="T21" s="78"/>
      <c r="U21" s="78"/>
      <c r="V21" s="78"/>
      <c r="W21" s="78"/>
    </row>
    <row r="22" spans="1:23" ht="60">
      <c r="A22" s="78"/>
      <c r="B22" s="124"/>
      <c r="C22" s="90"/>
      <c r="D22" s="124">
        <v>11</v>
      </c>
      <c r="E22" s="90" t="s">
        <v>165</v>
      </c>
      <c r="F22" s="88">
        <v>0.04</v>
      </c>
      <c r="G22" s="90" t="s">
        <v>166</v>
      </c>
      <c r="H22" s="113">
        <v>0.83</v>
      </c>
      <c r="I22" s="429" t="s">
        <v>24</v>
      </c>
      <c r="J22" s="429"/>
      <c r="K22" s="429"/>
      <c r="L22" s="429"/>
      <c r="M22" s="429"/>
      <c r="N22" s="112" t="s">
        <v>276</v>
      </c>
      <c r="O22" s="78"/>
      <c r="P22" s="78"/>
      <c r="Q22" s="78"/>
      <c r="R22" s="78"/>
      <c r="S22" s="78"/>
      <c r="T22" s="78"/>
      <c r="U22" s="78"/>
      <c r="V22" s="78"/>
      <c r="W22" s="78"/>
    </row>
    <row r="23" spans="1:23" ht="67.5" customHeight="1">
      <c r="A23" s="78"/>
      <c r="B23" s="114"/>
      <c r="C23" s="90"/>
      <c r="D23" s="124">
        <v>12</v>
      </c>
      <c r="E23" s="90" t="s">
        <v>167</v>
      </c>
      <c r="F23" s="92">
        <v>0.05</v>
      </c>
      <c r="G23" s="90" t="s">
        <v>168</v>
      </c>
      <c r="H23" s="113">
        <v>0.75</v>
      </c>
      <c r="I23" s="431" t="s">
        <v>272</v>
      </c>
      <c r="J23" s="432"/>
      <c r="K23" s="432"/>
      <c r="L23" s="432"/>
      <c r="M23" s="433"/>
      <c r="N23" s="108" t="s">
        <v>277</v>
      </c>
      <c r="O23" s="78"/>
      <c r="P23" s="78"/>
      <c r="Q23" s="78"/>
      <c r="R23" s="78"/>
      <c r="S23" s="78"/>
      <c r="T23" s="78"/>
      <c r="U23" s="78"/>
      <c r="V23" s="78"/>
      <c r="W23" s="78"/>
    </row>
    <row r="24" spans="1:23" ht="45">
      <c r="A24" s="78"/>
      <c r="B24" s="124"/>
      <c r="C24" s="90"/>
      <c r="D24" s="124">
        <v>13</v>
      </c>
      <c r="E24" s="89" t="s">
        <v>169</v>
      </c>
      <c r="F24" s="88">
        <v>0.01</v>
      </c>
      <c r="G24" s="90" t="s">
        <v>170</v>
      </c>
      <c r="H24" s="128" t="s">
        <v>158</v>
      </c>
      <c r="I24" s="427" t="s">
        <v>308</v>
      </c>
      <c r="J24" s="427"/>
      <c r="K24" s="427"/>
      <c r="L24" s="427"/>
      <c r="M24" s="427"/>
      <c r="N24" s="112" t="s">
        <v>268</v>
      </c>
      <c r="O24" s="78"/>
      <c r="P24" s="78"/>
      <c r="Q24" s="78"/>
      <c r="R24" s="78"/>
      <c r="S24" s="78"/>
      <c r="T24" s="78"/>
      <c r="U24" s="78"/>
      <c r="V24" s="78"/>
      <c r="W24" s="78"/>
    </row>
    <row r="25" spans="1:23" ht="66" customHeight="1">
      <c r="A25" s="78"/>
      <c r="B25" s="124"/>
      <c r="C25" s="90"/>
      <c r="D25" s="124">
        <v>14</v>
      </c>
      <c r="E25" s="89" t="s">
        <v>171</v>
      </c>
      <c r="F25" s="88">
        <v>0.02</v>
      </c>
      <c r="G25" s="90" t="s">
        <v>156</v>
      </c>
      <c r="H25" s="113">
        <v>0.75</v>
      </c>
      <c r="I25" s="126" t="s">
        <v>267</v>
      </c>
      <c r="J25" s="126" t="s">
        <v>266</v>
      </c>
      <c r="K25" s="126" t="s">
        <v>264</v>
      </c>
      <c r="L25" s="126" t="s">
        <v>265</v>
      </c>
      <c r="M25" s="126" t="s">
        <v>263</v>
      </c>
      <c r="N25" s="127"/>
      <c r="O25" s="78"/>
      <c r="P25" s="78"/>
      <c r="Q25" s="78"/>
      <c r="R25" s="78"/>
      <c r="S25" s="78"/>
      <c r="T25" s="78"/>
      <c r="U25" s="78"/>
      <c r="V25" s="78"/>
      <c r="W25" s="78"/>
    </row>
    <row r="26" spans="1:23" ht="18" customHeight="1">
      <c r="A26" s="78"/>
      <c r="B26" s="82"/>
      <c r="C26" s="78"/>
      <c r="D26" s="82"/>
      <c r="E26" s="93"/>
      <c r="F26" s="94">
        <f>SUM(F12:F25)</f>
        <v>1</v>
      </c>
      <c r="G26" s="78"/>
      <c r="H26" s="82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</row>
    <row r="27" spans="1:23" ht="18" customHeight="1">
      <c r="A27" s="78"/>
      <c r="B27" s="82"/>
      <c r="C27" s="78"/>
      <c r="D27" s="82"/>
      <c r="E27" s="93"/>
      <c r="F27" s="94"/>
      <c r="G27" s="78"/>
      <c r="H27" s="82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</row>
    <row r="28" spans="1:23" ht="18" customHeight="1">
      <c r="A28" s="78"/>
      <c r="B28" s="87" t="s">
        <v>44</v>
      </c>
      <c r="C28" s="86"/>
      <c r="D28" s="95"/>
      <c r="E28" s="96"/>
      <c r="F28" s="97"/>
      <c r="G28" s="86"/>
      <c r="H28" s="95"/>
      <c r="I28" s="86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</row>
    <row r="29" spans="1:23" ht="18" customHeight="1">
      <c r="A29" s="78"/>
      <c r="B29" s="98" t="s">
        <v>46</v>
      </c>
      <c r="C29" s="98"/>
      <c r="D29" s="78"/>
      <c r="E29" s="80"/>
      <c r="F29" s="81"/>
      <c r="G29" s="78"/>
      <c r="H29" s="82"/>
      <c r="I29" s="98" t="s">
        <v>47</v>
      </c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</row>
    <row r="30" spans="1:23" ht="18" customHeight="1">
      <c r="A30" s="78"/>
      <c r="B30" s="78"/>
      <c r="C30" s="79"/>
      <c r="D30" s="80"/>
      <c r="E30" s="80"/>
      <c r="F30" s="81"/>
      <c r="G30" s="78"/>
      <c r="H30" s="82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</row>
    <row r="31" spans="1:23" ht="18" customHeight="1">
      <c r="A31" s="78"/>
      <c r="B31" s="78"/>
      <c r="C31" s="79"/>
      <c r="D31" s="80"/>
      <c r="E31" s="80"/>
      <c r="F31" s="81"/>
      <c r="G31" s="78"/>
      <c r="H31" s="82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</row>
    <row r="32" spans="1:23" ht="18" customHeight="1">
      <c r="A32" s="78"/>
      <c r="B32" s="78"/>
      <c r="C32" s="79"/>
      <c r="D32" s="80"/>
      <c r="E32" s="80"/>
      <c r="F32" s="81"/>
      <c r="G32" s="78"/>
      <c r="H32" s="82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</row>
    <row r="33" spans="1:23" ht="18" customHeight="1">
      <c r="A33" s="78"/>
      <c r="B33" s="86" t="s">
        <v>48</v>
      </c>
      <c r="C33" s="85"/>
      <c r="D33" s="99"/>
      <c r="E33" s="99"/>
      <c r="F33" s="100"/>
      <c r="G33" s="86"/>
      <c r="H33" s="95"/>
      <c r="I33" s="86" t="s">
        <v>48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</row>
    <row r="34" spans="1:23" ht="18" customHeight="1">
      <c r="A34" s="78"/>
      <c r="B34" s="86" t="s">
        <v>269</v>
      </c>
      <c r="C34" s="85"/>
      <c r="D34" s="99"/>
      <c r="E34" s="99"/>
      <c r="F34" s="100"/>
      <c r="G34" s="86"/>
      <c r="H34" s="95"/>
      <c r="I34" s="86" t="s">
        <v>270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</row>
    <row r="35" spans="1:23" ht="18" customHeight="1">
      <c r="A35" s="78"/>
      <c r="B35" s="78"/>
      <c r="C35" s="79"/>
      <c r="D35" s="80"/>
      <c r="E35" s="80"/>
      <c r="F35" s="81"/>
      <c r="G35" s="78"/>
      <c r="H35" s="82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</row>
    <row r="36" spans="1:23" ht="18" customHeight="1">
      <c r="A36" s="78"/>
      <c r="B36" s="78"/>
      <c r="C36" s="79"/>
      <c r="D36" s="80"/>
      <c r="E36" s="80"/>
      <c r="F36" s="81"/>
      <c r="G36" s="78"/>
      <c r="H36" s="82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</row>
    <row r="37" spans="1:23" ht="18" customHeight="1">
      <c r="A37" s="78"/>
      <c r="B37" s="78"/>
      <c r="C37" s="79"/>
      <c r="D37" s="80"/>
      <c r="E37" s="80"/>
      <c r="F37" s="81"/>
      <c r="G37" s="78"/>
      <c r="H37" s="82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</row>
    <row r="38" spans="1:23" ht="18" customHeight="1">
      <c r="A38" s="78"/>
      <c r="B38" s="78"/>
      <c r="C38" s="79"/>
      <c r="D38" s="80"/>
      <c r="E38" s="80"/>
      <c r="F38" s="81"/>
      <c r="G38" s="78"/>
      <c r="H38" s="82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</row>
    <row r="39" spans="1:23" ht="18" customHeight="1">
      <c r="A39" s="78"/>
      <c r="B39" s="78"/>
      <c r="C39" s="79"/>
      <c r="D39" s="80"/>
      <c r="E39" s="80"/>
      <c r="F39" s="81"/>
      <c r="G39" s="78"/>
      <c r="H39" s="82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</row>
    <row r="40" spans="1:23" ht="18" customHeight="1">
      <c r="A40" s="78"/>
      <c r="B40" s="78"/>
      <c r="C40" s="79"/>
      <c r="D40" s="80"/>
      <c r="E40" s="80"/>
      <c r="F40" s="81"/>
      <c r="G40" s="78"/>
      <c r="H40" s="82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</row>
    <row r="41" spans="1:23" ht="18" customHeight="1">
      <c r="A41" s="78"/>
      <c r="B41" s="78"/>
      <c r="C41" s="79"/>
      <c r="D41" s="80"/>
      <c r="E41" s="80"/>
      <c r="F41" s="81"/>
      <c r="G41" s="78"/>
      <c r="H41" s="82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</row>
    <row r="42" spans="1:23" ht="18" customHeight="1">
      <c r="A42" s="78"/>
      <c r="B42" s="78"/>
      <c r="C42" s="79"/>
      <c r="D42" s="80"/>
      <c r="E42" s="80"/>
      <c r="F42" s="81"/>
      <c r="G42" s="78"/>
      <c r="H42" s="82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</row>
    <row r="43" spans="1:23" ht="18" customHeight="1">
      <c r="A43" s="78"/>
      <c r="B43" s="78"/>
      <c r="C43" s="79"/>
      <c r="D43" s="80"/>
      <c r="E43" s="80"/>
      <c r="F43" s="81"/>
      <c r="G43" s="78"/>
      <c r="H43" s="82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</row>
    <row r="44" spans="1:23" ht="18" customHeight="1">
      <c r="A44" s="78"/>
      <c r="B44" s="78"/>
      <c r="C44" s="79"/>
      <c r="D44" s="80"/>
      <c r="E44" s="80"/>
      <c r="F44" s="81"/>
      <c r="G44" s="78"/>
      <c r="H44" s="82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</row>
    <row r="45" spans="1:23" ht="18" customHeight="1">
      <c r="A45" s="78"/>
      <c r="B45" s="78"/>
      <c r="C45" s="79"/>
      <c r="D45" s="80"/>
      <c r="E45" s="80"/>
      <c r="F45" s="81"/>
      <c r="G45" s="78"/>
      <c r="H45" s="82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</row>
    <row r="46" spans="1:23" ht="18" customHeight="1">
      <c r="A46" s="78"/>
      <c r="B46" s="78"/>
      <c r="C46" s="79"/>
      <c r="D46" s="80"/>
      <c r="E46" s="80"/>
      <c r="F46" s="81"/>
      <c r="G46" s="78"/>
      <c r="H46" s="82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</row>
    <row r="47" spans="1:23" ht="18" customHeight="1">
      <c r="A47" s="78"/>
      <c r="B47" s="78"/>
      <c r="C47" s="79"/>
      <c r="D47" s="80"/>
      <c r="E47" s="80"/>
      <c r="F47" s="81"/>
      <c r="G47" s="78"/>
      <c r="H47" s="82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</row>
    <row r="48" spans="1:23" ht="18" customHeight="1">
      <c r="A48" s="78"/>
      <c r="B48" s="78"/>
      <c r="C48" s="79"/>
      <c r="D48" s="80"/>
      <c r="E48" s="80"/>
      <c r="F48" s="81"/>
      <c r="G48" s="78"/>
      <c r="H48" s="82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</row>
    <row r="49" spans="1:23" ht="18" customHeight="1">
      <c r="A49" s="78"/>
      <c r="B49" s="78"/>
      <c r="C49" s="79"/>
      <c r="D49" s="80"/>
      <c r="E49" s="80"/>
      <c r="F49" s="81"/>
      <c r="G49" s="78"/>
      <c r="H49" s="82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</row>
    <row r="50" spans="1:23" ht="18" customHeight="1">
      <c r="A50" s="78"/>
      <c r="B50" s="78"/>
      <c r="C50" s="79"/>
      <c r="D50" s="80"/>
      <c r="E50" s="80"/>
      <c r="F50" s="81"/>
      <c r="G50" s="78"/>
      <c r="H50" s="82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</row>
    <row r="51" spans="1:23" ht="18" customHeight="1">
      <c r="A51" s="78"/>
      <c r="B51" s="78"/>
      <c r="C51" s="79"/>
      <c r="D51" s="80"/>
      <c r="E51" s="80"/>
      <c r="F51" s="81"/>
      <c r="G51" s="78"/>
      <c r="H51" s="82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</row>
    <row r="52" spans="1:23" ht="18" customHeight="1">
      <c r="A52" s="78"/>
      <c r="B52" s="78"/>
      <c r="C52" s="79"/>
      <c r="D52" s="80"/>
      <c r="E52" s="80"/>
      <c r="F52" s="81"/>
      <c r="G52" s="78"/>
      <c r="H52" s="82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</row>
    <row r="53" spans="1:23" ht="18" customHeight="1">
      <c r="A53" s="78"/>
      <c r="B53" s="78"/>
      <c r="C53" s="79"/>
      <c r="D53" s="80"/>
      <c r="E53" s="80"/>
      <c r="F53" s="81"/>
      <c r="G53" s="78"/>
      <c r="H53" s="82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</row>
    <row r="54" spans="1:23" ht="18" customHeight="1">
      <c r="A54" s="78"/>
      <c r="B54" s="78"/>
      <c r="C54" s="79"/>
      <c r="D54" s="80"/>
      <c r="E54" s="80"/>
      <c r="F54" s="81"/>
      <c r="G54" s="78"/>
      <c r="H54" s="82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</row>
    <row r="55" spans="1:23" ht="18" customHeight="1">
      <c r="A55" s="78"/>
      <c r="B55" s="78"/>
      <c r="C55" s="79"/>
      <c r="D55" s="80"/>
      <c r="E55" s="80"/>
      <c r="F55" s="81"/>
      <c r="G55" s="78"/>
      <c r="H55" s="82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</row>
    <row r="56" spans="1:23" ht="18" customHeight="1">
      <c r="A56" s="78"/>
      <c r="B56" s="78"/>
      <c r="C56" s="79"/>
      <c r="D56" s="80"/>
      <c r="E56" s="80"/>
      <c r="F56" s="81"/>
      <c r="G56" s="78"/>
      <c r="H56" s="82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</row>
    <row r="57" spans="1:23" ht="18" customHeight="1">
      <c r="A57" s="78"/>
      <c r="B57" s="78"/>
      <c r="C57" s="79"/>
      <c r="D57" s="80"/>
      <c r="E57" s="80"/>
      <c r="F57" s="81"/>
      <c r="G57" s="78"/>
      <c r="H57" s="82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</row>
    <row r="58" spans="1:23" ht="18" customHeight="1">
      <c r="A58" s="78"/>
      <c r="B58" s="78"/>
      <c r="C58" s="79"/>
      <c r="D58" s="80"/>
      <c r="E58" s="80"/>
      <c r="F58" s="81"/>
      <c r="G58" s="78"/>
      <c r="H58" s="82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</row>
    <row r="59" spans="1:23" ht="18" customHeight="1">
      <c r="A59" s="78"/>
      <c r="B59" s="78"/>
      <c r="C59" s="79"/>
      <c r="D59" s="80"/>
      <c r="E59" s="80"/>
      <c r="F59" s="81"/>
      <c r="G59" s="78"/>
      <c r="H59" s="82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</row>
    <row r="60" spans="1:23" ht="18" customHeight="1">
      <c r="A60" s="78"/>
      <c r="B60" s="78"/>
      <c r="C60" s="79"/>
      <c r="D60" s="80"/>
      <c r="E60" s="80"/>
      <c r="F60" s="81"/>
      <c r="G60" s="78"/>
      <c r="H60" s="82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</row>
    <row r="61" spans="1:23" ht="18" customHeight="1">
      <c r="A61" s="78"/>
      <c r="B61" s="78"/>
      <c r="C61" s="79"/>
      <c r="D61" s="80"/>
      <c r="E61" s="80"/>
      <c r="F61" s="81"/>
      <c r="G61" s="78"/>
      <c r="H61" s="82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</row>
    <row r="62" spans="1:23" ht="18" customHeight="1">
      <c r="A62" s="78"/>
      <c r="B62" s="78"/>
      <c r="C62" s="79"/>
      <c r="D62" s="80"/>
      <c r="E62" s="80"/>
      <c r="F62" s="81"/>
      <c r="G62" s="78"/>
      <c r="H62" s="82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</row>
    <row r="63" spans="1:23" ht="18" customHeight="1">
      <c r="A63" s="78"/>
      <c r="B63" s="78"/>
      <c r="C63" s="79"/>
      <c r="D63" s="80"/>
      <c r="E63" s="80"/>
      <c r="F63" s="81"/>
      <c r="G63" s="78"/>
      <c r="H63" s="82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</row>
    <row r="64" spans="1:23" ht="18" customHeight="1">
      <c r="A64" s="78"/>
      <c r="B64" s="78"/>
      <c r="C64" s="79"/>
      <c r="D64" s="80"/>
      <c r="E64" s="80"/>
      <c r="F64" s="81"/>
      <c r="G64" s="78"/>
      <c r="H64" s="82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</row>
    <row r="65" spans="1:23" ht="18" customHeight="1">
      <c r="A65" s="78"/>
      <c r="B65" s="78"/>
      <c r="C65" s="79"/>
      <c r="D65" s="80"/>
      <c r="E65" s="80"/>
      <c r="F65" s="81"/>
      <c r="G65" s="78"/>
      <c r="H65" s="82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</row>
    <row r="66" spans="1:23" ht="18" customHeight="1">
      <c r="A66" s="78"/>
      <c r="B66" s="78"/>
      <c r="C66" s="79"/>
      <c r="D66" s="80"/>
      <c r="E66" s="80"/>
      <c r="F66" s="81"/>
      <c r="G66" s="78"/>
      <c r="H66" s="82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</row>
    <row r="67" spans="1:23" ht="18" customHeight="1">
      <c r="A67" s="78"/>
      <c r="B67" s="78"/>
      <c r="C67" s="79"/>
      <c r="D67" s="80"/>
      <c r="E67" s="80"/>
      <c r="F67" s="81"/>
      <c r="G67" s="78"/>
      <c r="H67" s="82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</row>
    <row r="68" spans="1:23" ht="18" customHeight="1">
      <c r="A68" s="78"/>
      <c r="B68" s="78"/>
      <c r="C68" s="79"/>
      <c r="D68" s="80"/>
      <c r="E68" s="80"/>
      <c r="F68" s="81"/>
      <c r="G68" s="78"/>
      <c r="H68" s="82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</row>
    <row r="69" spans="1:23" ht="18" customHeight="1">
      <c r="A69" s="78"/>
      <c r="B69" s="78"/>
      <c r="C69" s="79"/>
      <c r="D69" s="80"/>
      <c r="E69" s="80"/>
      <c r="F69" s="81"/>
      <c r="G69" s="78"/>
      <c r="H69" s="82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</row>
    <row r="70" spans="1:23" ht="18" customHeight="1">
      <c r="A70" s="78"/>
      <c r="B70" s="78"/>
      <c r="C70" s="79"/>
      <c r="D70" s="80"/>
      <c r="E70" s="80"/>
      <c r="F70" s="81"/>
      <c r="G70" s="78"/>
      <c r="H70" s="82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</row>
    <row r="71" spans="1:23" ht="18" customHeight="1">
      <c r="A71" s="78"/>
      <c r="B71" s="78"/>
      <c r="C71" s="79"/>
      <c r="D71" s="80"/>
      <c r="E71" s="80"/>
      <c r="F71" s="81"/>
      <c r="G71" s="78"/>
      <c r="H71" s="82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</row>
    <row r="72" spans="1:23" ht="18" customHeight="1">
      <c r="A72" s="78"/>
      <c r="B72" s="78"/>
      <c r="C72" s="79"/>
      <c r="D72" s="80"/>
      <c r="E72" s="80"/>
      <c r="F72" s="81"/>
      <c r="G72" s="78"/>
      <c r="H72" s="82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</row>
    <row r="73" spans="1:23" ht="18" customHeight="1">
      <c r="A73" s="78"/>
      <c r="B73" s="78"/>
      <c r="C73" s="79"/>
      <c r="D73" s="80"/>
      <c r="E73" s="80"/>
      <c r="F73" s="81"/>
      <c r="G73" s="78"/>
      <c r="H73" s="82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</row>
    <row r="74" spans="1:23" ht="18" customHeight="1">
      <c r="A74" s="78"/>
      <c r="B74" s="78"/>
      <c r="C74" s="79"/>
      <c r="D74" s="80"/>
      <c r="E74" s="80"/>
      <c r="F74" s="81"/>
      <c r="G74" s="78"/>
      <c r="H74" s="82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</row>
    <row r="75" spans="1:23" ht="18" customHeight="1">
      <c r="A75" s="78"/>
      <c r="B75" s="78"/>
      <c r="C75" s="79"/>
      <c r="D75" s="80"/>
      <c r="E75" s="80"/>
      <c r="F75" s="81"/>
      <c r="G75" s="78"/>
      <c r="H75" s="82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</row>
    <row r="76" spans="1:23" ht="18" customHeight="1">
      <c r="A76" s="78"/>
      <c r="B76" s="78"/>
      <c r="C76" s="79"/>
      <c r="D76" s="80"/>
      <c r="E76" s="80"/>
      <c r="F76" s="81"/>
      <c r="G76" s="78"/>
      <c r="H76" s="82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</row>
    <row r="77" spans="1:23" ht="18" customHeight="1">
      <c r="A77" s="78"/>
      <c r="B77" s="78"/>
      <c r="C77" s="79"/>
      <c r="D77" s="80"/>
      <c r="E77" s="80"/>
      <c r="F77" s="81"/>
      <c r="G77" s="78"/>
      <c r="H77" s="82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</row>
    <row r="78" spans="1:23" ht="18" customHeight="1">
      <c r="A78" s="78"/>
      <c r="B78" s="78"/>
      <c r="C78" s="79"/>
      <c r="D78" s="80"/>
      <c r="E78" s="80"/>
      <c r="F78" s="81"/>
      <c r="G78" s="78"/>
      <c r="H78" s="82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</row>
    <row r="79" spans="1:23" ht="18" customHeight="1">
      <c r="A79" s="78"/>
      <c r="B79" s="78"/>
      <c r="C79" s="79"/>
      <c r="D79" s="80"/>
      <c r="E79" s="80"/>
      <c r="F79" s="81"/>
      <c r="G79" s="78"/>
      <c r="H79" s="82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</row>
    <row r="80" spans="1:23" ht="18" customHeight="1">
      <c r="A80" s="78"/>
      <c r="B80" s="78"/>
      <c r="C80" s="79"/>
      <c r="D80" s="80"/>
      <c r="E80" s="80"/>
      <c r="F80" s="81"/>
      <c r="G80" s="78"/>
      <c r="H80" s="82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</row>
    <row r="81" spans="1:23" ht="18" customHeight="1">
      <c r="A81" s="78"/>
      <c r="B81" s="78"/>
      <c r="C81" s="79"/>
      <c r="D81" s="80"/>
      <c r="E81" s="80"/>
      <c r="F81" s="81"/>
      <c r="G81" s="78"/>
      <c r="H81" s="82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</row>
    <row r="82" spans="1:23" ht="18" customHeight="1">
      <c r="A82" s="78"/>
      <c r="B82" s="78"/>
      <c r="C82" s="79"/>
      <c r="D82" s="80"/>
      <c r="E82" s="80"/>
      <c r="F82" s="81"/>
      <c r="G82" s="78"/>
      <c r="H82" s="82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</row>
    <row r="83" spans="1:23" ht="18" customHeight="1">
      <c r="A83" s="78"/>
      <c r="B83" s="78"/>
      <c r="C83" s="79"/>
      <c r="D83" s="80"/>
      <c r="E83" s="80"/>
      <c r="F83" s="81"/>
      <c r="G83" s="78"/>
      <c r="H83" s="82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</row>
    <row r="84" spans="1:23" ht="18" customHeight="1">
      <c r="A84" s="78"/>
      <c r="B84" s="78"/>
      <c r="C84" s="79"/>
      <c r="D84" s="80"/>
      <c r="E84" s="80"/>
      <c r="F84" s="81"/>
      <c r="G84" s="78"/>
      <c r="H84" s="82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</row>
    <row r="85" spans="1:23" ht="18" customHeight="1">
      <c r="A85" s="78"/>
      <c r="B85" s="78"/>
      <c r="C85" s="79"/>
      <c r="D85" s="80"/>
      <c r="E85" s="80"/>
      <c r="F85" s="81"/>
      <c r="G85" s="78"/>
      <c r="H85" s="82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</row>
    <row r="86" spans="1:23" ht="18" customHeight="1">
      <c r="A86" s="78"/>
      <c r="B86" s="78"/>
      <c r="C86" s="79"/>
      <c r="D86" s="80"/>
      <c r="E86" s="80"/>
      <c r="F86" s="81"/>
      <c r="G86" s="78"/>
      <c r="H86" s="82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</row>
    <row r="87" spans="1:23" ht="18" customHeight="1">
      <c r="A87" s="78"/>
      <c r="B87" s="78"/>
      <c r="C87" s="79"/>
      <c r="D87" s="80"/>
      <c r="E87" s="80"/>
      <c r="F87" s="81"/>
      <c r="G87" s="78"/>
      <c r="H87" s="82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</row>
    <row r="88" spans="1:23" ht="18" customHeight="1">
      <c r="A88" s="78"/>
      <c r="B88" s="78"/>
      <c r="C88" s="79"/>
      <c r="D88" s="80"/>
      <c r="E88" s="80"/>
      <c r="F88" s="81"/>
      <c r="G88" s="78"/>
      <c r="H88" s="82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</row>
    <row r="89" spans="1:23" ht="18" customHeight="1">
      <c r="A89" s="78"/>
      <c r="B89" s="78"/>
      <c r="C89" s="79"/>
      <c r="D89" s="80"/>
      <c r="E89" s="80"/>
      <c r="F89" s="81"/>
      <c r="G89" s="78"/>
      <c r="H89" s="82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</row>
    <row r="90" spans="1:23" ht="18" customHeight="1">
      <c r="A90" s="78"/>
      <c r="B90" s="78"/>
      <c r="C90" s="79"/>
      <c r="D90" s="80"/>
      <c r="E90" s="80"/>
      <c r="F90" s="81"/>
      <c r="G90" s="78"/>
      <c r="H90" s="82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</row>
    <row r="91" spans="1:23" ht="18" customHeight="1">
      <c r="A91" s="78"/>
      <c r="B91" s="78"/>
      <c r="C91" s="79"/>
      <c r="D91" s="80"/>
      <c r="E91" s="80"/>
      <c r="F91" s="81"/>
      <c r="G91" s="78"/>
      <c r="H91" s="82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</row>
    <row r="92" spans="1:23" ht="18" customHeight="1">
      <c r="A92" s="78"/>
      <c r="B92" s="78"/>
      <c r="C92" s="79"/>
      <c r="D92" s="80"/>
      <c r="E92" s="80"/>
      <c r="F92" s="81"/>
      <c r="G92" s="78"/>
      <c r="H92" s="82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</row>
    <row r="93" spans="1:23" ht="18" customHeight="1">
      <c r="A93" s="78"/>
      <c r="B93" s="78"/>
      <c r="C93" s="79"/>
      <c r="D93" s="80"/>
      <c r="E93" s="80"/>
      <c r="F93" s="81"/>
      <c r="G93" s="78"/>
      <c r="H93" s="82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</row>
    <row r="94" spans="1:23" ht="18" customHeight="1">
      <c r="A94" s="78"/>
      <c r="B94" s="78"/>
      <c r="C94" s="79"/>
      <c r="D94" s="80"/>
      <c r="E94" s="80"/>
      <c r="F94" s="81"/>
      <c r="G94" s="78"/>
      <c r="H94" s="82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</row>
    <row r="95" spans="1:23" ht="18" customHeight="1">
      <c r="A95" s="78"/>
      <c r="B95" s="78"/>
      <c r="C95" s="79"/>
      <c r="D95" s="80"/>
      <c r="E95" s="80"/>
      <c r="F95" s="81"/>
      <c r="G95" s="78"/>
      <c r="H95" s="82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</row>
    <row r="96" spans="1:23" ht="18" customHeight="1">
      <c r="A96" s="78"/>
      <c r="B96" s="78"/>
      <c r="C96" s="79"/>
      <c r="D96" s="80"/>
      <c r="E96" s="80"/>
      <c r="F96" s="81"/>
      <c r="G96" s="78"/>
      <c r="H96" s="82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</row>
    <row r="97" spans="1:23" ht="18" customHeight="1">
      <c r="A97" s="78"/>
      <c r="B97" s="78"/>
      <c r="C97" s="79"/>
      <c r="D97" s="80"/>
      <c r="E97" s="80"/>
      <c r="F97" s="81"/>
      <c r="G97" s="78"/>
      <c r="H97" s="82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</row>
    <row r="98" spans="1:23" ht="18" customHeight="1">
      <c r="A98" s="78"/>
      <c r="B98" s="78"/>
      <c r="C98" s="79"/>
      <c r="D98" s="80"/>
      <c r="E98" s="80"/>
      <c r="F98" s="81"/>
      <c r="G98" s="78"/>
      <c r="H98" s="82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</row>
    <row r="99" spans="1:23" ht="18" customHeight="1">
      <c r="A99" s="78"/>
      <c r="B99" s="78"/>
      <c r="C99" s="79"/>
      <c r="D99" s="80"/>
      <c r="E99" s="80"/>
      <c r="F99" s="81"/>
      <c r="G99" s="78"/>
      <c r="H99" s="82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</row>
    <row r="100" spans="1:23" ht="18" customHeight="1">
      <c r="A100" s="78"/>
      <c r="B100" s="78"/>
      <c r="C100" s="79"/>
      <c r="D100" s="80"/>
      <c r="E100" s="80"/>
      <c r="F100" s="81"/>
      <c r="G100" s="78"/>
      <c r="H100" s="82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</row>
    <row r="101" spans="1:23" ht="18" customHeight="1">
      <c r="A101" s="78"/>
      <c r="B101" s="78"/>
      <c r="C101" s="79"/>
      <c r="D101" s="80"/>
      <c r="E101" s="80"/>
      <c r="F101" s="81"/>
      <c r="G101" s="78"/>
      <c r="H101" s="82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</row>
    <row r="102" spans="1:23" ht="18" customHeight="1">
      <c r="A102" s="78"/>
      <c r="B102" s="78"/>
      <c r="C102" s="79"/>
      <c r="D102" s="80"/>
      <c r="E102" s="80"/>
      <c r="F102" s="81"/>
      <c r="G102" s="78"/>
      <c r="H102" s="82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</row>
    <row r="103" spans="1:23" ht="18" customHeight="1">
      <c r="A103" s="78"/>
      <c r="B103" s="78"/>
      <c r="C103" s="79"/>
      <c r="D103" s="80"/>
      <c r="E103" s="80"/>
      <c r="F103" s="81"/>
      <c r="G103" s="78"/>
      <c r="H103" s="82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</row>
    <row r="104" spans="1:23" ht="18" customHeight="1">
      <c r="A104" s="78"/>
      <c r="B104" s="78"/>
      <c r="C104" s="79"/>
      <c r="D104" s="80"/>
      <c r="E104" s="80"/>
      <c r="F104" s="81"/>
      <c r="G104" s="78"/>
      <c r="H104" s="82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</row>
    <row r="105" spans="1:23" ht="18" customHeight="1">
      <c r="A105" s="78"/>
      <c r="B105" s="78"/>
      <c r="C105" s="79"/>
      <c r="D105" s="80"/>
      <c r="E105" s="80"/>
      <c r="F105" s="81"/>
      <c r="G105" s="78"/>
      <c r="H105" s="82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</row>
    <row r="106" spans="1:23" ht="18" customHeight="1">
      <c r="A106" s="78"/>
      <c r="B106" s="78"/>
      <c r="C106" s="79"/>
      <c r="D106" s="80"/>
      <c r="E106" s="80"/>
      <c r="F106" s="81"/>
      <c r="G106" s="78"/>
      <c r="H106" s="82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</row>
    <row r="107" spans="1:23" ht="18" customHeight="1">
      <c r="A107" s="78"/>
      <c r="B107" s="78"/>
      <c r="C107" s="79"/>
      <c r="D107" s="80"/>
      <c r="E107" s="80"/>
      <c r="F107" s="81"/>
      <c r="G107" s="78"/>
      <c r="H107" s="82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</row>
    <row r="108" spans="1:23" ht="18" customHeight="1">
      <c r="A108" s="78"/>
      <c r="B108" s="78"/>
      <c r="C108" s="79"/>
      <c r="D108" s="80"/>
      <c r="E108" s="80"/>
      <c r="F108" s="81"/>
      <c r="G108" s="78"/>
      <c r="H108" s="82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</row>
    <row r="109" spans="1:23" ht="18" customHeight="1">
      <c r="A109" s="78"/>
      <c r="B109" s="78"/>
      <c r="C109" s="79"/>
      <c r="D109" s="80"/>
      <c r="E109" s="80"/>
      <c r="F109" s="81"/>
      <c r="G109" s="78"/>
      <c r="H109" s="82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</row>
    <row r="110" spans="1:23" ht="18" customHeight="1">
      <c r="A110" s="78"/>
      <c r="B110" s="78"/>
      <c r="C110" s="79"/>
      <c r="D110" s="80"/>
      <c r="E110" s="80"/>
      <c r="F110" s="81"/>
      <c r="G110" s="78"/>
      <c r="H110" s="82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</row>
    <row r="111" spans="1:23" ht="18" customHeight="1">
      <c r="A111" s="78"/>
      <c r="B111" s="78"/>
      <c r="C111" s="79"/>
      <c r="D111" s="80"/>
      <c r="E111" s="80"/>
      <c r="F111" s="81"/>
      <c r="G111" s="78"/>
      <c r="H111" s="82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</row>
    <row r="112" spans="1:23" ht="18" customHeight="1">
      <c r="A112" s="78"/>
      <c r="B112" s="78"/>
      <c r="C112" s="79"/>
      <c r="D112" s="80"/>
      <c r="E112" s="80"/>
      <c r="F112" s="81"/>
      <c r="G112" s="78"/>
      <c r="H112" s="82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</row>
    <row r="113" spans="1:23" ht="18" customHeight="1">
      <c r="A113" s="78"/>
      <c r="B113" s="78"/>
      <c r="C113" s="79"/>
      <c r="D113" s="80"/>
      <c r="E113" s="80"/>
      <c r="F113" s="81"/>
      <c r="G113" s="78"/>
      <c r="H113" s="82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</row>
    <row r="114" spans="1:23" ht="18" customHeight="1">
      <c r="A114" s="78"/>
      <c r="B114" s="78"/>
      <c r="C114" s="79"/>
      <c r="D114" s="80"/>
      <c r="E114" s="80"/>
      <c r="F114" s="81"/>
      <c r="G114" s="78"/>
      <c r="H114" s="82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</row>
    <row r="115" spans="1:23" ht="18" customHeight="1">
      <c r="A115" s="78"/>
      <c r="B115" s="78"/>
      <c r="C115" s="79"/>
      <c r="D115" s="80"/>
      <c r="E115" s="80"/>
      <c r="F115" s="81"/>
      <c r="G115" s="78"/>
      <c r="H115" s="82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</row>
    <row r="116" spans="1:23" ht="18" customHeight="1">
      <c r="A116" s="78"/>
      <c r="B116" s="78"/>
      <c r="C116" s="79"/>
      <c r="D116" s="80"/>
      <c r="E116" s="80"/>
      <c r="F116" s="81"/>
      <c r="G116" s="78"/>
      <c r="H116" s="82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</row>
    <row r="117" spans="1:23" ht="18" customHeight="1">
      <c r="A117" s="78"/>
      <c r="B117" s="78"/>
      <c r="C117" s="79"/>
      <c r="D117" s="80"/>
      <c r="E117" s="80"/>
      <c r="F117" s="81"/>
      <c r="G117" s="78"/>
      <c r="H117" s="82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</row>
    <row r="118" spans="1:23" ht="18" customHeight="1">
      <c r="A118" s="78"/>
      <c r="B118" s="78"/>
      <c r="C118" s="79"/>
      <c r="D118" s="80"/>
      <c r="E118" s="80"/>
      <c r="F118" s="81"/>
      <c r="G118" s="78"/>
      <c r="H118" s="82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</row>
    <row r="119" spans="1:23" ht="18" customHeight="1">
      <c r="A119" s="78"/>
      <c r="B119" s="78"/>
      <c r="C119" s="79"/>
      <c r="D119" s="80"/>
      <c r="E119" s="80"/>
      <c r="F119" s="81"/>
      <c r="G119" s="78"/>
      <c r="H119" s="82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</row>
    <row r="120" spans="1:23" ht="18" customHeight="1">
      <c r="A120" s="78"/>
      <c r="B120" s="78"/>
      <c r="C120" s="79"/>
      <c r="D120" s="80"/>
      <c r="E120" s="80"/>
      <c r="F120" s="81"/>
      <c r="G120" s="78"/>
      <c r="H120" s="82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</row>
    <row r="121" spans="1:23" ht="18" customHeight="1">
      <c r="A121" s="78"/>
      <c r="B121" s="78"/>
      <c r="C121" s="79"/>
      <c r="D121" s="80"/>
      <c r="E121" s="80"/>
      <c r="F121" s="81"/>
      <c r="G121" s="78"/>
      <c r="H121" s="82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</row>
    <row r="122" spans="1:23" ht="18" customHeight="1">
      <c r="A122" s="78"/>
      <c r="B122" s="78"/>
      <c r="C122" s="79"/>
      <c r="D122" s="80"/>
      <c r="E122" s="80"/>
      <c r="F122" s="81"/>
      <c r="G122" s="78"/>
      <c r="H122" s="82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</row>
    <row r="123" spans="1:23" ht="18" customHeight="1">
      <c r="A123" s="78"/>
      <c r="B123" s="78"/>
      <c r="C123" s="79"/>
      <c r="D123" s="80"/>
      <c r="E123" s="80"/>
      <c r="F123" s="81"/>
      <c r="G123" s="78"/>
      <c r="H123" s="82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</row>
    <row r="124" spans="1:23" ht="18" customHeight="1">
      <c r="A124" s="78"/>
      <c r="B124" s="78"/>
      <c r="C124" s="79"/>
      <c r="D124" s="80"/>
      <c r="E124" s="80"/>
      <c r="F124" s="81"/>
      <c r="G124" s="78"/>
      <c r="H124" s="82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</row>
    <row r="125" spans="1:23" ht="18" customHeight="1">
      <c r="A125" s="78"/>
      <c r="B125" s="78"/>
      <c r="C125" s="79"/>
      <c r="D125" s="80"/>
      <c r="E125" s="80"/>
      <c r="F125" s="81"/>
      <c r="G125" s="78"/>
      <c r="H125" s="82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</row>
    <row r="126" spans="1:23" ht="18" customHeight="1">
      <c r="A126" s="78"/>
      <c r="B126" s="78"/>
      <c r="C126" s="79"/>
      <c r="D126" s="80"/>
      <c r="E126" s="80"/>
      <c r="F126" s="81"/>
      <c r="G126" s="78"/>
      <c r="H126" s="82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</row>
    <row r="127" spans="1:23" ht="18" customHeight="1">
      <c r="A127" s="78"/>
      <c r="B127" s="78"/>
      <c r="C127" s="79"/>
      <c r="D127" s="80"/>
      <c r="E127" s="80"/>
      <c r="F127" s="81"/>
      <c r="G127" s="78"/>
      <c r="H127" s="82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</row>
    <row r="128" spans="1:23" ht="18" customHeight="1">
      <c r="A128" s="78"/>
      <c r="B128" s="78"/>
      <c r="C128" s="79"/>
      <c r="D128" s="80"/>
      <c r="E128" s="80"/>
      <c r="F128" s="81"/>
      <c r="G128" s="78"/>
      <c r="H128" s="82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</row>
    <row r="129" spans="1:23" ht="18" customHeight="1">
      <c r="A129" s="78"/>
      <c r="B129" s="78"/>
      <c r="C129" s="79"/>
      <c r="D129" s="80"/>
      <c r="E129" s="80"/>
      <c r="F129" s="81"/>
      <c r="G129" s="78"/>
      <c r="H129" s="82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</row>
    <row r="130" spans="1:23" ht="18" customHeight="1">
      <c r="A130" s="78"/>
      <c r="B130" s="78"/>
      <c r="C130" s="79"/>
      <c r="D130" s="80"/>
      <c r="E130" s="80"/>
      <c r="F130" s="81"/>
      <c r="G130" s="78"/>
      <c r="H130" s="82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</row>
    <row r="131" spans="1:23" ht="18" customHeight="1">
      <c r="A131" s="78"/>
      <c r="B131" s="78"/>
      <c r="C131" s="79"/>
      <c r="D131" s="80"/>
      <c r="E131" s="80"/>
      <c r="F131" s="81"/>
      <c r="G131" s="78"/>
      <c r="H131" s="82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</row>
    <row r="132" spans="1:23" ht="18" customHeight="1">
      <c r="A132" s="78"/>
      <c r="B132" s="78"/>
      <c r="C132" s="79"/>
      <c r="D132" s="80"/>
      <c r="E132" s="80"/>
      <c r="F132" s="81"/>
      <c r="G132" s="78"/>
      <c r="H132" s="82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</row>
    <row r="133" spans="1:23" ht="18" customHeight="1">
      <c r="A133" s="78"/>
      <c r="B133" s="78"/>
      <c r="C133" s="79"/>
      <c r="D133" s="80"/>
      <c r="E133" s="80"/>
      <c r="F133" s="81"/>
      <c r="G133" s="78"/>
      <c r="H133" s="82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</row>
    <row r="134" spans="1:23" ht="18" customHeight="1">
      <c r="A134" s="78"/>
      <c r="B134" s="78"/>
      <c r="C134" s="79"/>
      <c r="D134" s="80"/>
      <c r="E134" s="80"/>
      <c r="F134" s="81"/>
      <c r="G134" s="78"/>
      <c r="H134" s="82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</row>
    <row r="135" spans="1:23" ht="18" customHeight="1">
      <c r="A135" s="78"/>
      <c r="B135" s="78"/>
      <c r="C135" s="79"/>
      <c r="D135" s="80"/>
      <c r="E135" s="80"/>
      <c r="F135" s="81"/>
      <c r="G135" s="78"/>
      <c r="H135" s="82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</row>
    <row r="136" spans="1:23" ht="18" customHeight="1">
      <c r="A136" s="78"/>
      <c r="B136" s="78"/>
      <c r="C136" s="79"/>
      <c r="D136" s="80"/>
      <c r="E136" s="80"/>
      <c r="F136" s="81"/>
      <c r="G136" s="78"/>
      <c r="H136" s="82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</row>
    <row r="137" spans="1:23" ht="18" customHeight="1">
      <c r="A137" s="78"/>
      <c r="B137" s="78"/>
      <c r="C137" s="79"/>
      <c r="D137" s="80"/>
      <c r="E137" s="80"/>
      <c r="F137" s="81"/>
      <c r="G137" s="78"/>
      <c r="H137" s="82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</row>
    <row r="138" spans="1:23" ht="18" customHeight="1">
      <c r="A138" s="78"/>
      <c r="B138" s="78"/>
      <c r="C138" s="79"/>
      <c r="D138" s="80"/>
      <c r="E138" s="80"/>
      <c r="F138" s="81"/>
      <c r="G138" s="78"/>
      <c r="H138" s="82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</row>
    <row r="139" spans="1:23" ht="18" customHeight="1">
      <c r="A139" s="78"/>
      <c r="B139" s="78"/>
      <c r="C139" s="79"/>
      <c r="D139" s="80"/>
      <c r="E139" s="80"/>
      <c r="F139" s="81"/>
      <c r="G139" s="78"/>
      <c r="H139" s="82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</row>
    <row r="140" spans="1:23" ht="18" customHeight="1">
      <c r="A140" s="78"/>
      <c r="B140" s="78"/>
      <c r="C140" s="79"/>
      <c r="D140" s="80"/>
      <c r="E140" s="80"/>
      <c r="F140" s="81"/>
      <c r="G140" s="78"/>
      <c r="H140" s="82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</row>
    <row r="141" spans="1:23" ht="18" customHeight="1">
      <c r="A141" s="78"/>
      <c r="B141" s="78"/>
      <c r="C141" s="79"/>
      <c r="D141" s="80"/>
      <c r="E141" s="80"/>
      <c r="F141" s="81"/>
      <c r="G141" s="78"/>
      <c r="H141" s="82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</row>
    <row r="142" spans="1:23" ht="18" customHeight="1">
      <c r="A142" s="78"/>
      <c r="B142" s="78"/>
      <c r="C142" s="79"/>
      <c r="D142" s="80"/>
      <c r="E142" s="80"/>
      <c r="F142" s="81"/>
      <c r="G142" s="78"/>
      <c r="H142" s="82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</row>
    <row r="143" spans="1:23" ht="18" customHeight="1">
      <c r="A143" s="78"/>
      <c r="B143" s="78"/>
      <c r="C143" s="79"/>
      <c r="D143" s="80"/>
      <c r="E143" s="80"/>
      <c r="F143" s="81"/>
      <c r="G143" s="78"/>
      <c r="H143" s="82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</row>
    <row r="144" spans="1:23" ht="18" customHeight="1">
      <c r="A144" s="78"/>
      <c r="B144" s="78"/>
      <c r="C144" s="79"/>
      <c r="D144" s="80"/>
      <c r="E144" s="80"/>
      <c r="F144" s="81"/>
      <c r="G144" s="78"/>
      <c r="H144" s="82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</row>
    <row r="145" spans="1:23" ht="18" customHeight="1">
      <c r="A145" s="78"/>
      <c r="B145" s="78"/>
      <c r="C145" s="79"/>
      <c r="D145" s="80"/>
      <c r="E145" s="80"/>
      <c r="F145" s="81"/>
      <c r="G145" s="78"/>
      <c r="H145" s="82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</row>
    <row r="146" spans="1:23" ht="18" customHeight="1">
      <c r="A146" s="78"/>
      <c r="B146" s="78"/>
      <c r="C146" s="79"/>
      <c r="D146" s="80"/>
      <c r="E146" s="80"/>
      <c r="F146" s="81"/>
      <c r="G146" s="78"/>
      <c r="H146" s="82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</row>
    <row r="147" spans="1:23" ht="18" customHeight="1">
      <c r="A147" s="78"/>
      <c r="B147" s="78"/>
      <c r="C147" s="79"/>
      <c r="D147" s="80"/>
      <c r="E147" s="80"/>
      <c r="F147" s="81"/>
      <c r="G147" s="78"/>
      <c r="H147" s="82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</row>
    <row r="148" spans="1:23" ht="18" customHeight="1">
      <c r="A148" s="78"/>
      <c r="B148" s="78"/>
      <c r="C148" s="79"/>
      <c r="D148" s="80"/>
      <c r="E148" s="80"/>
      <c r="F148" s="81"/>
      <c r="G148" s="78"/>
      <c r="H148" s="82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</row>
    <row r="149" spans="1:23" ht="18" customHeight="1">
      <c r="A149" s="78"/>
      <c r="B149" s="78"/>
      <c r="C149" s="79"/>
      <c r="D149" s="80"/>
      <c r="E149" s="80"/>
      <c r="F149" s="81"/>
      <c r="G149" s="78"/>
      <c r="H149" s="82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</row>
    <row r="150" spans="1:23" ht="18" customHeight="1">
      <c r="A150" s="78"/>
      <c r="B150" s="78"/>
      <c r="C150" s="79"/>
      <c r="D150" s="80"/>
      <c r="E150" s="80"/>
      <c r="F150" s="81"/>
      <c r="G150" s="78"/>
      <c r="H150" s="82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</row>
    <row r="151" spans="1:23" ht="18" customHeight="1">
      <c r="A151" s="78"/>
      <c r="B151" s="78"/>
      <c r="C151" s="79"/>
      <c r="D151" s="80"/>
      <c r="E151" s="80"/>
      <c r="F151" s="81"/>
      <c r="G151" s="78"/>
      <c r="H151" s="82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</row>
    <row r="152" spans="1:23" ht="18" customHeight="1">
      <c r="A152" s="78"/>
      <c r="B152" s="78"/>
      <c r="C152" s="79"/>
      <c r="D152" s="80"/>
      <c r="E152" s="80"/>
      <c r="F152" s="81"/>
      <c r="G152" s="78"/>
      <c r="H152" s="82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</row>
    <row r="153" spans="1:23" ht="18" customHeight="1">
      <c r="A153" s="78"/>
      <c r="B153" s="78"/>
      <c r="C153" s="79"/>
      <c r="D153" s="80"/>
      <c r="E153" s="80"/>
      <c r="F153" s="81"/>
      <c r="G153" s="78"/>
      <c r="H153" s="82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</row>
    <row r="154" spans="1:23" ht="18" customHeight="1">
      <c r="A154" s="78"/>
      <c r="B154" s="78"/>
      <c r="C154" s="79"/>
      <c r="D154" s="80"/>
      <c r="E154" s="80"/>
      <c r="F154" s="81"/>
      <c r="G154" s="78"/>
      <c r="H154" s="82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</row>
    <row r="155" spans="1:23" ht="18" customHeight="1">
      <c r="A155" s="78"/>
      <c r="B155" s="78"/>
      <c r="C155" s="79"/>
      <c r="D155" s="80"/>
      <c r="E155" s="80"/>
      <c r="F155" s="81"/>
      <c r="G155" s="78"/>
      <c r="H155" s="82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</row>
    <row r="156" spans="1:23" ht="18" customHeight="1">
      <c r="A156" s="78"/>
      <c r="B156" s="78"/>
      <c r="C156" s="79"/>
      <c r="D156" s="80"/>
      <c r="E156" s="80"/>
      <c r="F156" s="81"/>
      <c r="G156" s="78"/>
      <c r="H156" s="82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</row>
    <row r="157" spans="1:23" ht="18" customHeight="1">
      <c r="A157" s="78"/>
      <c r="B157" s="78"/>
      <c r="C157" s="79"/>
      <c r="D157" s="80"/>
      <c r="E157" s="80"/>
      <c r="F157" s="81"/>
      <c r="G157" s="78"/>
      <c r="H157" s="82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</row>
    <row r="158" spans="1:23" ht="18" customHeight="1">
      <c r="A158" s="78"/>
      <c r="B158" s="78"/>
      <c r="C158" s="79"/>
      <c r="D158" s="80"/>
      <c r="E158" s="80"/>
      <c r="F158" s="81"/>
      <c r="G158" s="78"/>
      <c r="H158" s="82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</row>
    <row r="159" spans="1:23" ht="18" customHeight="1">
      <c r="A159" s="78"/>
      <c r="B159" s="78"/>
      <c r="C159" s="79"/>
      <c r="D159" s="80"/>
      <c r="E159" s="80"/>
      <c r="F159" s="81"/>
      <c r="G159" s="78"/>
      <c r="H159" s="82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</row>
    <row r="160" spans="1:23" ht="18" customHeight="1">
      <c r="A160" s="78"/>
      <c r="B160" s="78"/>
      <c r="C160" s="79"/>
      <c r="D160" s="80"/>
      <c r="E160" s="80"/>
      <c r="F160" s="81"/>
      <c r="G160" s="78"/>
      <c r="H160" s="82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</row>
    <row r="161" spans="1:23" ht="18" customHeight="1">
      <c r="A161" s="78"/>
      <c r="B161" s="78"/>
      <c r="C161" s="79"/>
      <c r="D161" s="80"/>
      <c r="E161" s="80"/>
      <c r="F161" s="81"/>
      <c r="G161" s="78"/>
      <c r="H161" s="82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</row>
    <row r="162" spans="1:23" ht="18" customHeight="1">
      <c r="A162" s="78"/>
      <c r="B162" s="78"/>
      <c r="C162" s="79"/>
      <c r="D162" s="80"/>
      <c r="E162" s="80"/>
      <c r="F162" s="81"/>
      <c r="G162" s="78"/>
      <c r="H162" s="82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</row>
    <row r="163" spans="1:23" ht="18" customHeight="1">
      <c r="A163" s="78"/>
      <c r="B163" s="78"/>
      <c r="C163" s="79"/>
      <c r="D163" s="80"/>
      <c r="E163" s="80"/>
      <c r="F163" s="81"/>
      <c r="G163" s="78"/>
      <c r="H163" s="82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</row>
    <row r="164" spans="1:23" ht="18" customHeight="1">
      <c r="A164" s="78"/>
      <c r="B164" s="78"/>
      <c r="C164" s="79"/>
      <c r="D164" s="80"/>
      <c r="E164" s="80"/>
      <c r="F164" s="81"/>
      <c r="G164" s="78"/>
      <c r="H164" s="82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</row>
    <row r="165" spans="1:23" ht="18" customHeight="1">
      <c r="A165" s="78"/>
      <c r="B165" s="78"/>
      <c r="C165" s="79"/>
      <c r="D165" s="80"/>
      <c r="E165" s="80"/>
      <c r="F165" s="81"/>
      <c r="G165" s="78"/>
      <c r="H165" s="82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</row>
    <row r="166" spans="1:23" ht="18" customHeight="1">
      <c r="A166" s="78"/>
      <c r="B166" s="78"/>
      <c r="C166" s="79"/>
      <c r="D166" s="80"/>
      <c r="E166" s="80"/>
      <c r="F166" s="81"/>
      <c r="G166" s="78"/>
      <c r="H166" s="82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</row>
    <row r="167" spans="1:23" ht="18" customHeight="1">
      <c r="A167" s="78"/>
      <c r="B167" s="78"/>
      <c r="C167" s="79"/>
      <c r="D167" s="80"/>
      <c r="E167" s="80"/>
      <c r="F167" s="81"/>
      <c r="G167" s="78"/>
      <c r="H167" s="82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</row>
    <row r="168" spans="1:23" ht="18" customHeight="1">
      <c r="A168" s="78"/>
      <c r="B168" s="78"/>
      <c r="C168" s="79"/>
      <c r="D168" s="80"/>
      <c r="E168" s="80"/>
      <c r="F168" s="81"/>
      <c r="G168" s="78"/>
      <c r="H168" s="82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</row>
    <row r="169" spans="1:23" ht="18" customHeight="1">
      <c r="A169" s="78"/>
      <c r="B169" s="78"/>
      <c r="C169" s="79"/>
      <c r="D169" s="80"/>
      <c r="E169" s="80"/>
      <c r="F169" s="81"/>
      <c r="G169" s="78"/>
      <c r="H169" s="82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</row>
    <row r="170" spans="1:23" ht="18" customHeight="1">
      <c r="A170" s="78"/>
      <c r="B170" s="78"/>
      <c r="C170" s="79"/>
      <c r="D170" s="80"/>
      <c r="E170" s="80"/>
      <c r="F170" s="81"/>
      <c r="G170" s="78"/>
      <c r="H170" s="82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</row>
    <row r="171" spans="1:23" ht="18" customHeight="1">
      <c r="A171" s="78"/>
      <c r="B171" s="78"/>
      <c r="C171" s="79"/>
      <c r="D171" s="80"/>
      <c r="E171" s="80"/>
      <c r="F171" s="81"/>
      <c r="G171" s="78"/>
      <c r="H171" s="82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</row>
    <row r="172" spans="1:23" ht="18" customHeight="1">
      <c r="A172" s="78"/>
      <c r="B172" s="78"/>
      <c r="C172" s="79"/>
      <c r="D172" s="80"/>
      <c r="E172" s="80"/>
      <c r="F172" s="81"/>
      <c r="G172" s="78"/>
      <c r="H172" s="82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</row>
    <row r="173" spans="1:23" ht="18" customHeight="1">
      <c r="A173" s="78"/>
      <c r="B173" s="78"/>
      <c r="C173" s="79"/>
      <c r="D173" s="80"/>
      <c r="E173" s="80"/>
      <c r="F173" s="81"/>
      <c r="G173" s="78"/>
      <c r="H173" s="82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</row>
    <row r="174" spans="1:23" ht="18" customHeight="1">
      <c r="A174" s="78"/>
      <c r="B174" s="78"/>
      <c r="C174" s="79"/>
      <c r="D174" s="80"/>
      <c r="E174" s="80"/>
      <c r="F174" s="81"/>
      <c r="G174" s="78"/>
      <c r="H174" s="82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</row>
    <row r="175" spans="1:23" ht="18" customHeight="1">
      <c r="A175" s="78"/>
      <c r="B175" s="78"/>
      <c r="C175" s="79"/>
      <c r="D175" s="80"/>
      <c r="E175" s="80"/>
      <c r="F175" s="81"/>
      <c r="G175" s="78"/>
      <c r="H175" s="82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</row>
    <row r="176" spans="1:23" ht="18" customHeight="1">
      <c r="A176" s="78"/>
      <c r="B176" s="78"/>
      <c r="C176" s="79"/>
      <c r="D176" s="80"/>
      <c r="E176" s="80"/>
      <c r="F176" s="81"/>
      <c r="G176" s="78"/>
      <c r="H176" s="82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</row>
    <row r="177" spans="1:23" ht="18" customHeight="1">
      <c r="A177" s="78"/>
      <c r="B177" s="78"/>
      <c r="C177" s="79"/>
      <c r="D177" s="80"/>
      <c r="E177" s="80"/>
      <c r="F177" s="81"/>
      <c r="G177" s="78"/>
      <c r="H177" s="82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</row>
    <row r="178" spans="1:23" ht="18" customHeight="1">
      <c r="A178" s="78"/>
      <c r="B178" s="78"/>
      <c r="C178" s="79"/>
      <c r="D178" s="80"/>
      <c r="E178" s="80"/>
      <c r="F178" s="81"/>
      <c r="G178" s="78"/>
      <c r="H178" s="82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</row>
    <row r="179" spans="1:23" ht="18" customHeight="1">
      <c r="A179" s="78"/>
      <c r="B179" s="78"/>
      <c r="C179" s="79"/>
      <c r="D179" s="80"/>
      <c r="E179" s="80"/>
      <c r="F179" s="81"/>
      <c r="G179" s="78"/>
      <c r="H179" s="82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</row>
    <row r="180" spans="1:23" ht="18" customHeight="1">
      <c r="A180" s="78"/>
      <c r="B180" s="78"/>
      <c r="C180" s="79"/>
      <c r="D180" s="80"/>
      <c r="E180" s="80"/>
      <c r="F180" s="81"/>
      <c r="G180" s="78"/>
      <c r="H180" s="82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</row>
    <row r="181" spans="1:23" ht="18" customHeight="1">
      <c r="A181" s="78"/>
      <c r="B181" s="78"/>
      <c r="C181" s="79"/>
      <c r="D181" s="80"/>
      <c r="E181" s="80"/>
      <c r="F181" s="81"/>
      <c r="G181" s="78"/>
      <c r="H181" s="82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</row>
    <row r="182" spans="1:23" ht="18" customHeight="1">
      <c r="A182" s="78"/>
      <c r="B182" s="78"/>
      <c r="C182" s="79"/>
      <c r="D182" s="80"/>
      <c r="E182" s="80"/>
      <c r="F182" s="81"/>
      <c r="G182" s="78"/>
      <c r="H182" s="82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</row>
    <row r="183" spans="1:23" ht="18" customHeight="1">
      <c r="A183" s="78"/>
      <c r="B183" s="78"/>
      <c r="C183" s="79"/>
      <c r="D183" s="80"/>
      <c r="E183" s="80"/>
      <c r="F183" s="81"/>
      <c r="G183" s="78"/>
      <c r="H183" s="82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</row>
    <row r="184" spans="1:23" ht="18" customHeight="1">
      <c r="A184" s="78"/>
      <c r="B184" s="78"/>
      <c r="C184" s="79"/>
      <c r="D184" s="80"/>
      <c r="E184" s="80"/>
      <c r="F184" s="81"/>
      <c r="G184" s="78"/>
      <c r="H184" s="82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</row>
    <row r="185" spans="1:23" ht="18" customHeight="1">
      <c r="A185" s="78"/>
      <c r="B185" s="78"/>
      <c r="C185" s="79"/>
      <c r="D185" s="80"/>
      <c r="E185" s="80"/>
      <c r="F185" s="81"/>
      <c r="G185" s="78"/>
      <c r="H185" s="82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</row>
    <row r="186" spans="1:23" ht="18" customHeight="1">
      <c r="A186" s="78"/>
      <c r="B186" s="78"/>
      <c r="C186" s="79"/>
      <c r="D186" s="80"/>
      <c r="E186" s="80"/>
      <c r="F186" s="81"/>
      <c r="G186" s="78"/>
      <c r="H186" s="82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</row>
    <row r="187" spans="1:23" ht="18" customHeight="1">
      <c r="A187" s="78"/>
      <c r="B187" s="78"/>
      <c r="C187" s="79"/>
      <c r="D187" s="80"/>
      <c r="E187" s="80"/>
      <c r="F187" s="81"/>
      <c r="G187" s="78"/>
      <c r="H187" s="82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</row>
    <row r="188" spans="1:23" ht="18" customHeight="1">
      <c r="A188" s="78"/>
      <c r="B188" s="78"/>
      <c r="C188" s="79"/>
      <c r="D188" s="80"/>
      <c r="E188" s="80"/>
      <c r="F188" s="81"/>
      <c r="G188" s="78"/>
      <c r="H188" s="82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</row>
    <row r="189" spans="1:23" ht="18" customHeight="1">
      <c r="A189" s="78"/>
      <c r="B189" s="78"/>
      <c r="C189" s="79"/>
      <c r="D189" s="80"/>
      <c r="E189" s="80"/>
      <c r="F189" s="81"/>
      <c r="G189" s="78"/>
      <c r="H189" s="82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</row>
    <row r="190" spans="1:23" ht="18" customHeight="1">
      <c r="A190" s="78"/>
      <c r="B190" s="78"/>
      <c r="C190" s="79"/>
      <c r="D190" s="80"/>
      <c r="E190" s="80"/>
      <c r="F190" s="81"/>
      <c r="G190" s="78"/>
      <c r="H190" s="82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</row>
    <row r="191" spans="1:23" ht="18" customHeight="1">
      <c r="A191" s="78"/>
      <c r="B191" s="78"/>
      <c r="C191" s="79"/>
      <c r="D191" s="80"/>
      <c r="E191" s="80"/>
      <c r="F191" s="81"/>
      <c r="G191" s="78"/>
      <c r="H191" s="82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</row>
    <row r="192" spans="1:23" ht="18" customHeight="1">
      <c r="A192" s="78"/>
      <c r="B192" s="78"/>
      <c r="C192" s="79"/>
      <c r="D192" s="80"/>
      <c r="E192" s="80"/>
      <c r="F192" s="81"/>
      <c r="G192" s="78"/>
      <c r="H192" s="82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</row>
    <row r="193" spans="1:23" ht="18" customHeight="1">
      <c r="A193" s="78"/>
      <c r="B193" s="78"/>
      <c r="C193" s="79"/>
      <c r="D193" s="80"/>
      <c r="E193" s="80"/>
      <c r="F193" s="81"/>
      <c r="G193" s="78"/>
      <c r="H193" s="82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</row>
    <row r="194" spans="1:23" ht="18" customHeight="1">
      <c r="A194" s="78"/>
      <c r="B194" s="78"/>
      <c r="C194" s="79"/>
      <c r="D194" s="80"/>
      <c r="E194" s="80"/>
      <c r="F194" s="81"/>
      <c r="G194" s="78"/>
      <c r="H194" s="82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</row>
    <row r="195" spans="1:23" ht="18" customHeight="1">
      <c r="A195" s="78"/>
      <c r="B195" s="78"/>
      <c r="C195" s="79"/>
      <c r="D195" s="80"/>
      <c r="E195" s="80"/>
      <c r="F195" s="81"/>
      <c r="G195" s="78"/>
      <c r="H195" s="82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</row>
    <row r="196" spans="1:23" ht="18" customHeight="1">
      <c r="A196" s="78"/>
      <c r="B196" s="78"/>
      <c r="C196" s="79"/>
      <c r="D196" s="80"/>
      <c r="E196" s="80"/>
      <c r="F196" s="81"/>
      <c r="G196" s="78"/>
      <c r="H196" s="82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</row>
    <row r="197" spans="1:23" ht="18" customHeight="1">
      <c r="A197" s="78"/>
      <c r="B197" s="78"/>
      <c r="C197" s="79"/>
      <c r="D197" s="80"/>
      <c r="E197" s="80"/>
      <c r="F197" s="81"/>
      <c r="G197" s="78"/>
      <c r="H197" s="82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</row>
    <row r="198" spans="1:23" ht="18" customHeight="1">
      <c r="A198" s="78"/>
      <c r="B198" s="78"/>
      <c r="C198" s="79"/>
      <c r="D198" s="80"/>
      <c r="E198" s="80"/>
      <c r="F198" s="81"/>
      <c r="G198" s="78"/>
      <c r="H198" s="82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</row>
    <row r="199" spans="1:23" ht="18" customHeight="1">
      <c r="A199" s="78"/>
      <c r="B199" s="78"/>
      <c r="C199" s="79"/>
      <c r="D199" s="80"/>
      <c r="E199" s="80"/>
      <c r="F199" s="81"/>
      <c r="G199" s="78"/>
      <c r="H199" s="82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</row>
    <row r="200" spans="1:23" ht="18" customHeight="1">
      <c r="A200" s="78"/>
      <c r="B200" s="78"/>
      <c r="C200" s="79"/>
      <c r="D200" s="80"/>
      <c r="E200" s="80"/>
      <c r="F200" s="81"/>
      <c r="G200" s="78"/>
      <c r="H200" s="82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</row>
    <row r="201" spans="1:23" ht="18" customHeight="1">
      <c r="A201" s="78"/>
      <c r="B201" s="78"/>
      <c r="C201" s="79"/>
      <c r="D201" s="80"/>
      <c r="E201" s="80"/>
      <c r="F201" s="81"/>
      <c r="G201" s="78"/>
      <c r="H201" s="82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</row>
    <row r="202" spans="1:23" ht="18" customHeight="1">
      <c r="A202" s="78"/>
      <c r="B202" s="78"/>
      <c r="C202" s="79"/>
      <c r="D202" s="80"/>
      <c r="E202" s="80"/>
      <c r="F202" s="81"/>
      <c r="G202" s="78"/>
      <c r="H202" s="82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</row>
    <row r="203" spans="1:23" ht="18" customHeight="1">
      <c r="A203" s="78"/>
      <c r="B203" s="78"/>
      <c r="C203" s="79"/>
      <c r="D203" s="80"/>
      <c r="E203" s="80"/>
      <c r="F203" s="81"/>
      <c r="G203" s="78"/>
      <c r="H203" s="82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</row>
    <row r="204" spans="1:23" ht="18" customHeight="1">
      <c r="A204" s="78"/>
      <c r="B204" s="78"/>
      <c r="C204" s="79"/>
      <c r="D204" s="80"/>
      <c r="E204" s="80"/>
      <c r="F204" s="81"/>
      <c r="G204" s="78"/>
      <c r="H204" s="82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</row>
    <row r="205" spans="1:23" ht="18" customHeight="1">
      <c r="A205" s="78"/>
      <c r="B205" s="78"/>
      <c r="C205" s="79"/>
      <c r="D205" s="80"/>
      <c r="E205" s="80"/>
      <c r="F205" s="81"/>
      <c r="G205" s="78"/>
      <c r="H205" s="82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</row>
    <row r="206" spans="1:23" ht="18" customHeight="1">
      <c r="A206" s="78"/>
      <c r="B206" s="78"/>
      <c r="C206" s="79"/>
      <c r="D206" s="80"/>
      <c r="E206" s="80"/>
      <c r="F206" s="81"/>
      <c r="G206" s="78"/>
      <c r="H206" s="82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</row>
    <row r="207" spans="1:23" ht="18" customHeight="1">
      <c r="A207" s="78"/>
      <c r="B207" s="78"/>
      <c r="C207" s="79"/>
      <c r="D207" s="80"/>
      <c r="E207" s="80"/>
      <c r="F207" s="81"/>
      <c r="G207" s="78"/>
      <c r="H207" s="82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</row>
    <row r="208" spans="1:23" ht="18" customHeight="1">
      <c r="A208" s="78"/>
      <c r="B208" s="78"/>
      <c r="C208" s="79"/>
      <c r="D208" s="80"/>
      <c r="E208" s="80"/>
      <c r="F208" s="81"/>
      <c r="G208" s="78"/>
      <c r="H208" s="82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</row>
    <row r="209" spans="1:23" ht="18" customHeight="1">
      <c r="A209" s="78"/>
      <c r="B209" s="78"/>
      <c r="C209" s="79"/>
      <c r="D209" s="80"/>
      <c r="E209" s="80"/>
      <c r="F209" s="81"/>
      <c r="G209" s="78"/>
      <c r="H209" s="82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</row>
    <row r="210" spans="1:23" ht="18" customHeight="1">
      <c r="A210" s="78"/>
      <c r="B210" s="78"/>
      <c r="C210" s="79"/>
      <c r="D210" s="80"/>
      <c r="E210" s="80"/>
      <c r="F210" s="81"/>
      <c r="G210" s="78"/>
      <c r="H210" s="82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</row>
    <row r="211" spans="1:23" ht="18" customHeight="1">
      <c r="A211" s="78"/>
      <c r="B211" s="78"/>
      <c r="C211" s="79"/>
      <c r="D211" s="80"/>
      <c r="E211" s="80"/>
      <c r="F211" s="81"/>
      <c r="G211" s="78"/>
      <c r="H211" s="82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</row>
    <row r="212" spans="1:23" ht="18" customHeight="1">
      <c r="A212" s="78"/>
      <c r="B212" s="78"/>
      <c r="C212" s="79"/>
      <c r="D212" s="80"/>
      <c r="E212" s="80"/>
      <c r="F212" s="81"/>
      <c r="G212" s="78"/>
      <c r="H212" s="82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</row>
    <row r="213" spans="1:23" ht="18" customHeight="1">
      <c r="A213" s="78"/>
      <c r="B213" s="78"/>
      <c r="C213" s="79"/>
      <c r="D213" s="80"/>
      <c r="E213" s="80"/>
      <c r="F213" s="81"/>
      <c r="G213" s="78"/>
      <c r="H213" s="82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</row>
    <row r="214" spans="1:23" ht="18" customHeight="1">
      <c r="A214" s="78"/>
      <c r="B214" s="78"/>
      <c r="C214" s="79"/>
      <c r="D214" s="80"/>
      <c r="E214" s="80"/>
      <c r="F214" s="81"/>
      <c r="G214" s="78"/>
      <c r="H214" s="82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</row>
    <row r="215" spans="1:23" ht="18" customHeight="1">
      <c r="A215" s="78"/>
      <c r="B215" s="78"/>
      <c r="C215" s="79"/>
      <c r="D215" s="80"/>
      <c r="E215" s="80"/>
      <c r="F215" s="81"/>
      <c r="G215" s="78"/>
      <c r="H215" s="82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</row>
    <row r="216" spans="1:23" ht="18" customHeight="1">
      <c r="A216" s="78"/>
      <c r="B216" s="78"/>
      <c r="C216" s="79"/>
      <c r="D216" s="80"/>
      <c r="E216" s="80"/>
      <c r="F216" s="81"/>
      <c r="G216" s="78"/>
      <c r="H216" s="82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</row>
    <row r="217" spans="1:23" ht="18" customHeight="1">
      <c r="A217" s="78"/>
      <c r="B217" s="78"/>
      <c r="C217" s="79"/>
      <c r="D217" s="80"/>
      <c r="E217" s="80"/>
      <c r="F217" s="81"/>
      <c r="G217" s="78"/>
      <c r="H217" s="82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</row>
    <row r="218" spans="1:23" ht="18" customHeight="1">
      <c r="A218" s="78"/>
      <c r="B218" s="78"/>
      <c r="C218" s="79"/>
      <c r="D218" s="80"/>
      <c r="E218" s="80"/>
      <c r="F218" s="81"/>
      <c r="G218" s="78"/>
      <c r="H218" s="82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</row>
    <row r="219" spans="1:23" ht="18" customHeight="1">
      <c r="A219" s="78"/>
      <c r="B219" s="78"/>
      <c r="C219" s="79"/>
      <c r="D219" s="80"/>
      <c r="E219" s="80"/>
      <c r="F219" s="81"/>
      <c r="G219" s="78"/>
      <c r="H219" s="82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</row>
    <row r="220" spans="1:23" ht="18" customHeight="1">
      <c r="A220" s="78"/>
      <c r="B220" s="78"/>
      <c r="C220" s="79"/>
      <c r="D220" s="80"/>
      <c r="E220" s="80"/>
      <c r="F220" s="81"/>
      <c r="G220" s="78"/>
      <c r="H220" s="82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</row>
    <row r="221" spans="1:23" ht="18" customHeight="1">
      <c r="A221" s="78"/>
      <c r="B221" s="78"/>
      <c r="C221" s="79"/>
      <c r="D221" s="80"/>
      <c r="E221" s="80"/>
      <c r="F221" s="81"/>
      <c r="G221" s="78"/>
      <c r="H221" s="82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</row>
    <row r="222" spans="1:23" ht="18" customHeight="1">
      <c r="A222" s="78"/>
      <c r="B222" s="78"/>
      <c r="C222" s="79"/>
      <c r="D222" s="80"/>
      <c r="E222" s="80"/>
      <c r="F222" s="81"/>
      <c r="G222" s="78"/>
      <c r="H222" s="82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</row>
    <row r="223" spans="1:23" ht="18" customHeight="1">
      <c r="A223" s="78"/>
      <c r="B223" s="78"/>
      <c r="C223" s="79"/>
      <c r="D223" s="80"/>
      <c r="E223" s="80"/>
      <c r="F223" s="81"/>
      <c r="G223" s="78"/>
      <c r="H223" s="82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</row>
    <row r="224" spans="1:23" ht="18" customHeight="1">
      <c r="A224" s="78"/>
      <c r="B224" s="78"/>
      <c r="C224" s="79"/>
      <c r="D224" s="80"/>
      <c r="E224" s="80"/>
      <c r="F224" s="81"/>
      <c r="G224" s="78"/>
      <c r="H224" s="82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</row>
    <row r="225" spans="1:23" ht="18" customHeight="1">
      <c r="A225" s="78"/>
      <c r="B225" s="78"/>
      <c r="C225" s="79"/>
      <c r="D225" s="80"/>
      <c r="E225" s="80"/>
      <c r="F225" s="81"/>
      <c r="G225" s="78"/>
      <c r="H225" s="82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</row>
    <row r="226" spans="1:23" ht="18" customHeight="1">
      <c r="A226" s="78"/>
      <c r="B226" s="78"/>
      <c r="C226" s="79"/>
      <c r="D226" s="80"/>
      <c r="E226" s="80"/>
      <c r="F226" s="81"/>
      <c r="G226" s="78"/>
      <c r="H226" s="82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</row>
    <row r="227" spans="1:23" ht="18" customHeight="1">
      <c r="A227" s="78"/>
      <c r="B227" s="78"/>
      <c r="C227" s="79"/>
      <c r="D227" s="80"/>
      <c r="E227" s="80"/>
      <c r="F227" s="81"/>
      <c r="G227" s="78"/>
      <c r="H227" s="82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</row>
    <row r="228" spans="1:23" ht="18" customHeight="1">
      <c r="A228" s="78"/>
      <c r="B228" s="78"/>
      <c r="C228" s="79"/>
      <c r="D228" s="80"/>
      <c r="E228" s="80"/>
      <c r="F228" s="81"/>
      <c r="G228" s="78"/>
      <c r="H228" s="82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</row>
    <row r="229" spans="1:23" ht="18" customHeight="1">
      <c r="A229" s="78"/>
      <c r="B229" s="78"/>
      <c r="C229" s="79"/>
      <c r="D229" s="80"/>
      <c r="E229" s="80"/>
      <c r="F229" s="81"/>
      <c r="G229" s="78"/>
      <c r="H229" s="82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</row>
    <row r="230" spans="1:23" ht="18" customHeight="1">
      <c r="A230" s="78"/>
      <c r="B230" s="78"/>
      <c r="C230" s="79"/>
      <c r="D230" s="80"/>
      <c r="E230" s="80"/>
      <c r="F230" s="81"/>
      <c r="G230" s="78"/>
      <c r="H230" s="82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</row>
    <row r="231" spans="1:23" ht="18" customHeight="1">
      <c r="A231" s="78"/>
      <c r="B231" s="78"/>
      <c r="C231" s="79"/>
      <c r="D231" s="80"/>
      <c r="E231" s="80"/>
      <c r="F231" s="81"/>
      <c r="G231" s="78"/>
      <c r="H231" s="82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</row>
    <row r="232" spans="1:23" ht="18" customHeight="1">
      <c r="A232" s="78"/>
      <c r="B232" s="78"/>
      <c r="C232" s="79"/>
      <c r="D232" s="80"/>
      <c r="E232" s="80"/>
      <c r="F232" s="81"/>
      <c r="G232" s="78"/>
      <c r="H232" s="82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</row>
    <row r="233" spans="1:23" ht="18" customHeight="1">
      <c r="A233" s="78"/>
      <c r="B233" s="78"/>
      <c r="C233" s="79"/>
      <c r="D233" s="80"/>
      <c r="E233" s="80"/>
      <c r="F233" s="81"/>
      <c r="G233" s="78"/>
      <c r="H233" s="82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</row>
    <row r="234" spans="1:23" ht="18" customHeight="1">
      <c r="A234" s="78"/>
      <c r="B234" s="78"/>
      <c r="C234" s="79"/>
      <c r="D234" s="80"/>
      <c r="E234" s="80"/>
      <c r="F234" s="81"/>
      <c r="G234" s="78"/>
      <c r="H234" s="82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</row>
    <row r="235" spans="1:23" ht="18" customHeight="1">
      <c r="A235" s="78"/>
      <c r="B235" s="78"/>
      <c r="C235" s="79"/>
      <c r="D235" s="80"/>
      <c r="E235" s="80"/>
      <c r="F235" s="81"/>
      <c r="G235" s="78"/>
      <c r="H235" s="82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</row>
    <row r="236" spans="1:23" ht="18" customHeight="1">
      <c r="A236" s="78"/>
      <c r="B236" s="78"/>
      <c r="C236" s="79"/>
      <c r="D236" s="80"/>
      <c r="E236" s="80"/>
      <c r="F236" s="81"/>
      <c r="G236" s="78"/>
      <c r="H236" s="82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</row>
    <row r="237" spans="1:23" ht="18" customHeight="1">
      <c r="A237" s="78"/>
      <c r="B237" s="78"/>
      <c r="C237" s="79"/>
      <c r="D237" s="80"/>
      <c r="E237" s="80"/>
      <c r="F237" s="81"/>
      <c r="G237" s="78"/>
      <c r="H237" s="82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</row>
    <row r="238" spans="1:23" ht="18" customHeight="1">
      <c r="A238" s="78"/>
      <c r="B238" s="78"/>
      <c r="C238" s="79"/>
      <c r="D238" s="80"/>
      <c r="E238" s="80"/>
      <c r="F238" s="81"/>
      <c r="G238" s="78"/>
      <c r="H238" s="82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</row>
    <row r="239" spans="1:23" ht="18" customHeight="1">
      <c r="A239" s="78"/>
      <c r="B239" s="78"/>
      <c r="C239" s="79"/>
      <c r="D239" s="80"/>
      <c r="E239" s="80"/>
      <c r="F239" s="81"/>
      <c r="G239" s="78"/>
      <c r="H239" s="82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</row>
    <row r="240" spans="1:23" ht="18" customHeight="1">
      <c r="A240" s="78"/>
      <c r="B240" s="78"/>
      <c r="C240" s="79"/>
      <c r="D240" s="80"/>
      <c r="E240" s="80"/>
      <c r="F240" s="81"/>
      <c r="G240" s="78"/>
      <c r="H240" s="82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</row>
    <row r="241" spans="1:23" ht="18" customHeight="1">
      <c r="A241" s="78"/>
      <c r="B241" s="78"/>
      <c r="C241" s="79"/>
      <c r="D241" s="80"/>
      <c r="E241" s="80"/>
      <c r="F241" s="81"/>
      <c r="G241" s="78"/>
      <c r="H241" s="82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</row>
    <row r="242" spans="1:23" ht="18" customHeight="1">
      <c r="A242" s="78"/>
      <c r="B242" s="78"/>
      <c r="C242" s="79"/>
      <c r="D242" s="80"/>
      <c r="E242" s="80"/>
      <c r="F242" s="81"/>
      <c r="G242" s="78"/>
      <c r="H242" s="82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</row>
    <row r="243" spans="1:23" ht="18" customHeight="1">
      <c r="A243" s="78"/>
      <c r="B243" s="78"/>
      <c r="C243" s="79"/>
      <c r="D243" s="80"/>
      <c r="E243" s="80"/>
      <c r="F243" s="81"/>
      <c r="G243" s="78"/>
      <c r="H243" s="82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</row>
    <row r="244" spans="1:23" ht="18" customHeight="1">
      <c r="A244" s="78"/>
      <c r="B244" s="78"/>
      <c r="C244" s="79"/>
      <c r="D244" s="80"/>
      <c r="E244" s="80"/>
      <c r="F244" s="81"/>
      <c r="G244" s="78"/>
      <c r="H244" s="82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</row>
    <row r="245" spans="1:23" ht="18" customHeight="1">
      <c r="A245" s="78"/>
      <c r="B245" s="78"/>
      <c r="C245" s="79"/>
      <c r="D245" s="80"/>
      <c r="E245" s="80"/>
      <c r="F245" s="81"/>
      <c r="G245" s="78"/>
      <c r="H245" s="82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</row>
    <row r="246" spans="1:23" ht="18" customHeight="1">
      <c r="A246" s="78"/>
      <c r="B246" s="78"/>
      <c r="C246" s="79"/>
      <c r="D246" s="80"/>
      <c r="E246" s="80"/>
      <c r="F246" s="81"/>
      <c r="G246" s="78"/>
      <c r="H246" s="82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</row>
    <row r="247" spans="1:23" ht="18" customHeight="1">
      <c r="A247" s="78"/>
      <c r="B247" s="78"/>
      <c r="C247" s="79"/>
      <c r="D247" s="80"/>
      <c r="E247" s="80"/>
      <c r="F247" s="81"/>
      <c r="G247" s="78"/>
      <c r="H247" s="82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</row>
    <row r="248" spans="1:23" ht="18" customHeight="1">
      <c r="A248" s="78"/>
      <c r="B248" s="78"/>
      <c r="C248" s="79"/>
      <c r="D248" s="80"/>
      <c r="E248" s="80"/>
      <c r="F248" s="81"/>
      <c r="G248" s="78"/>
      <c r="H248" s="82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</row>
    <row r="249" spans="1:23" ht="18" customHeight="1">
      <c r="A249" s="78"/>
      <c r="B249" s="78"/>
      <c r="C249" s="79"/>
      <c r="D249" s="80"/>
      <c r="E249" s="80"/>
      <c r="F249" s="81"/>
      <c r="G249" s="78"/>
      <c r="H249" s="82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</row>
    <row r="250" spans="1:23" ht="18" customHeight="1">
      <c r="A250" s="78"/>
      <c r="B250" s="78"/>
      <c r="C250" s="79"/>
      <c r="D250" s="80"/>
      <c r="E250" s="80"/>
      <c r="F250" s="81"/>
      <c r="G250" s="78"/>
      <c r="H250" s="82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</row>
    <row r="251" spans="1:23" ht="18" customHeight="1">
      <c r="A251" s="78"/>
      <c r="B251" s="78"/>
      <c r="C251" s="79"/>
      <c r="D251" s="80"/>
      <c r="E251" s="80"/>
      <c r="F251" s="81"/>
      <c r="G251" s="78"/>
      <c r="H251" s="82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</row>
    <row r="252" spans="1:23" ht="18" customHeight="1">
      <c r="A252" s="78"/>
      <c r="B252" s="78"/>
      <c r="C252" s="79"/>
      <c r="D252" s="80"/>
      <c r="E252" s="80"/>
      <c r="F252" s="81"/>
      <c r="G252" s="78"/>
      <c r="H252" s="82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</row>
    <row r="253" spans="1:23" ht="18" customHeight="1">
      <c r="A253" s="78"/>
      <c r="B253" s="78"/>
      <c r="C253" s="79"/>
      <c r="D253" s="80"/>
      <c r="E253" s="80"/>
      <c r="F253" s="81"/>
      <c r="G253" s="78"/>
      <c r="H253" s="82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</row>
    <row r="254" spans="1:23" ht="18" customHeight="1">
      <c r="A254" s="78"/>
      <c r="B254" s="78"/>
      <c r="C254" s="79"/>
      <c r="D254" s="80"/>
      <c r="E254" s="80"/>
      <c r="F254" s="81"/>
      <c r="G254" s="78"/>
      <c r="H254" s="82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</row>
    <row r="255" spans="1:23" ht="18" customHeight="1">
      <c r="A255" s="78"/>
      <c r="B255" s="78"/>
      <c r="C255" s="79"/>
      <c r="D255" s="80"/>
      <c r="E255" s="80"/>
      <c r="F255" s="81"/>
      <c r="G255" s="78"/>
      <c r="H255" s="82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</row>
    <row r="256" spans="1:23" ht="18" customHeight="1">
      <c r="A256" s="78"/>
      <c r="B256" s="78"/>
      <c r="C256" s="79"/>
      <c r="D256" s="80"/>
      <c r="E256" s="80"/>
      <c r="F256" s="81"/>
      <c r="G256" s="78"/>
      <c r="H256" s="82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</row>
    <row r="257" spans="1:23" ht="18" customHeight="1">
      <c r="A257" s="78"/>
      <c r="B257" s="78"/>
      <c r="C257" s="79"/>
      <c r="D257" s="80"/>
      <c r="E257" s="80"/>
      <c r="F257" s="81"/>
      <c r="G257" s="78"/>
      <c r="H257" s="82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</row>
    <row r="258" spans="1:23" ht="18" customHeight="1">
      <c r="A258" s="78"/>
      <c r="B258" s="78"/>
      <c r="C258" s="79"/>
      <c r="D258" s="80"/>
      <c r="E258" s="80"/>
      <c r="F258" s="81"/>
      <c r="G258" s="78"/>
      <c r="H258" s="82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</row>
    <row r="259" spans="1:23" ht="18" customHeight="1">
      <c r="A259" s="78"/>
      <c r="B259" s="78"/>
      <c r="C259" s="79"/>
      <c r="D259" s="80"/>
      <c r="E259" s="80"/>
      <c r="F259" s="81"/>
      <c r="G259" s="78"/>
      <c r="H259" s="82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</row>
    <row r="260" spans="1:23" ht="18" customHeight="1">
      <c r="A260" s="78"/>
      <c r="B260" s="78"/>
      <c r="C260" s="79"/>
      <c r="D260" s="80"/>
      <c r="E260" s="80"/>
      <c r="F260" s="81"/>
      <c r="G260" s="78"/>
      <c r="H260" s="82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</row>
    <row r="261" spans="1:23" ht="18" customHeight="1">
      <c r="A261" s="78"/>
      <c r="B261" s="78"/>
      <c r="C261" s="79"/>
      <c r="D261" s="80"/>
      <c r="E261" s="80"/>
      <c r="F261" s="81"/>
      <c r="G261" s="78"/>
      <c r="H261" s="82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</row>
    <row r="262" spans="1:23" ht="18" customHeight="1">
      <c r="A262" s="78"/>
      <c r="B262" s="78"/>
      <c r="C262" s="79"/>
      <c r="D262" s="80"/>
      <c r="E262" s="80"/>
      <c r="F262" s="81"/>
      <c r="G262" s="78"/>
      <c r="H262" s="82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</row>
    <row r="263" spans="1:23" ht="18" customHeight="1">
      <c r="A263" s="78"/>
      <c r="B263" s="78"/>
      <c r="C263" s="79"/>
      <c r="D263" s="80"/>
      <c r="E263" s="80"/>
      <c r="F263" s="81"/>
      <c r="G263" s="78"/>
      <c r="H263" s="82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</row>
    <row r="264" spans="1:23" ht="18" customHeight="1">
      <c r="A264" s="78"/>
      <c r="B264" s="78"/>
      <c r="C264" s="79"/>
      <c r="D264" s="80"/>
      <c r="E264" s="80"/>
      <c r="F264" s="81"/>
      <c r="G264" s="78"/>
      <c r="H264" s="82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</row>
    <row r="265" spans="1:23" ht="18" customHeight="1">
      <c r="A265" s="78"/>
      <c r="B265" s="78"/>
      <c r="C265" s="79"/>
      <c r="D265" s="80"/>
      <c r="E265" s="80"/>
      <c r="F265" s="81"/>
      <c r="G265" s="78"/>
      <c r="H265" s="82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</row>
    <row r="266" spans="1:23" ht="18" customHeight="1">
      <c r="A266" s="78"/>
      <c r="B266" s="78"/>
      <c r="C266" s="79"/>
      <c r="D266" s="80"/>
      <c r="E266" s="80"/>
      <c r="F266" s="81"/>
      <c r="G266" s="78"/>
      <c r="H266" s="82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</row>
    <row r="267" spans="1:23" ht="18" customHeight="1">
      <c r="A267" s="78"/>
      <c r="B267" s="78"/>
      <c r="C267" s="79"/>
      <c r="D267" s="80"/>
      <c r="E267" s="80"/>
      <c r="F267" s="81"/>
      <c r="G267" s="78"/>
      <c r="H267" s="82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</row>
    <row r="268" spans="1:23" ht="18" customHeight="1">
      <c r="A268" s="78"/>
      <c r="B268" s="78"/>
      <c r="C268" s="79"/>
      <c r="D268" s="80"/>
      <c r="E268" s="80"/>
      <c r="F268" s="81"/>
      <c r="G268" s="78"/>
      <c r="H268" s="82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</row>
    <row r="269" spans="1:23" ht="18" customHeight="1">
      <c r="A269" s="78"/>
      <c r="B269" s="78"/>
      <c r="C269" s="79"/>
      <c r="D269" s="80"/>
      <c r="E269" s="80"/>
      <c r="F269" s="81"/>
      <c r="G269" s="78"/>
      <c r="H269" s="82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</row>
    <row r="270" spans="1:23" ht="18" customHeight="1">
      <c r="A270" s="78"/>
      <c r="B270" s="78"/>
      <c r="C270" s="79"/>
      <c r="D270" s="80"/>
      <c r="E270" s="80"/>
      <c r="F270" s="81"/>
      <c r="G270" s="78"/>
      <c r="H270" s="82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</row>
    <row r="271" spans="1:23" ht="18" customHeight="1">
      <c r="A271" s="78"/>
      <c r="B271" s="78"/>
      <c r="C271" s="79"/>
      <c r="D271" s="80"/>
      <c r="E271" s="80"/>
      <c r="F271" s="81"/>
      <c r="G271" s="78"/>
      <c r="H271" s="82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</row>
    <row r="272" spans="1:23" ht="18" customHeight="1">
      <c r="A272" s="78"/>
      <c r="B272" s="78"/>
      <c r="C272" s="79"/>
      <c r="D272" s="80"/>
      <c r="E272" s="80"/>
      <c r="F272" s="81"/>
      <c r="G272" s="78"/>
      <c r="H272" s="82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</row>
    <row r="273" spans="1:23" ht="18" customHeight="1">
      <c r="A273" s="78"/>
      <c r="B273" s="78"/>
      <c r="C273" s="79"/>
      <c r="D273" s="80"/>
      <c r="E273" s="80"/>
      <c r="F273" s="81"/>
      <c r="G273" s="78"/>
      <c r="H273" s="82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</row>
    <row r="274" spans="1:23" ht="18" customHeight="1">
      <c r="A274" s="78"/>
      <c r="B274" s="78"/>
      <c r="C274" s="79"/>
      <c r="D274" s="80"/>
      <c r="E274" s="80"/>
      <c r="F274" s="81"/>
      <c r="G274" s="78"/>
      <c r="H274" s="82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</row>
    <row r="275" spans="1:23" ht="18" customHeight="1">
      <c r="A275" s="78"/>
      <c r="B275" s="78"/>
      <c r="C275" s="79"/>
      <c r="D275" s="80"/>
      <c r="E275" s="80"/>
      <c r="F275" s="81"/>
      <c r="G275" s="78"/>
      <c r="H275" s="82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</row>
    <row r="276" spans="1:23" ht="18" customHeight="1">
      <c r="A276" s="78"/>
      <c r="B276" s="78"/>
      <c r="C276" s="79"/>
      <c r="D276" s="80"/>
      <c r="E276" s="80"/>
      <c r="F276" s="81"/>
      <c r="G276" s="78"/>
      <c r="H276" s="82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</row>
    <row r="277" spans="1:23" ht="18" customHeight="1">
      <c r="A277" s="78"/>
      <c r="B277" s="78"/>
      <c r="C277" s="79"/>
      <c r="D277" s="80"/>
      <c r="E277" s="80"/>
      <c r="F277" s="81"/>
      <c r="G277" s="78"/>
      <c r="H277" s="82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</row>
    <row r="278" spans="1:23" ht="18" customHeight="1">
      <c r="A278" s="78"/>
      <c r="B278" s="78"/>
      <c r="C278" s="79"/>
      <c r="D278" s="80"/>
      <c r="E278" s="80"/>
      <c r="F278" s="81"/>
      <c r="G278" s="78"/>
      <c r="H278" s="82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</row>
    <row r="279" spans="1:23" ht="18" customHeight="1">
      <c r="A279" s="78"/>
      <c r="B279" s="78"/>
      <c r="C279" s="79"/>
      <c r="D279" s="80"/>
      <c r="E279" s="80"/>
      <c r="F279" s="81"/>
      <c r="G279" s="78"/>
      <c r="H279" s="82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</row>
    <row r="280" spans="1:23" ht="18" customHeight="1">
      <c r="A280" s="78"/>
      <c r="B280" s="78"/>
      <c r="C280" s="79"/>
      <c r="D280" s="80"/>
      <c r="E280" s="80"/>
      <c r="F280" s="81"/>
      <c r="G280" s="78"/>
      <c r="H280" s="82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</row>
    <row r="281" spans="1:23" ht="18" customHeight="1">
      <c r="A281" s="78"/>
      <c r="B281" s="78"/>
      <c r="C281" s="79"/>
      <c r="D281" s="80"/>
      <c r="E281" s="80"/>
      <c r="F281" s="81"/>
      <c r="G281" s="78"/>
      <c r="H281" s="82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</row>
    <row r="282" spans="1:23" ht="18" customHeight="1">
      <c r="A282" s="78"/>
      <c r="B282" s="78"/>
      <c r="C282" s="79"/>
      <c r="D282" s="80"/>
      <c r="E282" s="80"/>
      <c r="F282" s="81"/>
      <c r="G282" s="78"/>
      <c r="H282" s="82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</row>
    <row r="283" spans="1:23" ht="18" customHeight="1">
      <c r="A283" s="78"/>
      <c r="B283" s="78"/>
      <c r="C283" s="79"/>
      <c r="D283" s="80"/>
      <c r="E283" s="80"/>
      <c r="F283" s="81"/>
      <c r="G283" s="78"/>
      <c r="H283" s="82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</row>
    <row r="284" spans="1:23" ht="18" customHeight="1">
      <c r="A284" s="78"/>
      <c r="B284" s="78"/>
      <c r="C284" s="79"/>
      <c r="D284" s="80"/>
      <c r="E284" s="80"/>
      <c r="F284" s="81"/>
      <c r="G284" s="78"/>
      <c r="H284" s="82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</row>
    <row r="285" spans="1:23" ht="18" customHeight="1">
      <c r="A285" s="78"/>
      <c r="B285" s="78"/>
      <c r="C285" s="79"/>
      <c r="D285" s="80"/>
      <c r="E285" s="80"/>
      <c r="F285" s="81"/>
      <c r="G285" s="78"/>
      <c r="H285" s="82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</row>
    <row r="286" spans="1:23" ht="18" customHeight="1">
      <c r="A286" s="78"/>
      <c r="B286" s="78"/>
      <c r="C286" s="79"/>
      <c r="D286" s="80"/>
      <c r="E286" s="80"/>
      <c r="F286" s="81"/>
      <c r="G286" s="78"/>
      <c r="H286" s="82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</row>
    <row r="287" spans="1:23" ht="18" customHeight="1">
      <c r="A287" s="78"/>
      <c r="B287" s="78"/>
      <c r="C287" s="79"/>
      <c r="D287" s="80"/>
      <c r="E287" s="80"/>
      <c r="F287" s="81"/>
      <c r="G287" s="78"/>
      <c r="H287" s="82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</row>
    <row r="288" spans="1:23" ht="18" customHeight="1">
      <c r="A288" s="78"/>
      <c r="B288" s="78"/>
      <c r="C288" s="79"/>
      <c r="D288" s="80"/>
      <c r="E288" s="80"/>
      <c r="F288" s="81"/>
      <c r="G288" s="78"/>
      <c r="H288" s="82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</row>
    <row r="289" spans="1:23" ht="18" customHeight="1">
      <c r="A289" s="78"/>
      <c r="B289" s="78"/>
      <c r="C289" s="79"/>
      <c r="D289" s="80"/>
      <c r="E289" s="80"/>
      <c r="F289" s="81"/>
      <c r="G289" s="78"/>
      <c r="H289" s="82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</row>
    <row r="290" spans="1:23" ht="18" customHeight="1">
      <c r="A290" s="78"/>
      <c r="B290" s="78"/>
      <c r="C290" s="79"/>
      <c r="D290" s="80"/>
      <c r="E290" s="80"/>
      <c r="F290" s="81"/>
      <c r="G290" s="78"/>
      <c r="H290" s="82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</row>
    <row r="291" spans="1:23" ht="18" customHeight="1">
      <c r="A291" s="78"/>
      <c r="B291" s="78"/>
      <c r="C291" s="79"/>
      <c r="D291" s="80"/>
      <c r="E291" s="80"/>
      <c r="F291" s="81"/>
      <c r="G291" s="78"/>
      <c r="H291" s="82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</row>
    <row r="292" spans="1:23" ht="18" customHeight="1">
      <c r="A292" s="78"/>
      <c r="B292" s="78"/>
      <c r="C292" s="79"/>
      <c r="D292" s="80"/>
      <c r="E292" s="80"/>
      <c r="F292" s="81"/>
      <c r="G292" s="78"/>
      <c r="H292" s="82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</row>
    <row r="293" spans="1:23" ht="18" customHeight="1">
      <c r="A293" s="78"/>
      <c r="B293" s="78"/>
      <c r="C293" s="79"/>
      <c r="D293" s="80"/>
      <c r="E293" s="80"/>
      <c r="F293" s="81"/>
      <c r="G293" s="78"/>
      <c r="H293" s="82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</row>
    <row r="294" spans="1:23" ht="18" customHeight="1">
      <c r="A294" s="78"/>
      <c r="B294" s="78"/>
      <c r="C294" s="79"/>
      <c r="D294" s="80"/>
      <c r="E294" s="80"/>
      <c r="F294" s="81"/>
      <c r="G294" s="78"/>
      <c r="H294" s="82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</row>
    <row r="295" spans="1:23" ht="18" customHeight="1">
      <c r="A295" s="78"/>
      <c r="B295" s="78"/>
      <c r="C295" s="79"/>
      <c r="D295" s="80"/>
      <c r="E295" s="80"/>
      <c r="F295" s="81"/>
      <c r="G295" s="78"/>
      <c r="H295" s="82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</row>
    <row r="296" spans="1:23" ht="18" customHeight="1">
      <c r="A296" s="78"/>
      <c r="B296" s="78"/>
      <c r="C296" s="79"/>
      <c r="D296" s="80"/>
      <c r="E296" s="80"/>
      <c r="F296" s="81"/>
      <c r="G296" s="78"/>
      <c r="H296" s="82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</row>
    <row r="297" spans="1:23" ht="18" customHeight="1">
      <c r="A297" s="78"/>
      <c r="B297" s="78"/>
      <c r="C297" s="79"/>
      <c r="D297" s="80"/>
      <c r="E297" s="80"/>
      <c r="F297" s="81"/>
      <c r="G297" s="78"/>
      <c r="H297" s="82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</row>
    <row r="298" spans="1:23" ht="18" customHeight="1">
      <c r="A298" s="78"/>
      <c r="B298" s="78"/>
      <c r="C298" s="79"/>
      <c r="D298" s="80"/>
      <c r="E298" s="80"/>
      <c r="F298" s="81"/>
      <c r="G298" s="78"/>
      <c r="H298" s="82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</row>
    <row r="299" spans="1:23" ht="18" customHeight="1">
      <c r="A299" s="78"/>
      <c r="B299" s="78"/>
      <c r="C299" s="79"/>
      <c r="D299" s="80"/>
      <c r="E299" s="80"/>
      <c r="F299" s="81"/>
      <c r="G299" s="78"/>
      <c r="H299" s="82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</row>
    <row r="300" spans="1:23" ht="18" customHeight="1">
      <c r="A300" s="78"/>
      <c r="B300" s="78"/>
      <c r="C300" s="79"/>
      <c r="D300" s="80"/>
      <c r="E300" s="80"/>
      <c r="F300" s="81"/>
      <c r="G300" s="78"/>
      <c r="H300" s="82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</row>
    <row r="301" spans="1:23" ht="18" customHeight="1">
      <c r="A301" s="78"/>
      <c r="B301" s="78"/>
      <c r="C301" s="79"/>
      <c r="D301" s="80"/>
      <c r="E301" s="80"/>
      <c r="F301" s="81"/>
      <c r="G301" s="78"/>
      <c r="H301" s="82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</row>
    <row r="302" spans="1:23" ht="18" customHeight="1">
      <c r="A302" s="78"/>
      <c r="B302" s="78"/>
      <c r="C302" s="79"/>
      <c r="D302" s="80"/>
      <c r="E302" s="80"/>
      <c r="F302" s="81"/>
      <c r="G302" s="78"/>
      <c r="H302" s="82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</row>
    <row r="303" spans="1:23" ht="18" customHeight="1">
      <c r="A303" s="78"/>
      <c r="B303" s="78"/>
      <c r="C303" s="79"/>
      <c r="D303" s="80"/>
      <c r="E303" s="80"/>
      <c r="F303" s="81"/>
      <c r="G303" s="78"/>
      <c r="H303" s="82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</row>
    <row r="304" spans="1:23" ht="18" customHeight="1">
      <c r="A304" s="78"/>
      <c r="B304" s="78"/>
      <c r="C304" s="79"/>
      <c r="D304" s="80"/>
      <c r="E304" s="80"/>
      <c r="F304" s="81"/>
      <c r="G304" s="78"/>
      <c r="H304" s="82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</row>
    <row r="305" spans="1:23" ht="18" customHeight="1">
      <c r="A305" s="78"/>
      <c r="B305" s="78"/>
      <c r="C305" s="79"/>
      <c r="D305" s="80"/>
      <c r="E305" s="80"/>
      <c r="F305" s="81"/>
      <c r="G305" s="78"/>
      <c r="H305" s="82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</row>
    <row r="306" spans="1:23" ht="18" customHeight="1">
      <c r="A306" s="78"/>
      <c r="B306" s="78"/>
      <c r="C306" s="79"/>
      <c r="D306" s="80"/>
      <c r="E306" s="80"/>
      <c r="F306" s="81"/>
      <c r="G306" s="78"/>
      <c r="H306" s="82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</row>
    <row r="307" spans="1:23" ht="18" customHeight="1">
      <c r="A307" s="78"/>
      <c r="B307" s="78"/>
      <c r="C307" s="79"/>
      <c r="D307" s="80"/>
      <c r="E307" s="80"/>
      <c r="F307" s="81"/>
      <c r="G307" s="78"/>
      <c r="H307" s="82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</row>
    <row r="308" spans="1:23" ht="18" customHeight="1">
      <c r="A308" s="78"/>
      <c r="B308" s="78"/>
      <c r="C308" s="79"/>
      <c r="D308" s="80"/>
      <c r="E308" s="80"/>
      <c r="F308" s="81"/>
      <c r="G308" s="78"/>
      <c r="H308" s="82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</row>
    <row r="309" spans="1:23" ht="18" customHeight="1">
      <c r="A309" s="78"/>
      <c r="B309" s="78"/>
      <c r="C309" s="79"/>
      <c r="D309" s="80"/>
      <c r="E309" s="80"/>
      <c r="F309" s="81"/>
      <c r="G309" s="78"/>
      <c r="H309" s="82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</row>
    <row r="310" spans="1:23" ht="18" customHeight="1">
      <c r="A310" s="78"/>
      <c r="B310" s="78"/>
      <c r="C310" s="79"/>
      <c r="D310" s="80"/>
      <c r="E310" s="80"/>
      <c r="F310" s="81"/>
      <c r="G310" s="78"/>
      <c r="H310" s="82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</row>
    <row r="311" spans="1:23" ht="18" customHeight="1">
      <c r="A311" s="78"/>
      <c r="B311" s="78"/>
      <c r="C311" s="79"/>
      <c r="D311" s="80"/>
      <c r="E311" s="80"/>
      <c r="F311" s="81"/>
      <c r="G311" s="78"/>
      <c r="H311" s="82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</row>
    <row r="312" spans="1:23" ht="18" customHeight="1">
      <c r="A312" s="78"/>
      <c r="B312" s="78"/>
      <c r="C312" s="79"/>
      <c r="D312" s="80"/>
      <c r="E312" s="80"/>
      <c r="F312" s="81"/>
      <c r="G312" s="78"/>
      <c r="H312" s="82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</row>
    <row r="313" spans="1:23" ht="18" customHeight="1">
      <c r="A313" s="78"/>
      <c r="B313" s="78"/>
      <c r="C313" s="79"/>
      <c r="D313" s="80"/>
      <c r="E313" s="80"/>
      <c r="F313" s="81"/>
      <c r="G313" s="78"/>
      <c r="H313" s="82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</row>
    <row r="314" spans="1:23" ht="18" customHeight="1">
      <c r="A314" s="78"/>
      <c r="B314" s="78"/>
      <c r="C314" s="79"/>
      <c r="D314" s="80"/>
      <c r="E314" s="80"/>
      <c r="F314" s="81"/>
      <c r="G314" s="78"/>
      <c r="H314" s="82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</row>
    <row r="315" spans="1:23" ht="18" customHeight="1">
      <c r="A315" s="78"/>
      <c r="B315" s="78"/>
      <c r="C315" s="79"/>
      <c r="D315" s="80"/>
      <c r="E315" s="80"/>
      <c r="F315" s="81"/>
      <c r="G315" s="78"/>
      <c r="H315" s="82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</row>
    <row r="316" spans="1:23" ht="18" customHeight="1">
      <c r="A316" s="78"/>
      <c r="B316" s="78"/>
      <c r="C316" s="79"/>
      <c r="D316" s="80"/>
      <c r="E316" s="80"/>
      <c r="F316" s="81"/>
      <c r="G316" s="78"/>
      <c r="H316" s="82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</row>
    <row r="317" spans="1:23" ht="18" customHeight="1">
      <c r="A317" s="78"/>
      <c r="B317" s="78"/>
      <c r="C317" s="79"/>
      <c r="D317" s="80"/>
      <c r="E317" s="80"/>
      <c r="F317" s="81"/>
      <c r="G317" s="78"/>
      <c r="H317" s="82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</row>
    <row r="318" spans="1:23" ht="18" customHeight="1">
      <c r="A318" s="78"/>
      <c r="B318" s="78"/>
      <c r="C318" s="79"/>
      <c r="D318" s="80"/>
      <c r="E318" s="80"/>
      <c r="F318" s="81"/>
      <c r="G318" s="78"/>
      <c r="H318" s="82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</row>
    <row r="319" spans="1:23" ht="18" customHeight="1">
      <c r="A319" s="78"/>
      <c r="B319" s="78"/>
      <c r="C319" s="79"/>
      <c r="D319" s="80"/>
      <c r="E319" s="80"/>
      <c r="F319" s="81"/>
      <c r="G319" s="78"/>
      <c r="H319" s="82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</row>
    <row r="320" spans="1:23" ht="18" customHeight="1">
      <c r="A320" s="78"/>
      <c r="B320" s="78"/>
      <c r="C320" s="79"/>
      <c r="D320" s="80"/>
      <c r="E320" s="80"/>
      <c r="F320" s="81"/>
      <c r="G320" s="78"/>
      <c r="H320" s="82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</row>
    <row r="321" spans="1:23" ht="18" customHeight="1">
      <c r="A321" s="78"/>
      <c r="B321" s="78"/>
      <c r="C321" s="79"/>
      <c r="D321" s="80"/>
      <c r="E321" s="80"/>
      <c r="F321" s="81"/>
      <c r="G321" s="78"/>
      <c r="H321" s="82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</row>
    <row r="322" spans="1:23" ht="18" customHeight="1">
      <c r="A322" s="78"/>
      <c r="B322" s="78"/>
      <c r="C322" s="79"/>
      <c r="D322" s="80"/>
      <c r="E322" s="80"/>
      <c r="F322" s="81"/>
      <c r="G322" s="78"/>
      <c r="H322" s="82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</row>
    <row r="323" spans="1:23" ht="18" customHeight="1">
      <c r="A323" s="78"/>
      <c r="B323" s="78"/>
      <c r="C323" s="79"/>
      <c r="D323" s="80"/>
      <c r="E323" s="80"/>
      <c r="F323" s="81"/>
      <c r="G323" s="78"/>
      <c r="H323" s="82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</row>
    <row r="324" spans="1:23" ht="18" customHeight="1">
      <c r="A324" s="78"/>
      <c r="B324" s="78"/>
      <c r="C324" s="79"/>
      <c r="D324" s="80"/>
      <c r="E324" s="80"/>
      <c r="F324" s="81"/>
      <c r="G324" s="78"/>
      <c r="H324" s="82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</row>
    <row r="325" spans="1:23" ht="18" customHeight="1">
      <c r="A325" s="78"/>
      <c r="B325" s="78"/>
      <c r="C325" s="79"/>
      <c r="D325" s="80"/>
      <c r="E325" s="80"/>
      <c r="F325" s="81"/>
      <c r="G325" s="78"/>
      <c r="H325" s="82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</row>
    <row r="326" spans="1:23" ht="18" customHeight="1">
      <c r="A326" s="78"/>
      <c r="B326" s="78"/>
      <c r="C326" s="79"/>
      <c r="D326" s="80"/>
      <c r="E326" s="80"/>
      <c r="F326" s="81"/>
      <c r="G326" s="78"/>
      <c r="H326" s="82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</row>
    <row r="327" spans="1:23" ht="18" customHeight="1">
      <c r="A327" s="78"/>
      <c r="B327" s="78"/>
      <c r="C327" s="79"/>
      <c r="D327" s="80"/>
      <c r="E327" s="80"/>
      <c r="F327" s="81"/>
      <c r="G327" s="78"/>
      <c r="H327" s="82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</row>
    <row r="328" spans="1:23" ht="18" customHeight="1">
      <c r="A328" s="78"/>
      <c r="B328" s="78"/>
      <c r="C328" s="79"/>
      <c r="D328" s="80"/>
      <c r="E328" s="80"/>
      <c r="F328" s="81"/>
      <c r="G328" s="78"/>
      <c r="H328" s="82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</row>
    <row r="329" spans="1:23" ht="18" customHeight="1">
      <c r="A329" s="78"/>
      <c r="B329" s="78"/>
      <c r="C329" s="79"/>
      <c r="D329" s="80"/>
      <c r="E329" s="80"/>
      <c r="F329" s="81"/>
      <c r="G329" s="78"/>
      <c r="H329" s="82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</row>
    <row r="330" spans="1:23" ht="18" customHeight="1">
      <c r="A330" s="78"/>
      <c r="B330" s="78"/>
      <c r="C330" s="79"/>
      <c r="D330" s="80"/>
      <c r="E330" s="80"/>
      <c r="F330" s="81"/>
      <c r="G330" s="78"/>
      <c r="H330" s="82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</row>
    <row r="331" spans="1:23" ht="18" customHeight="1">
      <c r="A331" s="78"/>
      <c r="B331" s="78"/>
      <c r="C331" s="79"/>
      <c r="D331" s="80"/>
      <c r="E331" s="80"/>
      <c r="F331" s="81"/>
      <c r="G331" s="78"/>
      <c r="H331" s="82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</row>
    <row r="332" spans="1:23" ht="18" customHeight="1">
      <c r="A332" s="78"/>
      <c r="B332" s="78"/>
      <c r="C332" s="79"/>
      <c r="D332" s="80"/>
      <c r="E332" s="80"/>
      <c r="F332" s="81"/>
      <c r="G332" s="78"/>
      <c r="H332" s="82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</row>
    <row r="333" spans="1:23" ht="18" customHeight="1">
      <c r="A333" s="78"/>
      <c r="B333" s="78"/>
      <c r="C333" s="79"/>
      <c r="D333" s="80"/>
      <c r="E333" s="80"/>
      <c r="F333" s="81"/>
      <c r="G333" s="78"/>
      <c r="H333" s="82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</row>
    <row r="334" spans="1:23" ht="18" customHeight="1">
      <c r="A334" s="78"/>
      <c r="B334" s="78"/>
      <c r="C334" s="79"/>
      <c r="D334" s="80"/>
      <c r="E334" s="80"/>
      <c r="F334" s="81"/>
      <c r="G334" s="78"/>
      <c r="H334" s="82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</row>
    <row r="335" spans="1:23" ht="18" customHeight="1">
      <c r="A335" s="78"/>
      <c r="B335" s="78"/>
      <c r="C335" s="79"/>
      <c r="D335" s="80"/>
      <c r="E335" s="80"/>
      <c r="F335" s="81"/>
      <c r="G335" s="78"/>
      <c r="H335" s="82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</row>
    <row r="336" spans="1:23" ht="18" customHeight="1">
      <c r="A336" s="78"/>
      <c r="B336" s="78"/>
      <c r="C336" s="79"/>
      <c r="D336" s="80"/>
      <c r="E336" s="80"/>
      <c r="F336" s="81"/>
      <c r="G336" s="78"/>
      <c r="H336" s="82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</row>
    <row r="337" spans="1:23" ht="18" customHeight="1">
      <c r="A337" s="78"/>
      <c r="B337" s="78"/>
      <c r="C337" s="79"/>
      <c r="D337" s="80"/>
      <c r="E337" s="80"/>
      <c r="F337" s="81"/>
      <c r="G337" s="78"/>
      <c r="H337" s="82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</row>
    <row r="338" spans="1:23" ht="18" customHeight="1">
      <c r="A338" s="78"/>
      <c r="B338" s="78"/>
      <c r="C338" s="79"/>
      <c r="D338" s="80"/>
      <c r="E338" s="80"/>
      <c r="F338" s="81"/>
      <c r="G338" s="78"/>
      <c r="H338" s="82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</row>
    <row r="339" spans="1:23" ht="18" customHeight="1">
      <c r="A339" s="78"/>
      <c r="B339" s="78"/>
      <c r="C339" s="79"/>
      <c r="D339" s="80"/>
      <c r="E339" s="80"/>
      <c r="F339" s="81"/>
      <c r="G339" s="78"/>
      <c r="H339" s="82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</row>
    <row r="340" spans="1:23" ht="18" customHeight="1">
      <c r="A340" s="78"/>
      <c r="B340" s="78"/>
      <c r="C340" s="79"/>
      <c r="D340" s="80"/>
      <c r="E340" s="80"/>
      <c r="F340" s="81"/>
      <c r="G340" s="78"/>
      <c r="H340" s="82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</row>
    <row r="341" spans="1:23" ht="18" customHeight="1">
      <c r="A341" s="78"/>
      <c r="B341" s="78"/>
      <c r="C341" s="79"/>
      <c r="D341" s="80"/>
      <c r="E341" s="80"/>
      <c r="F341" s="81"/>
      <c r="G341" s="78"/>
      <c r="H341" s="82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</row>
    <row r="342" spans="1:23" ht="18" customHeight="1">
      <c r="A342" s="78"/>
      <c r="B342" s="78"/>
      <c r="C342" s="79"/>
      <c r="D342" s="80"/>
      <c r="E342" s="80"/>
      <c r="F342" s="81"/>
      <c r="G342" s="78"/>
      <c r="H342" s="82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</row>
    <row r="343" spans="1:23" ht="18" customHeight="1">
      <c r="A343" s="78"/>
      <c r="B343" s="78"/>
      <c r="C343" s="79"/>
      <c r="D343" s="80"/>
      <c r="E343" s="80"/>
      <c r="F343" s="81"/>
      <c r="G343" s="78"/>
      <c r="H343" s="82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</row>
    <row r="344" spans="1:23" ht="18" customHeight="1">
      <c r="A344" s="78"/>
      <c r="B344" s="78"/>
      <c r="C344" s="79"/>
      <c r="D344" s="80"/>
      <c r="E344" s="80"/>
      <c r="F344" s="81"/>
      <c r="G344" s="78"/>
      <c r="H344" s="82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</row>
    <row r="345" spans="1:23" ht="18" customHeight="1">
      <c r="A345" s="78"/>
      <c r="B345" s="78"/>
      <c r="C345" s="79"/>
      <c r="D345" s="80"/>
      <c r="E345" s="80"/>
      <c r="F345" s="81"/>
      <c r="G345" s="78"/>
      <c r="H345" s="82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</row>
    <row r="346" spans="1:23" ht="18" customHeight="1">
      <c r="A346" s="78"/>
      <c r="B346" s="78"/>
      <c r="C346" s="79"/>
      <c r="D346" s="80"/>
      <c r="E346" s="80"/>
      <c r="F346" s="81"/>
      <c r="G346" s="78"/>
      <c r="H346" s="82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</row>
    <row r="347" spans="1:23" ht="18" customHeight="1">
      <c r="A347" s="78"/>
      <c r="B347" s="78"/>
      <c r="C347" s="79"/>
      <c r="D347" s="80"/>
      <c r="E347" s="80"/>
      <c r="F347" s="81"/>
      <c r="G347" s="78"/>
      <c r="H347" s="82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</row>
    <row r="348" spans="1:23" ht="18" customHeight="1">
      <c r="A348" s="78"/>
      <c r="B348" s="78"/>
      <c r="C348" s="79"/>
      <c r="D348" s="80"/>
      <c r="E348" s="80"/>
      <c r="F348" s="81"/>
      <c r="G348" s="78"/>
      <c r="H348" s="82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</row>
    <row r="349" spans="1:23" ht="18" customHeight="1">
      <c r="A349" s="78"/>
      <c r="B349" s="78"/>
      <c r="C349" s="79"/>
      <c r="D349" s="80"/>
      <c r="E349" s="80"/>
      <c r="F349" s="81"/>
      <c r="G349" s="78"/>
      <c r="H349" s="82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</row>
    <row r="350" spans="1:23" ht="18" customHeight="1">
      <c r="A350" s="78"/>
      <c r="B350" s="78"/>
      <c r="C350" s="79"/>
      <c r="D350" s="80"/>
      <c r="E350" s="80"/>
      <c r="F350" s="81"/>
      <c r="G350" s="78"/>
      <c r="H350" s="82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</row>
    <row r="351" spans="1:23" ht="18" customHeight="1">
      <c r="A351" s="78"/>
      <c r="B351" s="78"/>
      <c r="C351" s="79"/>
      <c r="D351" s="80"/>
      <c r="E351" s="80"/>
      <c r="F351" s="81"/>
      <c r="G351" s="78"/>
      <c r="H351" s="82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</row>
    <row r="352" spans="1:23" ht="18" customHeight="1">
      <c r="A352" s="78"/>
      <c r="B352" s="78"/>
      <c r="C352" s="79"/>
      <c r="D352" s="80"/>
      <c r="E352" s="80"/>
      <c r="F352" s="81"/>
      <c r="G352" s="78"/>
      <c r="H352" s="82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</row>
    <row r="353" spans="1:23" ht="18" customHeight="1">
      <c r="A353" s="78"/>
      <c r="B353" s="78"/>
      <c r="C353" s="79"/>
      <c r="D353" s="80"/>
      <c r="E353" s="80"/>
      <c r="F353" s="81"/>
      <c r="G353" s="78"/>
      <c r="H353" s="82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</row>
    <row r="354" spans="1:23" ht="18" customHeight="1">
      <c r="A354" s="78"/>
      <c r="B354" s="78"/>
      <c r="C354" s="79"/>
      <c r="D354" s="80"/>
      <c r="E354" s="80"/>
      <c r="F354" s="81"/>
      <c r="G354" s="78"/>
      <c r="H354" s="82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</row>
    <row r="355" spans="1:23" ht="18" customHeight="1">
      <c r="A355" s="78"/>
      <c r="B355" s="78"/>
      <c r="C355" s="79"/>
      <c r="D355" s="80"/>
      <c r="E355" s="80"/>
      <c r="F355" s="81"/>
      <c r="G355" s="78"/>
      <c r="H355" s="82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</row>
    <row r="356" spans="1:23" ht="18" customHeight="1">
      <c r="A356" s="78"/>
      <c r="B356" s="78"/>
      <c r="C356" s="79"/>
      <c r="D356" s="80"/>
      <c r="E356" s="80"/>
      <c r="F356" s="81"/>
      <c r="G356" s="78"/>
      <c r="H356" s="82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</row>
    <row r="357" spans="1:23" ht="18" customHeight="1">
      <c r="A357" s="78"/>
      <c r="B357" s="78"/>
      <c r="C357" s="79"/>
      <c r="D357" s="80"/>
      <c r="E357" s="80"/>
      <c r="F357" s="81"/>
      <c r="G357" s="78"/>
      <c r="H357" s="82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</row>
    <row r="358" spans="1:23" ht="18" customHeight="1">
      <c r="A358" s="78"/>
      <c r="B358" s="78"/>
      <c r="C358" s="79"/>
      <c r="D358" s="80"/>
      <c r="E358" s="80"/>
      <c r="F358" s="81"/>
      <c r="G358" s="78"/>
      <c r="H358" s="82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</row>
    <row r="359" spans="1:23" ht="18" customHeight="1">
      <c r="A359" s="78"/>
      <c r="B359" s="78"/>
      <c r="C359" s="79"/>
      <c r="D359" s="80"/>
      <c r="E359" s="80"/>
      <c r="F359" s="81"/>
      <c r="G359" s="78"/>
      <c r="H359" s="82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</row>
    <row r="360" spans="1:23" ht="18" customHeight="1">
      <c r="A360" s="78"/>
      <c r="B360" s="78"/>
      <c r="C360" s="79"/>
      <c r="D360" s="80"/>
      <c r="E360" s="80"/>
      <c r="F360" s="81"/>
      <c r="G360" s="78"/>
      <c r="H360" s="82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</row>
    <row r="361" spans="1:23" ht="18" customHeight="1">
      <c r="A361" s="78"/>
      <c r="B361" s="78"/>
      <c r="C361" s="79"/>
      <c r="D361" s="80"/>
      <c r="E361" s="80"/>
      <c r="F361" s="81"/>
      <c r="G361" s="78"/>
      <c r="H361" s="82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</row>
    <row r="362" spans="1:23" ht="18" customHeight="1">
      <c r="A362" s="78"/>
      <c r="B362" s="78"/>
      <c r="C362" s="79"/>
      <c r="D362" s="80"/>
      <c r="E362" s="80"/>
      <c r="F362" s="81"/>
      <c r="G362" s="78"/>
      <c r="H362" s="82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</row>
    <row r="363" spans="1:23" ht="18" customHeight="1">
      <c r="A363" s="78"/>
      <c r="B363" s="78"/>
      <c r="C363" s="79"/>
      <c r="D363" s="80"/>
      <c r="E363" s="80"/>
      <c r="F363" s="81"/>
      <c r="G363" s="78"/>
      <c r="H363" s="82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</row>
    <row r="364" spans="1:23" ht="18" customHeight="1">
      <c r="A364" s="78"/>
      <c r="B364" s="78"/>
      <c r="C364" s="79"/>
      <c r="D364" s="80"/>
      <c r="E364" s="80"/>
      <c r="F364" s="81"/>
      <c r="G364" s="78"/>
      <c r="H364" s="82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</row>
    <row r="365" spans="1:23" ht="18" customHeight="1">
      <c r="A365" s="78"/>
      <c r="B365" s="78"/>
      <c r="C365" s="79"/>
      <c r="D365" s="80"/>
      <c r="E365" s="80"/>
      <c r="F365" s="81"/>
      <c r="G365" s="78"/>
      <c r="H365" s="82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</row>
    <row r="366" spans="1:23" ht="18" customHeight="1">
      <c r="A366" s="78"/>
      <c r="B366" s="78"/>
      <c r="C366" s="79"/>
      <c r="D366" s="80"/>
      <c r="E366" s="80"/>
      <c r="F366" s="81"/>
      <c r="G366" s="78"/>
      <c r="H366" s="82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</row>
    <row r="367" spans="1:23" ht="18" customHeight="1">
      <c r="A367" s="78"/>
      <c r="B367" s="78"/>
      <c r="C367" s="79"/>
      <c r="D367" s="80"/>
      <c r="E367" s="80"/>
      <c r="F367" s="81"/>
      <c r="G367" s="78"/>
      <c r="H367" s="82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</row>
    <row r="368" spans="1:23" ht="18" customHeight="1">
      <c r="A368" s="78"/>
      <c r="B368" s="78"/>
      <c r="C368" s="79"/>
      <c r="D368" s="80"/>
      <c r="E368" s="80"/>
      <c r="F368" s="81"/>
      <c r="G368" s="78"/>
      <c r="H368" s="82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</row>
    <row r="369" spans="1:23" ht="18" customHeight="1">
      <c r="A369" s="78"/>
      <c r="B369" s="78"/>
      <c r="C369" s="79"/>
      <c r="D369" s="80"/>
      <c r="E369" s="80"/>
      <c r="F369" s="81"/>
      <c r="G369" s="78"/>
      <c r="H369" s="82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</row>
    <row r="370" spans="1:23" ht="18" customHeight="1">
      <c r="A370" s="78"/>
      <c r="B370" s="78"/>
      <c r="C370" s="79"/>
      <c r="D370" s="80"/>
      <c r="E370" s="80"/>
      <c r="F370" s="81"/>
      <c r="G370" s="78"/>
      <c r="H370" s="82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</row>
    <row r="371" spans="1:23" ht="18" customHeight="1">
      <c r="A371" s="78"/>
      <c r="B371" s="78"/>
      <c r="C371" s="79"/>
      <c r="D371" s="80"/>
      <c r="E371" s="80"/>
      <c r="F371" s="81"/>
      <c r="G371" s="78"/>
      <c r="H371" s="82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</row>
    <row r="372" spans="1:23" ht="18" customHeight="1">
      <c r="A372" s="78"/>
      <c r="B372" s="78"/>
      <c r="C372" s="79"/>
      <c r="D372" s="80"/>
      <c r="E372" s="80"/>
      <c r="F372" s="81"/>
      <c r="G372" s="78"/>
      <c r="H372" s="82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</row>
    <row r="373" spans="1:23" ht="18" customHeight="1">
      <c r="A373" s="78"/>
      <c r="B373" s="78"/>
      <c r="C373" s="79"/>
      <c r="D373" s="80"/>
      <c r="E373" s="80"/>
      <c r="F373" s="81"/>
      <c r="G373" s="78"/>
      <c r="H373" s="82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</row>
    <row r="374" spans="1:23" ht="18" customHeight="1">
      <c r="A374" s="78"/>
      <c r="B374" s="78"/>
      <c r="C374" s="79"/>
      <c r="D374" s="80"/>
      <c r="E374" s="80"/>
      <c r="F374" s="81"/>
      <c r="G374" s="78"/>
      <c r="H374" s="82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</row>
    <row r="375" spans="1:23" ht="18" customHeight="1">
      <c r="A375" s="78"/>
      <c r="B375" s="78"/>
      <c r="C375" s="79"/>
      <c r="D375" s="80"/>
      <c r="E375" s="80"/>
      <c r="F375" s="81"/>
      <c r="G375" s="78"/>
      <c r="H375" s="82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</row>
    <row r="376" spans="1:23" ht="18" customHeight="1">
      <c r="A376" s="78"/>
      <c r="B376" s="78"/>
      <c r="C376" s="79"/>
      <c r="D376" s="80"/>
      <c r="E376" s="80"/>
      <c r="F376" s="81"/>
      <c r="G376" s="78"/>
      <c r="H376" s="82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</row>
    <row r="377" spans="1:23" ht="18" customHeight="1">
      <c r="A377" s="78"/>
      <c r="B377" s="78"/>
      <c r="C377" s="79"/>
      <c r="D377" s="80"/>
      <c r="E377" s="80"/>
      <c r="F377" s="81"/>
      <c r="G377" s="78"/>
      <c r="H377" s="82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</row>
    <row r="378" spans="1:23" ht="18" customHeight="1">
      <c r="A378" s="78"/>
      <c r="B378" s="78"/>
      <c r="C378" s="79"/>
      <c r="D378" s="80"/>
      <c r="E378" s="80"/>
      <c r="F378" s="81"/>
      <c r="G378" s="78"/>
      <c r="H378" s="82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</row>
    <row r="379" spans="1:23" ht="18" customHeight="1">
      <c r="A379" s="78"/>
      <c r="B379" s="78"/>
      <c r="C379" s="79"/>
      <c r="D379" s="80"/>
      <c r="E379" s="80"/>
      <c r="F379" s="81"/>
      <c r="G379" s="78"/>
      <c r="H379" s="82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</row>
    <row r="380" spans="1:23" ht="18" customHeight="1">
      <c r="A380" s="78"/>
      <c r="B380" s="78"/>
      <c r="C380" s="79"/>
      <c r="D380" s="80"/>
      <c r="E380" s="80"/>
      <c r="F380" s="81"/>
      <c r="G380" s="78"/>
      <c r="H380" s="82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</row>
    <row r="381" spans="1:23" ht="18" customHeight="1">
      <c r="A381" s="78"/>
      <c r="B381" s="78"/>
      <c r="C381" s="79"/>
      <c r="D381" s="80"/>
      <c r="E381" s="80"/>
      <c r="F381" s="81"/>
      <c r="G381" s="78"/>
      <c r="H381" s="82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</row>
    <row r="382" spans="1:23" ht="18" customHeight="1">
      <c r="A382" s="78"/>
      <c r="B382" s="78"/>
      <c r="C382" s="79"/>
      <c r="D382" s="80"/>
      <c r="E382" s="80"/>
      <c r="F382" s="81"/>
      <c r="G382" s="78"/>
      <c r="H382" s="82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</row>
    <row r="383" spans="1:23" ht="18" customHeight="1">
      <c r="A383" s="78"/>
      <c r="B383" s="78"/>
      <c r="C383" s="79"/>
      <c r="D383" s="80"/>
      <c r="E383" s="80"/>
      <c r="F383" s="81"/>
      <c r="G383" s="78"/>
      <c r="H383" s="82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</row>
    <row r="384" spans="1:23" ht="18" customHeight="1">
      <c r="A384" s="78"/>
      <c r="B384" s="78"/>
      <c r="C384" s="79"/>
      <c r="D384" s="80"/>
      <c r="E384" s="80"/>
      <c r="F384" s="81"/>
      <c r="G384" s="78"/>
      <c r="H384" s="82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</row>
    <row r="385" spans="1:23" ht="18" customHeight="1">
      <c r="A385" s="78"/>
      <c r="B385" s="78"/>
      <c r="C385" s="79"/>
      <c r="D385" s="80"/>
      <c r="E385" s="80"/>
      <c r="F385" s="81"/>
      <c r="G385" s="78"/>
      <c r="H385" s="82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</row>
    <row r="386" spans="1:23" ht="18" customHeight="1">
      <c r="A386" s="78"/>
      <c r="B386" s="78"/>
      <c r="C386" s="79"/>
      <c r="D386" s="80"/>
      <c r="E386" s="80"/>
      <c r="F386" s="81"/>
      <c r="G386" s="78"/>
      <c r="H386" s="82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</row>
    <row r="387" spans="1:23" ht="18" customHeight="1">
      <c r="A387" s="78"/>
      <c r="B387" s="78"/>
      <c r="C387" s="79"/>
      <c r="D387" s="80"/>
      <c r="E387" s="80"/>
      <c r="F387" s="81"/>
      <c r="G387" s="78"/>
      <c r="H387" s="82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</row>
    <row r="388" spans="1:23" ht="18" customHeight="1">
      <c r="A388" s="78"/>
      <c r="B388" s="78"/>
      <c r="C388" s="79"/>
      <c r="D388" s="80"/>
      <c r="E388" s="80"/>
      <c r="F388" s="81"/>
      <c r="G388" s="78"/>
      <c r="H388" s="82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</row>
    <row r="389" spans="1:23" ht="18" customHeight="1">
      <c r="A389" s="78"/>
      <c r="B389" s="78"/>
      <c r="C389" s="79"/>
      <c r="D389" s="80"/>
      <c r="E389" s="80"/>
      <c r="F389" s="81"/>
      <c r="G389" s="78"/>
      <c r="H389" s="82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</row>
    <row r="390" spans="1:23" ht="18" customHeight="1">
      <c r="A390" s="78"/>
      <c r="B390" s="78"/>
      <c r="C390" s="79"/>
      <c r="D390" s="80"/>
      <c r="E390" s="80"/>
      <c r="F390" s="81"/>
      <c r="G390" s="78"/>
      <c r="H390" s="82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</row>
    <row r="391" spans="1:23" ht="18" customHeight="1">
      <c r="A391" s="78"/>
      <c r="B391" s="78"/>
      <c r="C391" s="79"/>
      <c r="D391" s="80"/>
      <c r="E391" s="80"/>
      <c r="F391" s="81"/>
      <c r="G391" s="78"/>
      <c r="H391" s="82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</row>
    <row r="392" spans="1:23" ht="18" customHeight="1">
      <c r="A392" s="78"/>
      <c r="B392" s="78"/>
      <c r="C392" s="79"/>
      <c r="D392" s="80"/>
      <c r="E392" s="80"/>
      <c r="F392" s="81"/>
      <c r="G392" s="78"/>
      <c r="H392" s="82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</row>
    <row r="393" spans="1:23" ht="18" customHeight="1">
      <c r="A393" s="78"/>
      <c r="B393" s="78"/>
      <c r="C393" s="79"/>
      <c r="D393" s="80"/>
      <c r="E393" s="80"/>
      <c r="F393" s="81"/>
      <c r="G393" s="78"/>
      <c r="H393" s="82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</row>
    <row r="394" spans="1:23" ht="18" customHeight="1">
      <c r="A394" s="78"/>
      <c r="B394" s="78"/>
      <c r="C394" s="79"/>
      <c r="D394" s="80"/>
      <c r="E394" s="80"/>
      <c r="F394" s="81"/>
      <c r="G394" s="78"/>
      <c r="H394" s="82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</row>
    <row r="395" spans="1:23" ht="18" customHeight="1">
      <c r="A395" s="78"/>
      <c r="B395" s="78"/>
      <c r="C395" s="79"/>
      <c r="D395" s="80"/>
      <c r="E395" s="80"/>
      <c r="F395" s="81"/>
      <c r="G395" s="78"/>
      <c r="H395" s="82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</row>
    <row r="396" spans="1:23" ht="18" customHeight="1">
      <c r="A396" s="78"/>
      <c r="B396" s="78"/>
      <c r="C396" s="79"/>
      <c r="D396" s="80"/>
      <c r="E396" s="80"/>
      <c r="F396" s="81"/>
      <c r="G396" s="78"/>
      <c r="H396" s="82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</row>
    <row r="397" spans="1:23" ht="18" customHeight="1">
      <c r="A397" s="78"/>
      <c r="B397" s="78"/>
      <c r="C397" s="79"/>
      <c r="D397" s="80"/>
      <c r="E397" s="80"/>
      <c r="F397" s="81"/>
      <c r="G397" s="78"/>
      <c r="H397" s="82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</row>
    <row r="398" spans="1:23" ht="18" customHeight="1">
      <c r="A398" s="78"/>
      <c r="B398" s="78"/>
      <c r="C398" s="79"/>
      <c r="D398" s="80"/>
      <c r="E398" s="80"/>
      <c r="F398" s="81"/>
      <c r="G398" s="78"/>
      <c r="H398" s="82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</row>
    <row r="399" spans="1:23" ht="18" customHeight="1">
      <c r="A399" s="78"/>
      <c r="B399" s="78"/>
      <c r="C399" s="79"/>
      <c r="D399" s="80"/>
      <c r="E399" s="80"/>
      <c r="F399" s="81"/>
      <c r="G399" s="78"/>
      <c r="H399" s="82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</row>
    <row r="400" spans="1:23" ht="18" customHeight="1">
      <c r="A400" s="78"/>
      <c r="B400" s="78"/>
      <c r="C400" s="79"/>
      <c r="D400" s="80"/>
      <c r="E400" s="80"/>
      <c r="F400" s="81"/>
      <c r="G400" s="78"/>
      <c r="H400" s="82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</row>
    <row r="401" spans="1:23" ht="18" customHeight="1">
      <c r="A401" s="78"/>
      <c r="B401" s="78"/>
      <c r="C401" s="79"/>
      <c r="D401" s="80"/>
      <c r="E401" s="80"/>
      <c r="F401" s="81"/>
      <c r="G401" s="78"/>
      <c r="H401" s="82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</row>
    <row r="402" spans="1:23" ht="18" customHeight="1">
      <c r="A402" s="78"/>
      <c r="B402" s="78"/>
      <c r="C402" s="79"/>
      <c r="D402" s="80"/>
      <c r="E402" s="80"/>
      <c r="F402" s="81"/>
      <c r="G402" s="78"/>
      <c r="H402" s="82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</row>
    <row r="403" spans="1:23" ht="18" customHeight="1">
      <c r="A403" s="78"/>
      <c r="B403" s="78"/>
      <c r="C403" s="79"/>
      <c r="D403" s="80"/>
      <c r="E403" s="80"/>
      <c r="F403" s="81"/>
      <c r="G403" s="78"/>
      <c r="H403" s="82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</row>
    <row r="404" spans="1:23" ht="18" customHeight="1">
      <c r="A404" s="78"/>
      <c r="B404" s="78"/>
      <c r="C404" s="79"/>
      <c r="D404" s="80"/>
      <c r="E404" s="80"/>
      <c r="F404" s="81"/>
      <c r="G404" s="78"/>
      <c r="H404" s="82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</row>
    <row r="405" spans="1:23" ht="18" customHeight="1">
      <c r="A405" s="78"/>
      <c r="B405" s="78"/>
      <c r="C405" s="79"/>
      <c r="D405" s="80"/>
      <c r="E405" s="80"/>
      <c r="F405" s="81"/>
      <c r="G405" s="78"/>
      <c r="H405" s="82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</row>
    <row r="406" spans="1:23" ht="18" customHeight="1">
      <c r="A406" s="78"/>
      <c r="B406" s="78"/>
      <c r="C406" s="79"/>
      <c r="D406" s="80"/>
      <c r="E406" s="80"/>
      <c r="F406" s="81"/>
      <c r="G406" s="78"/>
      <c r="H406" s="82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</row>
    <row r="407" spans="1:23" ht="18" customHeight="1">
      <c r="A407" s="78"/>
      <c r="B407" s="78"/>
      <c r="C407" s="79"/>
      <c r="D407" s="80"/>
      <c r="E407" s="80"/>
      <c r="F407" s="81"/>
      <c r="G407" s="78"/>
      <c r="H407" s="82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</row>
    <row r="408" spans="1:23" ht="18" customHeight="1">
      <c r="A408" s="78"/>
      <c r="B408" s="78"/>
      <c r="C408" s="79"/>
      <c r="D408" s="80"/>
      <c r="E408" s="80"/>
      <c r="F408" s="81"/>
      <c r="G408" s="78"/>
      <c r="H408" s="82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</row>
    <row r="409" spans="1:23" ht="18" customHeight="1">
      <c r="A409" s="78"/>
      <c r="B409" s="78"/>
      <c r="C409" s="79"/>
      <c r="D409" s="80"/>
      <c r="E409" s="80"/>
      <c r="F409" s="81"/>
      <c r="G409" s="78"/>
      <c r="H409" s="82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</row>
    <row r="410" spans="1:23" ht="18" customHeight="1">
      <c r="A410" s="78"/>
      <c r="B410" s="78"/>
      <c r="C410" s="79"/>
      <c r="D410" s="80"/>
      <c r="E410" s="80"/>
      <c r="F410" s="81"/>
      <c r="G410" s="78"/>
      <c r="H410" s="82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</row>
    <row r="411" spans="1:23" ht="18" customHeight="1">
      <c r="A411" s="78"/>
      <c r="B411" s="78"/>
      <c r="C411" s="79"/>
      <c r="D411" s="80"/>
      <c r="E411" s="80"/>
      <c r="F411" s="81"/>
      <c r="G411" s="78"/>
      <c r="H411" s="82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</row>
    <row r="412" spans="1:23" ht="18" customHeight="1">
      <c r="A412" s="78"/>
      <c r="B412" s="78"/>
      <c r="C412" s="79"/>
      <c r="D412" s="80"/>
      <c r="E412" s="80"/>
      <c r="F412" s="81"/>
      <c r="G412" s="78"/>
      <c r="H412" s="82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</row>
    <row r="413" spans="1:23" ht="18" customHeight="1">
      <c r="A413" s="78"/>
      <c r="B413" s="78"/>
      <c r="C413" s="79"/>
      <c r="D413" s="80"/>
      <c r="E413" s="80"/>
      <c r="F413" s="81"/>
      <c r="G413" s="78"/>
      <c r="H413" s="82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</row>
    <row r="414" spans="1:23" ht="18" customHeight="1">
      <c r="A414" s="78"/>
      <c r="B414" s="78"/>
      <c r="C414" s="79"/>
      <c r="D414" s="80"/>
      <c r="E414" s="80"/>
      <c r="F414" s="81"/>
      <c r="G414" s="78"/>
      <c r="H414" s="82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</row>
    <row r="415" spans="1:23" ht="18" customHeight="1">
      <c r="A415" s="78"/>
      <c r="B415" s="78"/>
      <c r="C415" s="79"/>
      <c r="D415" s="80"/>
      <c r="E415" s="80"/>
      <c r="F415" s="81"/>
      <c r="G415" s="78"/>
      <c r="H415" s="82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</row>
    <row r="416" spans="1:23" ht="18" customHeight="1">
      <c r="A416" s="78"/>
      <c r="B416" s="78"/>
      <c r="C416" s="79"/>
      <c r="D416" s="80"/>
      <c r="E416" s="80"/>
      <c r="F416" s="81"/>
      <c r="G416" s="78"/>
      <c r="H416" s="82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</row>
    <row r="417" spans="1:23" ht="18" customHeight="1">
      <c r="A417" s="78"/>
      <c r="B417" s="78"/>
      <c r="C417" s="79"/>
      <c r="D417" s="80"/>
      <c r="E417" s="80"/>
      <c r="F417" s="81"/>
      <c r="G417" s="78"/>
      <c r="H417" s="82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</row>
    <row r="418" spans="1:23" ht="18" customHeight="1">
      <c r="A418" s="78"/>
      <c r="B418" s="78"/>
      <c r="C418" s="79"/>
      <c r="D418" s="80"/>
      <c r="E418" s="80"/>
      <c r="F418" s="81"/>
      <c r="G418" s="78"/>
      <c r="H418" s="82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</row>
    <row r="419" spans="1:23" ht="18" customHeight="1">
      <c r="A419" s="78"/>
      <c r="B419" s="78"/>
      <c r="C419" s="79"/>
      <c r="D419" s="80"/>
      <c r="E419" s="80"/>
      <c r="F419" s="81"/>
      <c r="G419" s="78"/>
      <c r="H419" s="82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</row>
    <row r="420" spans="1:23" ht="18" customHeight="1">
      <c r="A420" s="78"/>
      <c r="B420" s="78"/>
      <c r="C420" s="79"/>
      <c r="D420" s="80"/>
      <c r="E420" s="80"/>
      <c r="F420" s="81"/>
      <c r="G420" s="78"/>
      <c r="H420" s="82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</row>
    <row r="421" spans="1:23" ht="18" customHeight="1">
      <c r="A421" s="78"/>
      <c r="B421" s="78"/>
      <c r="C421" s="79"/>
      <c r="D421" s="80"/>
      <c r="E421" s="80"/>
      <c r="F421" s="81"/>
      <c r="G421" s="78"/>
      <c r="H421" s="82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</row>
    <row r="422" spans="1:23" ht="18" customHeight="1">
      <c r="A422" s="78"/>
      <c r="B422" s="78"/>
      <c r="C422" s="79"/>
      <c r="D422" s="80"/>
      <c r="E422" s="80"/>
      <c r="F422" s="81"/>
      <c r="G422" s="78"/>
      <c r="H422" s="82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</row>
    <row r="423" spans="1:23" ht="18" customHeight="1">
      <c r="A423" s="78"/>
      <c r="B423" s="78"/>
      <c r="C423" s="79"/>
      <c r="D423" s="80"/>
      <c r="E423" s="80"/>
      <c r="F423" s="81"/>
      <c r="G423" s="78"/>
      <c r="H423" s="82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</row>
    <row r="424" spans="1:23" ht="18" customHeight="1">
      <c r="A424" s="78"/>
      <c r="B424" s="78"/>
      <c r="C424" s="79"/>
      <c r="D424" s="80"/>
      <c r="E424" s="80"/>
      <c r="F424" s="81"/>
      <c r="G424" s="78"/>
      <c r="H424" s="82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</row>
    <row r="425" spans="1:23" ht="18" customHeight="1">
      <c r="A425" s="78"/>
      <c r="B425" s="78"/>
      <c r="C425" s="79"/>
      <c r="D425" s="80"/>
      <c r="E425" s="80"/>
      <c r="F425" s="81"/>
      <c r="G425" s="78"/>
      <c r="H425" s="82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</row>
    <row r="426" spans="1:23" ht="18" customHeight="1">
      <c r="A426" s="78"/>
      <c r="B426" s="78"/>
      <c r="C426" s="79"/>
      <c r="D426" s="80"/>
      <c r="E426" s="80"/>
      <c r="F426" s="81"/>
      <c r="G426" s="78"/>
      <c r="H426" s="82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</row>
    <row r="427" spans="1:23" ht="18" customHeight="1">
      <c r="A427" s="78"/>
      <c r="B427" s="78"/>
      <c r="C427" s="79"/>
      <c r="D427" s="80"/>
      <c r="E427" s="80"/>
      <c r="F427" s="81"/>
      <c r="G427" s="78"/>
      <c r="H427" s="82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</row>
    <row r="428" spans="1:23" ht="18" customHeight="1">
      <c r="A428" s="78"/>
      <c r="B428" s="78"/>
      <c r="C428" s="79"/>
      <c r="D428" s="80"/>
      <c r="E428" s="80"/>
      <c r="F428" s="81"/>
      <c r="G428" s="78"/>
      <c r="H428" s="82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</row>
    <row r="429" spans="1:23" ht="18" customHeight="1">
      <c r="A429" s="78"/>
      <c r="B429" s="78"/>
      <c r="C429" s="79"/>
      <c r="D429" s="80"/>
      <c r="E429" s="80"/>
      <c r="F429" s="81"/>
      <c r="G429" s="78"/>
      <c r="H429" s="82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</row>
    <row r="430" spans="1:23" ht="18" customHeight="1">
      <c r="A430" s="78"/>
      <c r="B430" s="78"/>
      <c r="C430" s="79"/>
      <c r="D430" s="80"/>
      <c r="E430" s="80"/>
      <c r="F430" s="81"/>
      <c r="G430" s="78"/>
      <c r="H430" s="82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</row>
    <row r="431" spans="1:23" ht="18" customHeight="1">
      <c r="A431" s="78"/>
      <c r="B431" s="78"/>
      <c r="C431" s="79"/>
      <c r="D431" s="80"/>
      <c r="E431" s="80"/>
      <c r="F431" s="81"/>
      <c r="G431" s="78"/>
      <c r="H431" s="82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</row>
    <row r="432" spans="1:23" ht="18" customHeight="1">
      <c r="A432" s="78"/>
      <c r="B432" s="78"/>
      <c r="C432" s="79"/>
      <c r="D432" s="80"/>
      <c r="E432" s="80"/>
      <c r="F432" s="81"/>
      <c r="G432" s="78"/>
      <c r="H432" s="82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</row>
    <row r="433" spans="1:23" ht="18" customHeight="1">
      <c r="A433" s="78"/>
      <c r="B433" s="78"/>
      <c r="C433" s="79"/>
      <c r="D433" s="80"/>
      <c r="E433" s="80"/>
      <c r="F433" s="81"/>
      <c r="G433" s="78"/>
      <c r="H433" s="82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</row>
    <row r="434" spans="1:23" ht="18" customHeight="1">
      <c r="A434" s="78"/>
      <c r="B434" s="78"/>
      <c r="C434" s="79"/>
      <c r="D434" s="80"/>
      <c r="E434" s="80"/>
      <c r="F434" s="81"/>
      <c r="G434" s="78"/>
      <c r="H434" s="82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</row>
    <row r="435" spans="1:23" ht="18" customHeight="1">
      <c r="A435" s="78"/>
      <c r="B435" s="78"/>
      <c r="C435" s="79"/>
      <c r="D435" s="80"/>
      <c r="E435" s="80"/>
      <c r="F435" s="81"/>
      <c r="G435" s="78"/>
      <c r="H435" s="82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</row>
    <row r="436" spans="1:23" ht="18" customHeight="1">
      <c r="A436" s="78"/>
      <c r="B436" s="78"/>
      <c r="C436" s="79"/>
      <c r="D436" s="80"/>
      <c r="E436" s="80"/>
      <c r="F436" s="81"/>
      <c r="G436" s="78"/>
      <c r="H436" s="82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</row>
    <row r="437" spans="1:23" ht="18" customHeight="1">
      <c r="A437" s="78"/>
      <c r="B437" s="78"/>
      <c r="C437" s="79"/>
      <c r="D437" s="80"/>
      <c r="E437" s="80"/>
      <c r="F437" s="81"/>
      <c r="G437" s="78"/>
      <c r="H437" s="82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</row>
    <row r="438" spans="1:23" ht="18" customHeight="1">
      <c r="A438" s="78"/>
      <c r="B438" s="78"/>
      <c r="C438" s="79"/>
      <c r="D438" s="80"/>
      <c r="E438" s="80"/>
      <c r="F438" s="81"/>
      <c r="G438" s="78"/>
      <c r="H438" s="82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</row>
    <row r="439" spans="1:23" ht="18" customHeight="1">
      <c r="A439" s="78"/>
      <c r="B439" s="78"/>
      <c r="C439" s="79"/>
      <c r="D439" s="80"/>
      <c r="E439" s="80"/>
      <c r="F439" s="81"/>
      <c r="G439" s="78"/>
      <c r="H439" s="82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</row>
    <row r="440" spans="1:23" ht="18" customHeight="1">
      <c r="A440" s="78"/>
      <c r="B440" s="78"/>
      <c r="C440" s="79"/>
      <c r="D440" s="80"/>
      <c r="E440" s="80"/>
      <c r="F440" s="81"/>
      <c r="G440" s="78"/>
      <c r="H440" s="82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</row>
    <row r="441" spans="1:23" ht="18" customHeight="1">
      <c r="A441" s="78"/>
      <c r="B441" s="78"/>
      <c r="C441" s="79"/>
      <c r="D441" s="80"/>
      <c r="E441" s="80"/>
      <c r="F441" s="81"/>
      <c r="G441" s="78"/>
      <c r="H441" s="82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</row>
    <row r="442" spans="1:23" ht="18" customHeight="1">
      <c r="A442" s="78"/>
      <c r="B442" s="78"/>
      <c r="C442" s="79"/>
      <c r="D442" s="80"/>
      <c r="E442" s="80"/>
      <c r="F442" s="81"/>
      <c r="G442" s="78"/>
      <c r="H442" s="82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</row>
    <row r="443" spans="1:23" ht="18" customHeight="1">
      <c r="A443" s="78"/>
      <c r="B443" s="78"/>
      <c r="C443" s="79"/>
      <c r="D443" s="80"/>
      <c r="E443" s="80"/>
      <c r="F443" s="81"/>
      <c r="G443" s="78"/>
      <c r="H443" s="82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</row>
    <row r="444" spans="1:23" ht="18" customHeight="1">
      <c r="A444" s="78"/>
      <c r="B444" s="78"/>
      <c r="C444" s="79"/>
      <c r="D444" s="80"/>
      <c r="E444" s="80"/>
      <c r="F444" s="81"/>
      <c r="G444" s="78"/>
      <c r="H444" s="82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</row>
    <row r="445" spans="1:23" ht="18" customHeight="1">
      <c r="A445" s="78"/>
      <c r="B445" s="78"/>
      <c r="C445" s="79"/>
      <c r="D445" s="80"/>
      <c r="E445" s="80"/>
      <c r="F445" s="81"/>
      <c r="G445" s="78"/>
      <c r="H445" s="82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</row>
    <row r="446" spans="1:23" ht="18" customHeight="1">
      <c r="A446" s="78"/>
      <c r="B446" s="78"/>
      <c r="C446" s="79"/>
      <c r="D446" s="80"/>
      <c r="E446" s="80"/>
      <c r="F446" s="81"/>
      <c r="G446" s="78"/>
      <c r="H446" s="82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</row>
    <row r="447" spans="1:23" ht="18" customHeight="1">
      <c r="A447" s="78"/>
      <c r="B447" s="78"/>
      <c r="C447" s="79"/>
      <c r="D447" s="80"/>
      <c r="E447" s="80"/>
      <c r="F447" s="81"/>
      <c r="G447" s="78"/>
      <c r="H447" s="82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</row>
    <row r="448" spans="1:23" ht="18" customHeight="1">
      <c r="A448" s="78"/>
      <c r="B448" s="78"/>
      <c r="C448" s="79"/>
      <c r="D448" s="80"/>
      <c r="E448" s="80"/>
      <c r="F448" s="81"/>
      <c r="G448" s="78"/>
      <c r="H448" s="82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</row>
    <row r="449" spans="1:23" ht="18" customHeight="1">
      <c r="A449" s="78"/>
      <c r="B449" s="78"/>
      <c r="C449" s="79"/>
      <c r="D449" s="80"/>
      <c r="E449" s="80"/>
      <c r="F449" s="81"/>
      <c r="G449" s="78"/>
      <c r="H449" s="82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</row>
    <row r="450" spans="1:23" ht="18" customHeight="1">
      <c r="A450" s="78"/>
      <c r="B450" s="78"/>
      <c r="C450" s="79"/>
      <c r="D450" s="80"/>
      <c r="E450" s="80"/>
      <c r="F450" s="81"/>
      <c r="G450" s="78"/>
      <c r="H450" s="82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</row>
    <row r="451" spans="1:23" ht="18" customHeight="1">
      <c r="A451" s="78"/>
      <c r="B451" s="78"/>
      <c r="C451" s="79"/>
      <c r="D451" s="80"/>
      <c r="E451" s="80"/>
      <c r="F451" s="81"/>
      <c r="G451" s="78"/>
      <c r="H451" s="82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</row>
    <row r="452" spans="1:23" ht="18" customHeight="1">
      <c r="A452" s="78"/>
      <c r="B452" s="78"/>
      <c r="C452" s="79"/>
      <c r="D452" s="80"/>
      <c r="E452" s="80"/>
      <c r="F452" s="81"/>
      <c r="G452" s="78"/>
      <c r="H452" s="82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</row>
    <row r="453" spans="1:23" ht="18" customHeight="1">
      <c r="A453" s="78"/>
      <c r="B453" s="78"/>
      <c r="C453" s="79"/>
      <c r="D453" s="80"/>
      <c r="E453" s="80"/>
      <c r="F453" s="81"/>
      <c r="G453" s="78"/>
      <c r="H453" s="82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</row>
    <row r="454" spans="1:23" ht="18" customHeight="1">
      <c r="A454" s="78"/>
      <c r="B454" s="78"/>
      <c r="C454" s="79"/>
      <c r="D454" s="80"/>
      <c r="E454" s="80"/>
      <c r="F454" s="81"/>
      <c r="G454" s="78"/>
      <c r="H454" s="82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</row>
    <row r="455" spans="1:23" ht="18" customHeight="1">
      <c r="A455" s="78"/>
      <c r="B455" s="78"/>
      <c r="C455" s="79"/>
      <c r="D455" s="80"/>
      <c r="E455" s="80"/>
      <c r="F455" s="81"/>
      <c r="G455" s="78"/>
      <c r="H455" s="82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</row>
    <row r="456" spans="1:23" ht="18" customHeight="1">
      <c r="A456" s="78"/>
      <c r="B456" s="78"/>
      <c r="C456" s="79"/>
      <c r="D456" s="80"/>
      <c r="E456" s="80"/>
      <c r="F456" s="81"/>
      <c r="G456" s="78"/>
      <c r="H456" s="82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</row>
    <row r="457" spans="1:23" ht="18" customHeight="1">
      <c r="A457" s="78"/>
      <c r="B457" s="78"/>
      <c r="C457" s="79"/>
      <c r="D457" s="80"/>
      <c r="E457" s="80"/>
      <c r="F457" s="81"/>
      <c r="G457" s="78"/>
      <c r="H457" s="82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</row>
    <row r="458" spans="1:23" ht="18" customHeight="1">
      <c r="A458" s="78"/>
      <c r="B458" s="78"/>
      <c r="C458" s="79"/>
      <c r="D458" s="80"/>
      <c r="E458" s="80"/>
      <c r="F458" s="81"/>
      <c r="G458" s="78"/>
      <c r="H458" s="82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</row>
    <row r="459" spans="1:23" ht="18" customHeight="1">
      <c r="A459" s="78"/>
      <c r="B459" s="78"/>
      <c r="C459" s="79"/>
      <c r="D459" s="80"/>
      <c r="E459" s="80"/>
      <c r="F459" s="81"/>
      <c r="G459" s="78"/>
      <c r="H459" s="82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</row>
    <row r="460" spans="1:23" ht="18" customHeight="1">
      <c r="A460" s="78"/>
      <c r="B460" s="78"/>
      <c r="C460" s="79"/>
      <c r="D460" s="80"/>
      <c r="E460" s="80"/>
      <c r="F460" s="81"/>
      <c r="G460" s="78"/>
      <c r="H460" s="82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</row>
    <row r="461" spans="1:23" ht="18" customHeight="1">
      <c r="A461" s="78"/>
      <c r="B461" s="78"/>
      <c r="C461" s="79"/>
      <c r="D461" s="80"/>
      <c r="E461" s="80"/>
      <c r="F461" s="81"/>
      <c r="G461" s="78"/>
      <c r="H461" s="82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</row>
    <row r="462" spans="1:23" ht="18" customHeight="1">
      <c r="A462" s="78"/>
      <c r="B462" s="78"/>
      <c r="C462" s="79"/>
      <c r="D462" s="80"/>
      <c r="E462" s="80"/>
      <c r="F462" s="81"/>
      <c r="G462" s="78"/>
      <c r="H462" s="82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</row>
    <row r="463" spans="1:23" ht="18" customHeight="1">
      <c r="A463" s="78"/>
      <c r="B463" s="78"/>
      <c r="C463" s="79"/>
      <c r="D463" s="80"/>
      <c r="E463" s="80"/>
      <c r="F463" s="81"/>
      <c r="G463" s="78"/>
      <c r="H463" s="82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</row>
    <row r="464" spans="1:23" ht="18" customHeight="1">
      <c r="A464" s="78"/>
      <c r="B464" s="78"/>
      <c r="C464" s="79"/>
      <c r="D464" s="80"/>
      <c r="E464" s="80"/>
      <c r="F464" s="81"/>
      <c r="G464" s="78"/>
      <c r="H464" s="82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</row>
    <row r="465" spans="1:23" ht="18" customHeight="1">
      <c r="A465" s="78"/>
      <c r="B465" s="78"/>
      <c r="C465" s="79"/>
      <c r="D465" s="80"/>
      <c r="E465" s="80"/>
      <c r="F465" s="81"/>
      <c r="G465" s="78"/>
      <c r="H465" s="82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</row>
    <row r="466" spans="1:23" ht="18" customHeight="1">
      <c r="A466" s="78"/>
      <c r="B466" s="78"/>
      <c r="C466" s="79"/>
      <c r="D466" s="80"/>
      <c r="E466" s="80"/>
      <c r="F466" s="81"/>
      <c r="G466" s="78"/>
      <c r="H466" s="82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</row>
    <row r="467" spans="1:23" ht="18" customHeight="1">
      <c r="A467" s="78"/>
      <c r="B467" s="78"/>
      <c r="C467" s="79"/>
      <c r="D467" s="80"/>
      <c r="E467" s="80"/>
      <c r="F467" s="81"/>
      <c r="G467" s="78"/>
      <c r="H467" s="82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</row>
    <row r="468" spans="1:23" ht="18" customHeight="1">
      <c r="A468" s="78"/>
      <c r="B468" s="78"/>
      <c r="C468" s="79"/>
      <c r="D468" s="80"/>
      <c r="E468" s="80"/>
      <c r="F468" s="81"/>
      <c r="G468" s="78"/>
      <c r="H468" s="82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</row>
    <row r="469" spans="1:23" ht="18" customHeight="1">
      <c r="A469" s="78"/>
      <c r="B469" s="78"/>
      <c r="C469" s="79"/>
      <c r="D469" s="80"/>
      <c r="E469" s="80"/>
      <c r="F469" s="81"/>
      <c r="G469" s="78"/>
      <c r="H469" s="82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</row>
    <row r="470" spans="1:23" ht="18" customHeight="1">
      <c r="A470" s="78"/>
      <c r="B470" s="78"/>
      <c r="C470" s="79"/>
      <c r="D470" s="80"/>
      <c r="E470" s="80"/>
      <c r="F470" s="81"/>
      <c r="G470" s="78"/>
      <c r="H470" s="82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</row>
    <row r="471" spans="1:23" ht="18" customHeight="1">
      <c r="A471" s="78"/>
      <c r="B471" s="78"/>
      <c r="C471" s="79"/>
      <c r="D471" s="80"/>
      <c r="E471" s="80"/>
      <c r="F471" s="81"/>
      <c r="G471" s="78"/>
      <c r="H471" s="82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</row>
    <row r="472" spans="1:23" ht="18" customHeight="1">
      <c r="A472" s="78"/>
      <c r="B472" s="78"/>
      <c r="C472" s="79"/>
      <c r="D472" s="80"/>
      <c r="E472" s="80"/>
      <c r="F472" s="81"/>
      <c r="G472" s="78"/>
      <c r="H472" s="82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</row>
    <row r="473" spans="1:23" ht="18" customHeight="1">
      <c r="A473" s="78"/>
      <c r="B473" s="78"/>
      <c r="C473" s="79"/>
      <c r="D473" s="80"/>
      <c r="E473" s="80"/>
      <c r="F473" s="81"/>
      <c r="G473" s="78"/>
      <c r="H473" s="82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</row>
    <row r="474" spans="1:23" ht="18" customHeight="1">
      <c r="A474" s="78"/>
      <c r="B474" s="78"/>
      <c r="C474" s="79"/>
      <c r="D474" s="80"/>
      <c r="E474" s="80"/>
      <c r="F474" s="81"/>
      <c r="G474" s="78"/>
      <c r="H474" s="82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</row>
    <row r="475" spans="1:23" ht="18" customHeight="1">
      <c r="A475" s="78"/>
      <c r="B475" s="78"/>
      <c r="C475" s="79"/>
      <c r="D475" s="80"/>
      <c r="E475" s="80"/>
      <c r="F475" s="81"/>
      <c r="G475" s="78"/>
      <c r="H475" s="82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</row>
    <row r="476" spans="1:23" ht="18" customHeight="1">
      <c r="A476" s="78"/>
      <c r="B476" s="78"/>
      <c r="C476" s="79"/>
      <c r="D476" s="80"/>
      <c r="E476" s="80"/>
      <c r="F476" s="81"/>
      <c r="G476" s="78"/>
      <c r="H476" s="82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</row>
    <row r="477" spans="1:23" ht="18" customHeight="1">
      <c r="A477" s="78"/>
      <c r="B477" s="78"/>
      <c r="C477" s="79"/>
      <c r="D477" s="80"/>
      <c r="E477" s="80"/>
      <c r="F477" s="81"/>
      <c r="G477" s="78"/>
      <c r="H477" s="82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</row>
    <row r="478" spans="1:23" ht="18" customHeight="1">
      <c r="A478" s="78"/>
      <c r="B478" s="78"/>
      <c r="C478" s="79"/>
      <c r="D478" s="80"/>
      <c r="E478" s="80"/>
      <c r="F478" s="81"/>
      <c r="G478" s="78"/>
      <c r="H478" s="82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</row>
    <row r="479" spans="1:23" ht="18" customHeight="1">
      <c r="A479" s="78"/>
      <c r="B479" s="78"/>
      <c r="C479" s="79"/>
      <c r="D479" s="80"/>
      <c r="E479" s="80"/>
      <c r="F479" s="81"/>
      <c r="G479" s="78"/>
      <c r="H479" s="82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</row>
    <row r="480" spans="1:23" ht="18" customHeight="1">
      <c r="A480" s="78"/>
      <c r="B480" s="78"/>
      <c r="C480" s="79"/>
      <c r="D480" s="80"/>
      <c r="E480" s="80"/>
      <c r="F480" s="81"/>
      <c r="G480" s="78"/>
      <c r="H480" s="82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</row>
    <row r="481" spans="1:23" ht="18" customHeight="1">
      <c r="A481" s="78"/>
      <c r="B481" s="78"/>
      <c r="C481" s="79"/>
      <c r="D481" s="80"/>
      <c r="E481" s="80"/>
      <c r="F481" s="81"/>
      <c r="G481" s="78"/>
      <c r="H481" s="82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</row>
    <row r="482" spans="1:23" ht="18" customHeight="1">
      <c r="A482" s="78"/>
      <c r="B482" s="78"/>
      <c r="C482" s="79"/>
      <c r="D482" s="80"/>
      <c r="E482" s="80"/>
      <c r="F482" s="81"/>
      <c r="G482" s="78"/>
      <c r="H482" s="82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</row>
    <row r="483" spans="1:23" ht="18" customHeight="1">
      <c r="A483" s="78"/>
      <c r="B483" s="78"/>
      <c r="C483" s="79"/>
      <c r="D483" s="80"/>
      <c r="E483" s="80"/>
      <c r="F483" s="81"/>
      <c r="G483" s="78"/>
      <c r="H483" s="82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</row>
    <row r="484" spans="1:23" ht="18" customHeight="1">
      <c r="A484" s="78"/>
      <c r="B484" s="78"/>
      <c r="C484" s="79"/>
      <c r="D484" s="80"/>
      <c r="E484" s="80"/>
      <c r="F484" s="81"/>
      <c r="G484" s="78"/>
      <c r="H484" s="82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</row>
    <row r="485" spans="1:23" ht="18" customHeight="1">
      <c r="A485" s="78"/>
      <c r="B485" s="78"/>
      <c r="C485" s="79"/>
      <c r="D485" s="80"/>
      <c r="E485" s="80"/>
      <c r="F485" s="81"/>
      <c r="G485" s="78"/>
      <c r="H485" s="82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</row>
    <row r="486" spans="1:23" ht="18" customHeight="1">
      <c r="A486" s="78"/>
      <c r="B486" s="78"/>
      <c r="C486" s="79"/>
      <c r="D486" s="80"/>
      <c r="E486" s="80"/>
      <c r="F486" s="81"/>
      <c r="G486" s="78"/>
      <c r="H486" s="82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</row>
    <row r="487" spans="1:23" ht="18" customHeight="1">
      <c r="A487" s="78"/>
      <c r="B487" s="78"/>
      <c r="C487" s="79"/>
      <c r="D487" s="80"/>
      <c r="E487" s="80"/>
      <c r="F487" s="81"/>
      <c r="G487" s="78"/>
      <c r="H487" s="82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</row>
    <row r="488" spans="1:23" ht="18" customHeight="1">
      <c r="A488" s="78"/>
      <c r="B488" s="78"/>
      <c r="C488" s="79"/>
      <c r="D488" s="80"/>
      <c r="E488" s="80"/>
      <c r="F488" s="81"/>
      <c r="G488" s="78"/>
      <c r="H488" s="82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</row>
    <row r="489" spans="1:23" ht="18" customHeight="1">
      <c r="A489" s="78"/>
      <c r="B489" s="78"/>
      <c r="C489" s="79"/>
      <c r="D489" s="80"/>
      <c r="E489" s="80"/>
      <c r="F489" s="81"/>
      <c r="G489" s="78"/>
      <c r="H489" s="82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</row>
    <row r="490" spans="1:23" ht="18" customHeight="1">
      <c r="A490" s="78"/>
      <c r="B490" s="78"/>
      <c r="C490" s="79"/>
      <c r="D490" s="80"/>
      <c r="E490" s="80"/>
      <c r="F490" s="81"/>
      <c r="G490" s="78"/>
      <c r="H490" s="82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</row>
    <row r="491" spans="1:23" ht="18" customHeight="1">
      <c r="A491" s="78"/>
      <c r="B491" s="78"/>
      <c r="C491" s="79"/>
      <c r="D491" s="80"/>
      <c r="E491" s="80"/>
      <c r="F491" s="81"/>
      <c r="G491" s="78"/>
      <c r="H491" s="82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</row>
    <row r="492" spans="1:23" ht="18" customHeight="1">
      <c r="A492" s="78"/>
      <c r="B492" s="78"/>
      <c r="C492" s="79"/>
      <c r="D492" s="80"/>
      <c r="E492" s="80"/>
      <c r="F492" s="81"/>
      <c r="G492" s="78"/>
      <c r="H492" s="82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</row>
    <row r="493" spans="1:23" ht="18" customHeight="1">
      <c r="A493" s="78"/>
      <c r="B493" s="78"/>
      <c r="C493" s="79"/>
      <c r="D493" s="80"/>
      <c r="E493" s="80"/>
      <c r="F493" s="81"/>
      <c r="G493" s="78"/>
      <c r="H493" s="82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</row>
    <row r="494" spans="1:23" ht="18" customHeight="1">
      <c r="A494" s="78"/>
      <c r="B494" s="78"/>
      <c r="C494" s="79"/>
      <c r="D494" s="80"/>
      <c r="E494" s="80"/>
      <c r="F494" s="81"/>
      <c r="G494" s="78"/>
      <c r="H494" s="82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</row>
    <row r="495" spans="1:23" ht="18" customHeight="1">
      <c r="A495" s="78"/>
      <c r="B495" s="78"/>
      <c r="C495" s="79"/>
      <c r="D495" s="80"/>
      <c r="E495" s="80"/>
      <c r="F495" s="81"/>
      <c r="G495" s="78"/>
      <c r="H495" s="82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</row>
    <row r="496" spans="1:23" ht="18" customHeight="1">
      <c r="A496" s="78"/>
      <c r="B496" s="78"/>
      <c r="C496" s="79"/>
      <c r="D496" s="80"/>
      <c r="E496" s="80"/>
      <c r="F496" s="81"/>
      <c r="G496" s="78"/>
      <c r="H496" s="82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</row>
    <row r="497" spans="1:23" ht="18" customHeight="1">
      <c r="A497" s="78"/>
      <c r="B497" s="78"/>
      <c r="C497" s="79"/>
      <c r="D497" s="80"/>
      <c r="E497" s="80"/>
      <c r="F497" s="81"/>
      <c r="G497" s="78"/>
      <c r="H497" s="82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</row>
    <row r="498" spans="1:23" ht="18" customHeight="1">
      <c r="A498" s="78"/>
      <c r="B498" s="78"/>
      <c r="C498" s="79"/>
      <c r="D498" s="80"/>
      <c r="E498" s="80"/>
      <c r="F498" s="81"/>
      <c r="G498" s="78"/>
      <c r="H498" s="82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</row>
    <row r="499" spans="1:23" ht="18" customHeight="1">
      <c r="A499" s="78"/>
      <c r="B499" s="78"/>
      <c r="C499" s="79"/>
      <c r="D499" s="80"/>
      <c r="E499" s="80"/>
      <c r="F499" s="81"/>
      <c r="G499" s="78"/>
      <c r="H499" s="82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</row>
    <row r="500" spans="1:23" ht="18" customHeight="1">
      <c r="A500" s="78"/>
      <c r="B500" s="78"/>
      <c r="C500" s="79"/>
      <c r="D500" s="80"/>
      <c r="E500" s="80"/>
      <c r="F500" s="81"/>
      <c r="G500" s="78"/>
      <c r="H500" s="82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</row>
    <row r="501" spans="1:23" ht="18" customHeight="1">
      <c r="A501" s="78"/>
      <c r="B501" s="78"/>
      <c r="C501" s="79"/>
      <c r="D501" s="80"/>
      <c r="E501" s="80"/>
      <c r="F501" s="81"/>
      <c r="G501" s="78"/>
      <c r="H501" s="82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</row>
    <row r="502" spans="1:23" ht="18" customHeight="1">
      <c r="A502" s="78"/>
      <c r="B502" s="78"/>
      <c r="C502" s="79"/>
      <c r="D502" s="80"/>
      <c r="E502" s="80"/>
      <c r="F502" s="81"/>
      <c r="G502" s="78"/>
      <c r="H502" s="82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</row>
    <row r="503" spans="1:23" ht="18" customHeight="1">
      <c r="A503" s="78"/>
      <c r="B503" s="78"/>
      <c r="C503" s="79"/>
      <c r="D503" s="80"/>
      <c r="E503" s="80"/>
      <c r="F503" s="81"/>
      <c r="G503" s="78"/>
      <c r="H503" s="82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</row>
    <row r="504" spans="1:23" ht="18" customHeight="1">
      <c r="A504" s="78"/>
      <c r="B504" s="78"/>
      <c r="C504" s="79"/>
      <c r="D504" s="80"/>
      <c r="E504" s="80"/>
      <c r="F504" s="81"/>
      <c r="G504" s="78"/>
      <c r="H504" s="82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</row>
    <row r="505" spans="1:23" ht="18" customHeight="1">
      <c r="A505" s="78"/>
      <c r="B505" s="78"/>
      <c r="C505" s="79"/>
      <c r="D505" s="80"/>
      <c r="E505" s="80"/>
      <c r="F505" s="81"/>
      <c r="G505" s="78"/>
      <c r="H505" s="82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</row>
    <row r="506" spans="1:23" ht="18" customHeight="1">
      <c r="A506" s="78"/>
      <c r="B506" s="78"/>
      <c r="C506" s="79"/>
      <c r="D506" s="80"/>
      <c r="E506" s="80"/>
      <c r="F506" s="81"/>
      <c r="G506" s="78"/>
      <c r="H506" s="82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</row>
    <row r="507" spans="1:23" ht="18" customHeight="1">
      <c r="A507" s="78"/>
      <c r="B507" s="78"/>
      <c r="C507" s="79"/>
      <c r="D507" s="80"/>
      <c r="E507" s="80"/>
      <c r="F507" s="81"/>
      <c r="G507" s="78"/>
      <c r="H507" s="82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</row>
    <row r="508" spans="1:23" ht="18" customHeight="1">
      <c r="A508" s="78"/>
      <c r="B508" s="78"/>
      <c r="C508" s="79"/>
      <c r="D508" s="80"/>
      <c r="E508" s="80"/>
      <c r="F508" s="81"/>
      <c r="G508" s="78"/>
      <c r="H508" s="82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</row>
    <row r="509" spans="1:23" ht="18" customHeight="1">
      <c r="A509" s="78"/>
      <c r="B509" s="78"/>
      <c r="C509" s="79"/>
      <c r="D509" s="80"/>
      <c r="E509" s="80"/>
      <c r="F509" s="81"/>
      <c r="G509" s="78"/>
      <c r="H509" s="82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</row>
    <row r="510" spans="1:23" ht="18" customHeight="1">
      <c r="A510" s="78"/>
      <c r="B510" s="78"/>
      <c r="C510" s="79"/>
      <c r="D510" s="80"/>
      <c r="E510" s="80"/>
      <c r="F510" s="81"/>
      <c r="G510" s="78"/>
      <c r="H510" s="82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</row>
    <row r="511" spans="1:23" ht="18" customHeight="1">
      <c r="A511" s="78"/>
      <c r="B511" s="78"/>
      <c r="C511" s="79"/>
      <c r="D511" s="80"/>
      <c r="E511" s="80"/>
      <c r="F511" s="81"/>
      <c r="G511" s="78"/>
      <c r="H511" s="82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</row>
    <row r="512" spans="1:23" ht="18" customHeight="1">
      <c r="A512" s="78"/>
      <c r="B512" s="78"/>
      <c r="C512" s="79"/>
      <c r="D512" s="80"/>
      <c r="E512" s="80"/>
      <c r="F512" s="81"/>
      <c r="G512" s="78"/>
      <c r="H512" s="82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</row>
    <row r="513" spans="1:23" ht="18" customHeight="1">
      <c r="A513" s="78"/>
      <c r="B513" s="78"/>
      <c r="C513" s="79"/>
      <c r="D513" s="80"/>
      <c r="E513" s="80"/>
      <c r="F513" s="81"/>
      <c r="G513" s="78"/>
      <c r="H513" s="82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</row>
    <row r="514" spans="1:23" ht="18" customHeight="1">
      <c r="A514" s="78"/>
      <c r="B514" s="78"/>
      <c r="C514" s="79"/>
      <c r="D514" s="80"/>
      <c r="E514" s="80"/>
      <c r="F514" s="81"/>
      <c r="G514" s="78"/>
      <c r="H514" s="82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</row>
    <row r="515" spans="1:23" ht="18" customHeight="1">
      <c r="A515" s="78"/>
      <c r="B515" s="78"/>
      <c r="C515" s="79"/>
      <c r="D515" s="80"/>
      <c r="E515" s="80"/>
      <c r="F515" s="81"/>
      <c r="G515" s="78"/>
      <c r="H515" s="82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</row>
    <row r="516" spans="1:23" ht="18" customHeight="1">
      <c r="A516" s="78"/>
      <c r="B516" s="78"/>
      <c r="C516" s="79"/>
      <c r="D516" s="80"/>
      <c r="E516" s="80"/>
      <c r="F516" s="81"/>
      <c r="G516" s="78"/>
      <c r="H516" s="82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</row>
    <row r="517" spans="1:23" ht="18" customHeight="1">
      <c r="A517" s="78"/>
      <c r="B517" s="78"/>
      <c r="C517" s="79"/>
      <c r="D517" s="80"/>
      <c r="E517" s="80"/>
      <c r="F517" s="81"/>
      <c r="G517" s="78"/>
      <c r="H517" s="82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</row>
    <row r="518" spans="1:23" ht="18" customHeight="1">
      <c r="A518" s="78"/>
      <c r="B518" s="78"/>
      <c r="C518" s="79"/>
      <c r="D518" s="80"/>
      <c r="E518" s="80"/>
      <c r="F518" s="81"/>
      <c r="G518" s="78"/>
      <c r="H518" s="82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</row>
    <row r="519" spans="1:23" ht="18" customHeight="1">
      <c r="A519" s="78"/>
      <c r="B519" s="78"/>
      <c r="C519" s="79"/>
      <c r="D519" s="80"/>
      <c r="E519" s="80"/>
      <c r="F519" s="81"/>
      <c r="G519" s="78"/>
      <c r="H519" s="82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</row>
    <row r="520" spans="1:23" ht="18" customHeight="1">
      <c r="A520" s="78"/>
      <c r="B520" s="78"/>
      <c r="C520" s="79"/>
      <c r="D520" s="80"/>
      <c r="E520" s="80"/>
      <c r="F520" s="81"/>
      <c r="G520" s="78"/>
      <c r="H520" s="82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</row>
    <row r="521" spans="1:23" ht="18" customHeight="1">
      <c r="A521" s="78"/>
      <c r="B521" s="78"/>
      <c r="C521" s="79"/>
      <c r="D521" s="80"/>
      <c r="E521" s="80"/>
      <c r="F521" s="81"/>
      <c r="G521" s="78"/>
      <c r="H521" s="82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</row>
    <row r="522" spans="1:23" ht="18" customHeight="1">
      <c r="A522" s="78"/>
      <c r="B522" s="78"/>
      <c r="C522" s="79"/>
      <c r="D522" s="80"/>
      <c r="E522" s="80"/>
      <c r="F522" s="81"/>
      <c r="G522" s="78"/>
      <c r="H522" s="82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</row>
    <row r="523" spans="1:23" ht="18" customHeight="1">
      <c r="A523" s="78"/>
      <c r="B523" s="78"/>
      <c r="C523" s="79"/>
      <c r="D523" s="80"/>
      <c r="E523" s="80"/>
      <c r="F523" s="81"/>
      <c r="G523" s="78"/>
      <c r="H523" s="82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</row>
    <row r="524" spans="1:23" ht="18" customHeight="1">
      <c r="A524" s="78"/>
      <c r="B524" s="78"/>
      <c r="C524" s="79"/>
      <c r="D524" s="80"/>
      <c r="E524" s="80"/>
      <c r="F524" s="81"/>
      <c r="G524" s="78"/>
      <c r="H524" s="82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</row>
    <row r="525" spans="1:23" ht="18" customHeight="1">
      <c r="A525" s="78"/>
      <c r="B525" s="78"/>
      <c r="C525" s="79"/>
      <c r="D525" s="80"/>
      <c r="E525" s="80"/>
      <c r="F525" s="81"/>
      <c r="G525" s="78"/>
      <c r="H525" s="82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</row>
    <row r="526" spans="1:23" ht="18" customHeight="1">
      <c r="A526" s="78"/>
      <c r="B526" s="78"/>
      <c r="C526" s="79"/>
      <c r="D526" s="80"/>
      <c r="E526" s="80"/>
      <c r="F526" s="81"/>
      <c r="G526" s="78"/>
      <c r="H526" s="82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</row>
    <row r="527" spans="1:23" ht="18" customHeight="1">
      <c r="A527" s="78"/>
      <c r="B527" s="78"/>
      <c r="C527" s="79"/>
      <c r="D527" s="80"/>
      <c r="E527" s="80"/>
      <c r="F527" s="81"/>
      <c r="G527" s="78"/>
      <c r="H527" s="82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</row>
    <row r="528" spans="1:23" ht="18" customHeight="1">
      <c r="A528" s="78"/>
      <c r="B528" s="78"/>
      <c r="C528" s="79"/>
      <c r="D528" s="80"/>
      <c r="E528" s="80"/>
      <c r="F528" s="81"/>
      <c r="G528" s="78"/>
      <c r="H528" s="82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</row>
    <row r="529" spans="1:23" ht="18" customHeight="1">
      <c r="A529" s="78"/>
      <c r="B529" s="78"/>
      <c r="C529" s="79"/>
      <c r="D529" s="80"/>
      <c r="E529" s="80"/>
      <c r="F529" s="81"/>
      <c r="G529" s="78"/>
      <c r="H529" s="82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</row>
    <row r="530" spans="1:23" ht="18" customHeight="1">
      <c r="A530" s="78"/>
      <c r="B530" s="78"/>
      <c r="C530" s="79"/>
      <c r="D530" s="80"/>
      <c r="E530" s="80"/>
      <c r="F530" s="81"/>
      <c r="G530" s="78"/>
      <c r="H530" s="82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</row>
    <row r="531" spans="1:23" ht="18" customHeight="1">
      <c r="A531" s="78"/>
      <c r="B531" s="78"/>
      <c r="C531" s="79"/>
      <c r="D531" s="80"/>
      <c r="E531" s="80"/>
      <c r="F531" s="81"/>
      <c r="G531" s="78"/>
      <c r="H531" s="82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</row>
    <row r="532" spans="1:23" ht="18" customHeight="1">
      <c r="A532" s="78"/>
      <c r="B532" s="78"/>
      <c r="C532" s="79"/>
      <c r="D532" s="80"/>
      <c r="E532" s="80"/>
      <c r="F532" s="81"/>
      <c r="G532" s="78"/>
      <c r="H532" s="82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</row>
    <row r="533" spans="1:23" ht="18" customHeight="1">
      <c r="A533" s="78"/>
      <c r="B533" s="78"/>
      <c r="C533" s="79"/>
      <c r="D533" s="80"/>
      <c r="E533" s="80"/>
      <c r="F533" s="81"/>
      <c r="G533" s="78"/>
      <c r="H533" s="82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</row>
    <row r="534" spans="1:23" ht="18" customHeight="1">
      <c r="A534" s="78"/>
      <c r="B534" s="78"/>
      <c r="C534" s="79"/>
      <c r="D534" s="80"/>
      <c r="E534" s="80"/>
      <c r="F534" s="81"/>
      <c r="G534" s="78"/>
      <c r="H534" s="82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</row>
    <row r="535" spans="1:23" ht="18" customHeight="1">
      <c r="A535" s="78"/>
      <c r="B535" s="78"/>
      <c r="C535" s="79"/>
      <c r="D535" s="80"/>
      <c r="E535" s="80"/>
      <c r="F535" s="81"/>
      <c r="G535" s="78"/>
      <c r="H535" s="82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</row>
    <row r="536" spans="1:23" ht="18" customHeight="1">
      <c r="A536" s="78"/>
      <c r="B536" s="78"/>
      <c r="C536" s="79"/>
      <c r="D536" s="80"/>
      <c r="E536" s="80"/>
      <c r="F536" s="81"/>
      <c r="G536" s="78"/>
      <c r="H536" s="82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</row>
    <row r="537" spans="1:23" ht="18" customHeight="1">
      <c r="A537" s="78"/>
      <c r="B537" s="78"/>
      <c r="C537" s="79"/>
      <c r="D537" s="80"/>
      <c r="E537" s="80"/>
      <c r="F537" s="81"/>
      <c r="G537" s="78"/>
      <c r="H537" s="82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</row>
    <row r="538" spans="1:23" ht="18" customHeight="1">
      <c r="A538" s="78"/>
      <c r="B538" s="78"/>
      <c r="C538" s="79"/>
      <c r="D538" s="80"/>
      <c r="E538" s="80"/>
      <c r="F538" s="81"/>
      <c r="G538" s="78"/>
      <c r="H538" s="82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</row>
    <row r="539" spans="1:23" ht="18" customHeight="1">
      <c r="A539" s="78"/>
      <c r="B539" s="78"/>
      <c r="C539" s="79"/>
      <c r="D539" s="80"/>
      <c r="E539" s="80"/>
      <c r="F539" s="81"/>
      <c r="G539" s="78"/>
      <c r="H539" s="82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</row>
    <row r="540" spans="1:23" ht="18" customHeight="1">
      <c r="A540" s="78"/>
      <c r="B540" s="78"/>
      <c r="C540" s="79"/>
      <c r="D540" s="80"/>
      <c r="E540" s="80"/>
      <c r="F540" s="81"/>
      <c r="G540" s="78"/>
      <c r="H540" s="82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</row>
    <row r="541" spans="1:23" ht="18" customHeight="1">
      <c r="A541" s="78"/>
      <c r="B541" s="78"/>
      <c r="C541" s="79"/>
      <c r="D541" s="80"/>
      <c r="E541" s="80"/>
      <c r="F541" s="81"/>
      <c r="G541" s="78"/>
      <c r="H541" s="82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</row>
    <row r="542" spans="1:23" ht="18" customHeight="1">
      <c r="A542" s="78"/>
      <c r="B542" s="78"/>
      <c r="C542" s="79"/>
      <c r="D542" s="80"/>
      <c r="E542" s="80"/>
      <c r="F542" s="81"/>
      <c r="G542" s="78"/>
      <c r="H542" s="82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</row>
    <row r="543" spans="1:23" ht="18" customHeight="1">
      <c r="A543" s="78"/>
      <c r="B543" s="78"/>
      <c r="C543" s="79"/>
      <c r="D543" s="80"/>
      <c r="E543" s="80"/>
      <c r="F543" s="81"/>
      <c r="G543" s="78"/>
      <c r="H543" s="82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</row>
    <row r="544" spans="1:23" ht="18" customHeight="1">
      <c r="A544" s="78"/>
      <c r="B544" s="78"/>
      <c r="C544" s="79"/>
      <c r="D544" s="80"/>
      <c r="E544" s="80"/>
      <c r="F544" s="81"/>
      <c r="G544" s="78"/>
      <c r="H544" s="82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</row>
    <row r="545" spans="1:23" ht="18" customHeight="1">
      <c r="A545" s="78"/>
      <c r="B545" s="78"/>
      <c r="C545" s="79"/>
      <c r="D545" s="80"/>
      <c r="E545" s="80"/>
      <c r="F545" s="81"/>
      <c r="G545" s="78"/>
      <c r="H545" s="82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</row>
    <row r="546" spans="1:23" ht="18" customHeight="1">
      <c r="A546" s="78"/>
      <c r="B546" s="78"/>
      <c r="C546" s="79"/>
      <c r="D546" s="80"/>
      <c r="E546" s="80"/>
      <c r="F546" s="81"/>
      <c r="G546" s="78"/>
      <c r="H546" s="82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</row>
    <row r="547" spans="1:23" ht="18" customHeight="1">
      <c r="A547" s="78"/>
      <c r="B547" s="78"/>
      <c r="C547" s="79"/>
      <c r="D547" s="80"/>
      <c r="E547" s="80"/>
      <c r="F547" s="81"/>
      <c r="G547" s="78"/>
      <c r="H547" s="82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</row>
    <row r="548" spans="1:23" ht="18" customHeight="1">
      <c r="A548" s="78"/>
      <c r="B548" s="78"/>
      <c r="C548" s="79"/>
      <c r="D548" s="80"/>
      <c r="E548" s="80"/>
      <c r="F548" s="81"/>
      <c r="G548" s="78"/>
      <c r="H548" s="82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</row>
    <row r="549" spans="1:23" ht="18" customHeight="1">
      <c r="A549" s="78"/>
      <c r="B549" s="78"/>
      <c r="C549" s="79"/>
      <c r="D549" s="80"/>
      <c r="E549" s="80"/>
      <c r="F549" s="81"/>
      <c r="G549" s="78"/>
      <c r="H549" s="82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</row>
    <row r="550" spans="1:23" ht="18" customHeight="1">
      <c r="A550" s="78"/>
      <c r="B550" s="78"/>
      <c r="C550" s="79"/>
      <c r="D550" s="80"/>
      <c r="E550" s="80"/>
      <c r="F550" s="81"/>
      <c r="G550" s="78"/>
      <c r="H550" s="82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</row>
    <row r="551" spans="1:23" ht="18" customHeight="1">
      <c r="A551" s="78"/>
      <c r="B551" s="78"/>
      <c r="C551" s="79"/>
      <c r="D551" s="80"/>
      <c r="E551" s="80"/>
      <c r="F551" s="81"/>
      <c r="G551" s="78"/>
      <c r="H551" s="82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</row>
    <row r="552" spans="1:23" ht="18" customHeight="1">
      <c r="A552" s="78"/>
      <c r="B552" s="78"/>
      <c r="C552" s="79"/>
      <c r="D552" s="80"/>
      <c r="E552" s="80"/>
      <c r="F552" s="81"/>
      <c r="G552" s="78"/>
      <c r="H552" s="82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</row>
    <row r="553" spans="1:23" ht="18" customHeight="1">
      <c r="A553" s="78"/>
      <c r="B553" s="78"/>
      <c r="C553" s="79"/>
      <c r="D553" s="80"/>
      <c r="E553" s="80"/>
      <c r="F553" s="81"/>
      <c r="G553" s="78"/>
      <c r="H553" s="82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</row>
    <row r="554" spans="1:23" ht="18" customHeight="1">
      <c r="A554" s="78"/>
      <c r="B554" s="78"/>
      <c r="C554" s="79"/>
      <c r="D554" s="80"/>
      <c r="E554" s="80"/>
      <c r="F554" s="81"/>
      <c r="G554" s="78"/>
      <c r="H554" s="82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</row>
    <row r="555" spans="1:23" ht="18" customHeight="1">
      <c r="A555" s="78"/>
      <c r="B555" s="78"/>
      <c r="C555" s="79"/>
      <c r="D555" s="80"/>
      <c r="E555" s="80"/>
      <c r="F555" s="81"/>
      <c r="G555" s="78"/>
      <c r="H555" s="82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</row>
    <row r="556" spans="1:23" ht="18" customHeight="1">
      <c r="A556" s="78"/>
      <c r="B556" s="78"/>
      <c r="C556" s="79"/>
      <c r="D556" s="80"/>
      <c r="E556" s="80"/>
      <c r="F556" s="81"/>
      <c r="G556" s="78"/>
      <c r="H556" s="82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</row>
    <row r="557" spans="1:23" ht="18" customHeight="1">
      <c r="A557" s="78"/>
      <c r="B557" s="78"/>
      <c r="C557" s="79"/>
      <c r="D557" s="80"/>
      <c r="E557" s="80"/>
      <c r="F557" s="81"/>
      <c r="G557" s="78"/>
      <c r="H557" s="82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</row>
    <row r="558" spans="1:23" ht="18" customHeight="1">
      <c r="A558" s="78"/>
      <c r="B558" s="78"/>
      <c r="C558" s="79"/>
      <c r="D558" s="80"/>
      <c r="E558" s="80"/>
      <c r="F558" s="81"/>
      <c r="G558" s="78"/>
      <c r="H558" s="82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</row>
    <row r="559" spans="1:23" ht="18" customHeight="1">
      <c r="A559" s="78"/>
      <c r="B559" s="78"/>
      <c r="C559" s="79"/>
      <c r="D559" s="80"/>
      <c r="E559" s="80"/>
      <c r="F559" s="81"/>
      <c r="G559" s="78"/>
      <c r="H559" s="82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</row>
    <row r="560" spans="1:23" ht="18" customHeight="1">
      <c r="A560" s="78"/>
      <c r="B560" s="78"/>
      <c r="C560" s="79"/>
      <c r="D560" s="80"/>
      <c r="E560" s="80"/>
      <c r="F560" s="81"/>
      <c r="G560" s="78"/>
      <c r="H560" s="82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</row>
    <row r="561" spans="1:23" ht="18" customHeight="1">
      <c r="A561" s="78"/>
      <c r="B561" s="78"/>
      <c r="C561" s="79"/>
      <c r="D561" s="80"/>
      <c r="E561" s="80"/>
      <c r="F561" s="81"/>
      <c r="G561" s="78"/>
      <c r="H561" s="82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</row>
    <row r="562" spans="1:23" ht="18" customHeight="1">
      <c r="A562" s="78"/>
      <c r="B562" s="78"/>
      <c r="C562" s="79"/>
      <c r="D562" s="80"/>
      <c r="E562" s="80"/>
      <c r="F562" s="81"/>
      <c r="G562" s="78"/>
      <c r="H562" s="82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</row>
    <row r="563" spans="1:23" ht="18" customHeight="1">
      <c r="A563" s="78"/>
      <c r="B563" s="78"/>
      <c r="C563" s="79"/>
      <c r="D563" s="80"/>
      <c r="E563" s="80"/>
      <c r="F563" s="81"/>
      <c r="G563" s="78"/>
      <c r="H563" s="82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</row>
    <row r="564" spans="1:23" ht="18" customHeight="1">
      <c r="A564" s="78"/>
      <c r="B564" s="78"/>
      <c r="C564" s="79"/>
      <c r="D564" s="80"/>
      <c r="E564" s="80"/>
      <c r="F564" s="81"/>
      <c r="G564" s="78"/>
      <c r="H564" s="82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</row>
    <row r="565" spans="1:23" ht="18" customHeight="1">
      <c r="A565" s="78"/>
      <c r="B565" s="78"/>
      <c r="C565" s="79"/>
      <c r="D565" s="80"/>
      <c r="E565" s="80"/>
      <c r="F565" s="81"/>
      <c r="G565" s="78"/>
      <c r="H565" s="82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</row>
    <row r="566" spans="1:23" ht="18" customHeight="1">
      <c r="A566" s="78"/>
      <c r="B566" s="78"/>
      <c r="C566" s="79"/>
      <c r="D566" s="80"/>
      <c r="E566" s="80"/>
      <c r="F566" s="81"/>
      <c r="G566" s="78"/>
      <c r="H566" s="82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</row>
    <row r="567" spans="1:23" ht="18" customHeight="1">
      <c r="A567" s="78"/>
      <c r="B567" s="78"/>
      <c r="C567" s="79"/>
      <c r="D567" s="80"/>
      <c r="E567" s="80"/>
      <c r="F567" s="81"/>
      <c r="G567" s="78"/>
      <c r="H567" s="82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</row>
    <row r="568" spans="1:23" ht="18" customHeight="1">
      <c r="A568" s="78"/>
      <c r="B568" s="78"/>
      <c r="C568" s="79"/>
      <c r="D568" s="80"/>
      <c r="E568" s="80"/>
      <c r="F568" s="81"/>
      <c r="G568" s="78"/>
      <c r="H568" s="82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</row>
    <row r="569" spans="1:23" ht="18" customHeight="1">
      <c r="A569" s="78"/>
      <c r="B569" s="78"/>
      <c r="C569" s="79"/>
      <c r="D569" s="80"/>
      <c r="E569" s="80"/>
      <c r="F569" s="81"/>
      <c r="G569" s="78"/>
      <c r="H569" s="82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</row>
    <row r="570" spans="1:23" ht="18" customHeight="1">
      <c r="A570" s="78"/>
      <c r="B570" s="78"/>
      <c r="C570" s="79"/>
      <c r="D570" s="80"/>
      <c r="E570" s="80"/>
      <c r="F570" s="81"/>
      <c r="G570" s="78"/>
      <c r="H570" s="82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</row>
    <row r="571" spans="1:23" ht="18" customHeight="1">
      <c r="A571" s="78"/>
      <c r="B571" s="78"/>
      <c r="C571" s="79"/>
      <c r="D571" s="80"/>
      <c r="E571" s="80"/>
      <c r="F571" s="81"/>
      <c r="G571" s="78"/>
      <c r="H571" s="82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</row>
    <row r="572" spans="1:23" ht="18" customHeight="1">
      <c r="A572" s="78"/>
      <c r="B572" s="78"/>
      <c r="C572" s="79"/>
      <c r="D572" s="80"/>
      <c r="E572" s="80"/>
      <c r="F572" s="81"/>
      <c r="G572" s="78"/>
      <c r="H572" s="82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</row>
    <row r="573" spans="1:23" ht="18" customHeight="1">
      <c r="A573" s="78"/>
      <c r="B573" s="78"/>
      <c r="C573" s="79"/>
      <c r="D573" s="80"/>
      <c r="E573" s="80"/>
      <c r="F573" s="81"/>
      <c r="G573" s="78"/>
      <c r="H573" s="82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</row>
    <row r="574" spans="1:23" ht="18" customHeight="1">
      <c r="A574" s="78"/>
      <c r="B574" s="78"/>
      <c r="C574" s="79"/>
      <c r="D574" s="80"/>
      <c r="E574" s="80"/>
      <c r="F574" s="81"/>
      <c r="G574" s="78"/>
      <c r="H574" s="82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</row>
    <row r="575" spans="1:23" ht="18" customHeight="1">
      <c r="A575" s="78"/>
      <c r="B575" s="78"/>
      <c r="C575" s="79"/>
      <c r="D575" s="80"/>
      <c r="E575" s="80"/>
      <c r="F575" s="81"/>
      <c r="G575" s="78"/>
      <c r="H575" s="82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</row>
    <row r="576" spans="1:23" ht="18" customHeight="1">
      <c r="A576" s="78"/>
      <c r="B576" s="78"/>
      <c r="C576" s="79"/>
      <c r="D576" s="80"/>
      <c r="E576" s="80"/>
      <c r="F576" s="81"/>
      <c r="G576" s="78"/>
      <c r="H576" s="82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</row>
    <row r="577" spans="1:23" ht="18" customHeight="1">
      <c r="A577" s="78"/>
      <c r="B577" s="78"/>
      <c r="C577" s="79"/>
      <c r="D577" s="80"/>
      <c r="E577" s="80"/>
      <c r="F577" s="81"/>
      <c r="G577" s="78"/>
      <c r="H577" s="82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</row>
    <row r="578" spans="1:23" ht="18" customHeight="1">
      <c r="A578" s="78"/>
      <c r="B578" s="78"/>
      <c r="C578" s="79"/>
      <c r="D578" s="80"/>
      <c r="E578" s="80"/>
      <c r="F578" s="81"/>
      <c r="G578" s="78"/>
      <c r="H578" s="82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</row>
    <row r="579" spans="1:23" ht="18" customHeight="1">
      <c r="A579" s="78"/>
      <c r="B579" s="78"/>
      <c r="C579" s="79"/>
      <c r="D579" s="80"/>
      <c r="E579" s="80"/>
      <c r="F579" s="81"/>
      <c r="G579" s="78"/>
      <c r="H579" s="82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</row>
    <row r="580" spans="1:23" ht="18" customHeight="1">
      <c r="A580" s="78"/>
      <c r="B580" s="78"/>
      <c r="C580" s="79"/>
      <c r="D580" s="80"/>
      <c r="E580" s="80"/>
      <c r="F580" s="81"/>
      <c r="G580" s="78"/>
      <c r="H580" s="82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</row>
    <row r="581" spans="1:23" ht="18" customHeight="1">
      <c r="A581" s="78"/>
      <c r="B581" s="78"/>
      <c r="C581" s="79"/>
      <c r="D581" s="80"/>
      <c r="E581" s="80"/>
      <c r="F581" s="81"/>
      <c r="G581" s="78"/>
      <c r="H581" s="82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</row>
    <row r="582" spans="1:23" ht="18" customHeight="1">
      <c r="A582" s="78"/>
      <c r="B582" s="78"/>
      <c r="C582" s="79"/>
      <c r="D582" s="80"/>
      <c r="E582" s="80"/>
      <c r="F582" s="81"/>
      <c r="G582" s="78"/>
      <c r="H582" s="82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</row>
    <row r="583" spans="1:23" ht="18" customHeight="1">
      <c r="A583" s="78"/>
      <c r="B583" s="78"/>
      <c r="C583" s="79"/>
      <c r="D583" s="80"/>
      <c r="E583" s="80"/>
      <c r="F583" s="81"/>
      <c r="G583" s="78"/>
      <c r="H583" s="82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</row>
    <row r="584" spans="1:23" ht="18" customHeight="1">
      <c r="A584" s="78"/>
      <c r="B584" s="78"/>
      <c r="C584" s="79"/>
      <c r="D584" s="80"/>
      <c r="E584" s="80"/>
      <c r="F584" s="81"/>
      <c r="G584" s="78"/>
      <c r="H584" s="82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</row>
    <row r="585" spans="1:23" ht="18" customHeight="1">
      <c r="A585" s="78"/>
      <c r="B585" s="78"/>
      <c r="C585" s="79"/>
      <c r="D585" s="80"/>
      <c r="E585" s="80"/>
      <c r="F585" s="81"/>
      <c r="G585" s="78"/>
      <c r="H585" s="82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</row>
    <row r="586" spans="1:23" ht="18" customHeight="1">
      <c r="A586" s="78"/>
      <c r="B586" s="78"/>
      <c r="C586" s="79"/>
      <c r="D586" s="80"/>
      <c r="E586" s="80"/>
      <c r="F586" s="81"/>
      <c r="G586" s="78"/>
      <c r="H586" s="82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</row>
    <row r="587" spans="1:23" ht="18" customHeight="1">
      <c r="A587" s="78"/>
      <c r="B587" s="78"/>
      <c r="C587" s="79"/>
      <c r="D587" s="80"/>
      <c r="E587" s="80"/>
      <c r="F587" s="81"/>
      <c r="G587" s="78"/>
      <c r="H587" s="82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</row>
    <row r="588" spans="1:23" ht="18" customHeight="1">
      <c r="A588" s="78"/>
      <c r="B588" s="78"/>
      <c r="C588" s="79"/>
      <c r="D588" s="80"/>
      <c r="E588" s="80"/>
      <c r="F588" s="81"/>
      <c r="G588" s="78"/>
      <c r="H588" s="82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</row>
    <row r="589" spans="1:23" ht="18" customHeight="1">
      <c r="A589" s="78"/>
      <c r="B589" s="78"/>
      <c r="C589" s="79"/>
      <c r="D589" s="80"/>
      <c r="E589" s="80"/>
      <c r="F589" s="81"/>
      <c r="G589" s="78"/>
      <c r="H589" s="82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</row>
    <row r="590" spans="1:23" ht="18" customHeight="1">
      <c r="A590" s="78"/>
      <c r="B590" s="78"/>
      <c r="C590" s="79"/>
      <c r="D590" s="80"/>
      <c r="E590" s="80"/>
      <c r="F590" s="81"/>
      <c r="G590" s="78"/>
      <c r="H590" s="82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</row>
    <row r="591" spans="1:23" ht="18" customHeight="1">
      <c r="A591" s="78"/>
      <c r="B591" s="78"/>
      <c r="C591" s="79"/>
      <c r="D591" s="80"/>
      <c r="E591" s="80"/>
      <c r="F591" s="81"/>
      <c r="G591" s="78"/>
      <c r="H591" s="82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</row>
    <row r="592" spans="1:23" ht="18" customHeight="1">
      <c r="A592" s="78"/>
      <c r="B592" s="78"/>
      <c r="C592" s="79"/>
      <c r="D592" s="80"/>
      <c r="E592" s="80"/>
      <c r="F592" s="81"/>
      <c r="G592" s="78"/>
      <c r="H592" s="82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</row>
    <row r="593" spans="1:23" ht="18" customHeight="1">
      <c r="A593" s="78"/>
      <c r="B593" s="78"/>
      <c r="C593" s="79"/>
      <c r="D593" s="80"/>
      <c r="E593" s="80"/>
      <c r="F593" s="81"/>
      <c r="G593" s="78"/>
      <c r="H593" s="82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</row>
    <row r="594" spans="1:23" ht="18" customHeight="1">
      <c r="A594" s="78"/>
      <c r="B594" s="78"/>
      <c r="C594" s="79"/>
      <c r="D594" s="80"/>
      <c r="E594" s="80"/>
      <c r="F594" s="81"/>
      <c r="G594" s="78"/>
      <c r="H594" s="82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</row>
    <row r="595" spans="1:23" ht="18" customHeight="1">
      <c r="A595" s="78"/>
      <c r="B595" s="78"/>
      <c r="C595" s="79"/>
      <c r="D595" s="80"/>
      <c r="E595" s="80"/>
      <c r="F595" s="81"/>
      <c r="G595" s="78"/>
      <c r="H595" s="82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</row>
    <row r="596" spans="1:23" ht="18" customHeight="1">
      <c r="A596" s="78"/>
      <c r="B596" s="78"/>
      <c r="C596" s="79"/>
      <c r="D596" s="80"/>
      <c r="E596" s="80"/>
      <c r="F596" s="81"/>
      <c r="G596" s="78"/>
      <c r="H596" s="82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</row>
    <row r="597" spans="1:23" ht="18" customHeight="1">
      <c r="A597" s="78"/>
      <c r="B597" s="78"/>
      <c r="C597" s="79"/>
      <c r="D597" s="80"/>
      <c r="E597" s="80"/>
      <c r="F597" s="81"/>
      <c r="G597" s="78"/>
      <c r="H597" s="82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</row>
    <row r="598" spans="1:23" ht="18" customHeight="1">
      <c r="A598" s="78"/>
      <c r="B598" s="78"/>
      <c r="C598" s="79"/>
      <c r="D598" s="80"/>
      <c r="E598" s="80"/>
      <c r="F598" s="81"/>
      <c r="G598" s="78"/>
      <c r="H598" s="82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</row>
    <row r="599" spans="1:23" ht="18" customHeight="1">
      <c r="A599" s="78"/>
      <c r="B599" s="78"/>
      <c r="C599" s="79"/>
      <c r="D599" s="80"/>
      <c r="E599" s="80"/>
      <c r="F599" s="81"/>
      <c r="G599" s="78"/>
      <c r="H599" s="82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</row>
    <row r="600" spans="1:23" ht="18" customHeight="1">
      <c r="A600" s="78"/>
      <c r="B600" s="78"/>
      <c r="C600" s="79"/>
      <c r="D600" s="80"/>
      <c r="E600" s="80"/>
      <c r="F600" s="81"/>
      <c r="G600" s="78"/>
      <c r="H600" s="82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</row>
    <row r="601" spans="1:23" ht="18" customHeight="1">
      <c r="A601" s="78"/>
      <c r="B601" s="78"/>
      <c r="C601" s="79"/>
      <c r="D601" s="80"/>
      <c r="E601" s="80"/>
      <c r="F601" s="81"/>
      <c r="G601" s="78"/>
      <c r="H601" s="82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</row>
    <row r="602" spans="1:23" ht="18" customHeight="1">
      <c r="A602" s="78"/>
      <c r="B602" s="78"/>
      <c r="C602" s="79"/>
      <c r="D602" s="80"/>
      <c r="E602" s="80"/>
      <c r="F602" s="81"/>
      <c r="G602" s="78"/>
      <c r="H602" s="82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</row>
    <row r="603" spans="1:23" ht="18" customHeight="1">
      <c r="A603" s="78"/>
      <c r="B603" s="78"/>
      <c r="C603" s="79"/>
      <c r="D603" s="80"/>
      <c r="E603" s="80"/>
      <c r="F603" s="81"/>
      <c r="G603" s="78"/>
      <c r="H603" s="82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</row>
    <row r="604" spans="1:23" ht="18" customHeight="1">
      <c r="A604" s="78"/>
      <c r="B604" s="78"/>
      <c r="C604" s="79"/>
      <c r="D604" s="80"/>
      <c r="E604" s="80"/>
      <c r="F604" s="81"/>
      <c r="G604" s="78"/>
      <c r="H604" s="82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</row>
    <row r="605" spans="1:23" ht="18" customHeight="1">
      <c r="A605" s="78"/>
      <c r="B605" s="78"/>
      <c r="C605" s="79"/>
      <c r="D605" s="80"/>
      <c r="E605" s="80"/>
      <c r="F605" s="81"/>
      <c r="G605" s="78"/>
      <c r="H605" s="82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</row>
    <row r="606" spans="1:23" ht="18" customHeight="1">
      <c r="A606" s="78"/>
      <c r="B606" s="78"/>
      <c r="C606" s="79"/>
      <c r="D606" s="80"/>
      <c r="E606" s="80"/>
      <c r="F606" s="81"/>
      <c r="G606" s="78"/>
      <c r="H606" s="82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</row>
    <row r="607" spans="1:23" ht="18" customHeight="1">
      <c r="A607" s="78"/>
      <c r="B607" s="78"/>
      <c r="C607" s="79"/>
      <c r="D607" s="80"/>
      <c r="E607" s="80"/>
      <c r="F607" s="81"/>
      <c r="G607" s="78"/>
      <c r="H607" s="82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</row>
    <row r="608" spans="1:23" ht="18" customHeight="1">
      <c r="A608" s="78"/>
      <c r="B608" s="78"/>
      <c r="C608" s="79"/>
      <c r="D608" s="80"/>
      <c r="E608" s="80"/>
      <c r="F608" s="81"/>
      <c r="G608" s="78"/>
      <c r="H608" s="82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</row>
    <row r="609" spans="1:23" ht="18" customHeight="1">
      <c r="A609" s="78"/>
      <c r="B609" s="78"/>
      <c r="C609" s="79"/>
      <c r="D609" s="80"/>
      <c r="E609" s="80"/>
      <c r="F609" s="81"/>
      <c r="G609" s="78"/>
      <c r="H609" s="82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</row>
    <row r="610" spans="1:23" ht="18" customHeight="1">
      <c r="A610" s="78"/>
      <c r="B610" s="78"/>
      <c r="C610" s="79"/>
      <c r="D610" s="80"/>
      <c r="E610" s="80"/>
      <c r="F610" s="81"/>
      <c r="G610" s="78"/>
      <c r="H610" s="82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</row>
    <row r="611" spans="1:23" ht="18" customHeight="1">
      <c r="A611" s="78"/>
      <c r="B611" s="78"/>
      <c r="C611" s="79"/>
      <c r="D611" s="80"/>
      <c r="E611" s="80"/>
      <c r="F611" s="81"/>
      <c r="G611" s="78"/>
      <c r="H611" s="82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</row>
    <row r="612" spans="1:23" ht="18" customHeight="1">
      <c r="A612" s="78"/>
      <c r="B612" s="78"/>
      <c r="C612" s="79"/>
      <c r="D612" s="80"/>
      <c r="E612" s="80"/>
      <c r="F612" s="81"/>
      <c r="G612" s="78"/>
      <c r="H612" s="82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</row>
    <row r="613" spans="1:23" ht="18" customHeight="1">
      <c r="A613" s="78"/>
      <c r="B613" s="78"/>
      <c r="C613" s="79"/>
      <c r="D613" s="80"/>
      <c r="E613" s="80"/>
      <c r="F613" s="81"/>
      <c r="G613" s="78"/>
      <c r="H613" s="82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</row>
    <row r="614" spans="1:23" ht="18" customHeight="1">
      <c r="A614" s="78"/>
      <c r="B614" s="78"/>
      <c r="C614" s="79"/>
      <c r="D614" s="80"/>
      <c r="E614" s="80"/>
      <c r="F614" s="81"/>
      <c r="G614" s="78"/>
      <c r="H614" s="82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</row>
    <row r="615" spans="1:23" ht="18" customHeight="1">
      <c r="A615" s="78"/>
      <c r="B615" s="78"/>
      <c r="C615" s="79"/>
      <c r="D615" s="80"/>
      <c r="E615" s="80"/>
      <c r="F615" s="81"/>
      <c r="G615" s="78"/>
      <c r="H615" s="82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</row>
    <row r="616" spans="1:23" ht="18" customHeight="1">
      <c r="A616" s="78"/>
      <c r="B616" s="78"/>
      <c r="C616" s="79"/>
      <c r="D616" s="80"/>
      <c r="E616" s="80"/>
      <c r="F616" s="81"/>
      <c r="G616" s="78"/>
      <c r="H616" s="82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</row>
    <row r="617" spans="1:23" ht="18" customHeight="1">
      <c r="A617" s="78"/>
      <c r="B617" s="78"/>
      <c r="C617" s="79"/>
      <c r="D617" s="80"/>
      <c r="E617" s="80"/>
      <c r="F617" s="81"/>
      <c r="G617" s="78"/>
      <c r="H617" s="82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</row>
    <row r="618" spans="1:23" ht="18" customHeight="1">
      <c r="A618" s="78"/>
      <c r="B618" s="78"/>
      <c r="C618" s="79"/>
      <c r="D618" s="80"/>
      <c r="E618" s="80"/>
      <c r="F618" s="81"/>
      <c r="G618" s="78"/>
      <c r="H618" s="82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</row>
    <row r="619" spans="1:23" ht="18" customHeight="1">
      <c r="A619" s="78"/>
      <c r="B619" s="78"/>
      <c r="C619" s="79"/>
      <c r="D619" s="80"/>
      <c r="E619" s="80"/>
      <c r="F619" s="81"/>
      <c r="G619" s="78"/>
      <c r="H619" s="82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</row>
    <row r="620" spans="1:23" ht="18" customHeight="1">
      <c r="A620" s="78"/>
      <c r="B620" s="78"/>
      <c r="C620" s="79"/>
      <c r="D620" s="80"/>
      <c r="E620" s="80"/>
      <c r="F620" s="81"/>
      <c r="G620" s="78"/>
      <c r="H620" s="82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</row>
    <row r="621" spans="1:23" ht="18" customHeight="1">
      <c r="A621" s="78"/>
      <c r="B621" s="78"/>
      <c r="C621" s="79"/>
      <c r="D621" s="80"/>
      <c r="E621" s="80"/>
      <c r="F621" s="81"/>
      <c r="G621" s="78"/>
      <c r="H621" s="82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</row>
    <row r="622" spans="1:23" ht="18" customHeight="1">
      <c r="A622" s="78"/>
      <c r="B622" s="78"/>
      <c r="C622" s="79"/>
      <c r="D622" s="80"/>
      <c r="E622" s="80"/>
      <c r="F622" s="81"/>
      <c r="G622" s="78"/>
      <c r="H622" s="82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</row>
    <row r="623" spans="1:23" ht="18" customHeight="1">
      <c r="A623" s="78"/>
      <c r="B623" s="78"/>
      <c r="C623" s="79"/>
      <c r="D623" s="80"/>
      <c r="E623" s="80"/>
      <c r="F623" s="81"/>
      <c r="G623" s="78"/>
      <c r="H623" s="82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</row>
    <row r="624" spans="1:23" ht="18" customHeight="1">
      <c r="A624" s="78"/>
      <c r="B624" s="78"/>
      <c r="C624" s="79"/>
      <c r="D624" s="80"/>
      <c r="E624" s="80"/>
      <c r="F624" s="81"/>
      <c r="G624" s="78"/>
      <c r="H624" s="82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</row>
    <row r="625" spans="1:23" ht="18" customHeight="1">
      <c r="A625" s="78"/>
      <c r="B625" s="78"/>
      <c r="C625" s="79"/>
      <c r="D625" s="80"/>
      <c r="E625" s="80"/>
      <c r="F625" s="81"/>
      <c r="G625" s="78"/>
      <c r="H625" s="82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</row>
    <row r="626" spans="1:23" ht="18" customHeight="1">
      <c r="A626" s="78"/>
      <c r="B626" s="78"/>
      <c r="C626" s="79"/>
      <c r="D626" s="80"/>
      <c r="E626" s="80"/>
      <c r="F626" s="81"/>
      <c r="G626" s="78"/>
      <c r="H626" s="82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</row>
    <row r="627" spans="1:23" ht="18" customHeight="1">
      <c r="A627" s="78"/>
      <c r="B627" s="78"/>
      <c r="C627" s="79"/>
      <c r="D627" s="80"/>
      <c r="E627" s="80"/>
      <c r="F627" s="81"/>
      <c r="G627" s="78"/>
      <c r="H627" s="82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</row>
    <row r="628" spans="1:23" ht="18" customHeight="1">
      <c r="A628" s="78"/>
      <c r="B628" s="78"/>
      <c r="C628" s="79"/>
      <c r="D628" s="80"/>
      <c r="E628" s="80"/>
      <c r="F628" s="81"/>
      <c r="G628" s="78"/>
      <c r="H628" s="82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</row>
    <row r="629" spans="1:23" ht="18" customHeight="1">
      <c r="A629" s="78"/>
      <c r="B629" s="78"/>
      <c r="C629" s="79"/>
      <c r="D629" s="80"/>
      <c r="E629" s="80"/>
      <c r="F629" s="81"/>
      <c r="G629" s="78"/>
      <c r="H629" s="82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</row>
    <row r="630" spans="1:23" ht="18" customHeight="1">
      <c r="A630" s="78"/>
      <c r="B630" s="78"/>
      <c r="C630" s="79"/>
      <c r="D630" s="80"/>
      <c r="E630" s="80"/>
      <c r="F630" s="81"/>
      <c r="G630" s="78"/>
      <c r="H630" s="82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</row>
    <row r="631" spans="1:23" ht="18" customHeight="1">
      <c r="A631" s="78"/>
      <c r="B631" s="78"/>
      <c r="C631" s="79"/>
      <c r="D631" s="80"/>
      <c r="E631" s="80"/>
      <c r="F631" s="81"/>
      <c r="G631" s="78"/>
      <c r="H631" s="82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</row>
    <row r="632" spans="1:23" ht="18" customHeight="1">
      <c r="A632" s="78"/>
      <c r="B632" s="78"/>
      <c r="C632" s="79"/>
      <c r="D632" s="80"/>
      <c r="E632" s="80"/>
      <c r="F632" s="81"/>
      <c r="G632" s="78"/>
      <c r="H632" s="82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</row>
    <row r="633" spans="1:23" ht="18" customHeight="1">
      <c r="A633" s="78"/>
      <c r="B633" s="78"/>
      <c r="C633" s="79"/>
      <c r="D633" s="80"/>
      <c r="E633" s="80"/>
      <c r="F633" s="81"/>
      <c r="G633" s="78"/>
      <c r="H633" s="82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</row>
    <row r="634" spans="1:23" ht="18" customHeight="1">
      <c r="A634" s="78"/>
      <c r="B634" s="78"/>
      <c r="C634" s="79"/>
      <c r="D634" s="80"/>
      <c r="E634" s="80"/>
      <c r="F634" s="81"/>
      <c r="G634" s="78"/>
      <c r="H634" s="82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</row>
    <row r="635" spans="1:23" ht="18" customHeight="1">
      <c r="A635" s="78"/>
      <c r="B635" s="78"/>
      <c r="C635" s="79"/>
      <c r="D635" s="80"/>
      <c r="E635" s="80"/>
      <c r="F635" s="81"/>
      <c r="G635" s="78"/>
      <c r="H635" s="82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</row>
    <row r="636" spans="1:23" ht="18" customHeight="1">
      <c r="A636" s="78"/>
      <c r="B636" s="78"/>
      <c r="C636" s="79"/>
      <c r="D636" s="80"/>
      <c r="E636" s="80"/>
      <c r="F636" s="81"/>
      <c r="G636" s="78"/>
      <c r="H636" s="82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</row>
    <row r="637" spans="1:23" ht="18" customHeight="1">
      <c r="A637" s="78"/>
      <c r="B637" s="78"/>
      <c r="C637" s="79"/>
      <c r="D637" s="80"/>
      <c r="E637" s="80"/>
      <c r="F637" s="81"/>
      <c r="G637" s="78"/>
      <c r="H637" s="82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</row>
    <row r="638" spans="1:23" ht="18" customHeight="1">
      <c r="A638" s="78"/>
      <c r="B638" s="78"/>
      <c r="C638" s="79"/>
      <c r="D638" s="80"/>
      <c r="E638" s="80"/>
      <c r="F638" s="81"/>
      <c r="G638" s="78"/>
      <c r="H638" s="82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</row>
    <row r="639" spans="1:23" ht="18" customHeight="1">
      <c r="A639" s="78"/>
      <c r="B639" s="78"/>
      <c r="C639" s="79"/>
      <c r="D639" s="80"/>
      <c r="E639" s="80"/>
      <c r="F639" s="81"/>
      <c r="G639" s="78"/>
      <c r="H639" s="82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</row>
    <row r="640" spans="1:23" ht="18" customHeight="1">
      <c r="A640" s="78"/>
      <c r="B640" s="78"/>
      <c r="C640" s="79"/>
      <c r="D640" s="80"/>
      <c r="E640" s="80"/>
      <c r="F640" s="81"/>
      <c r="G640" s="78"/>
      <c r="H640" s="82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</row>
    <row r="641" spans="1:23" ht="18" customHeight="1">
      <c r="A641" s="78"/>
      <c r="B641" s="78"/>
      <c r="C641" s="79"/>
      <c r="D641" s="80"/>
      <c r="E641" s="80"/>
      <c r="F641" s="81"/>
      <c r="G641" s="78"/>
      <c r="H641" s="82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</row>
    <row r="642" spans="1:23" ht="18" customHeight="1">
      <c r="A642" s="78"/>
      <c r="B642" s="78"/>
      <c r="C642" s="79"/>
      <c r="D642" s="80"/>
      <c r="E642" s="80"/>
      <c r="F642" s="81"/>
      <c r="G642" s="78"/>
      <c r="H642" s="82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</row>
    <row r="643" spans="1:23" ht="18" customHeight="1">
      <c r="A643" s="78"/>
      <c r="B643" s="78"/>
      <c r="C643" s="79"/>
      <c r="D643" s="80"/>
      <c r="E643" s="80"/>
      <c r="F643" s="81"/>
      <c r="G643" s="78"/>
      <c r="H643" s="82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</row>
    <row r="644" spans="1:23" ht="18" customHeight="1">
      <c r="A644" s="78"/>
      <c r="B644" s="78"/>
      <c r="C644" s="79"/>
      <c r="D644" s="80"/>
      <c r="E644" s="80"/>
      <c r="F644" s="81"/>
      <c r="G644" s="78"/>
      <c r="H644" s="82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</row>
    <row r="645" spans="1:23" ht="18" customHeight="1">
      <c r="A645" s="78"/>
      <c r="B645" s="78"/>
      <c r="C645" s="79"/>
      <c r="D645" s="80"/>
      <c r="E645" s="80"/>
      <c r="F645" s="81"/>
      <c r="G645" s="78"/>
      <c r="H645" s="82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</row>
    <row r="646" spans="1:23" ht="18" customHeight="1">
      <c r="A646" s="78"/>
      <c r="B646" s="78"/>
      <c r="C646" s="79"/>
      <c r="D646" s="80"/>
      <c r="E646" s="80"/>
      <c r="F646" s="81"/>
      <c r="G646" s="78"/>
      <c r="H646" s="82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</row>
    <row r="647" spans="1:23" ht="18" customHeight="1">
      <c r="A647" s="78"/>
      <c r="B647" s="78"/>
      <c r="C647" s="79"/>
      <c r="D647" s="80"/>
      <c r="E647" s="80"/>
      <c r="F647" s="81"/>
      <c r="G647" s="78"/>
      <c r="H647" s="82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</row>
    <row r="648" spans="1:23" ht="18" customHeight="1">
      <c r="A648" s="78"/>
      <c r="B648" s="78"/>
      <c r="C648" s="79"/>
      <c r="D648" s="80"/>
      <c r="E648" s="80"/>
      <c r="F648" s="81"/>
      <c r="G648" s="78"/>
      <c r="H648" s="82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</row>
    <row r="649" spans="1:23" ht="18" customHeight="1">
      <c r="A649" s="78"/>
      <c r="B649" s="78"/>
      <c r="C649" s="79"/>
      <c r="D649" s="80"/>
      <c r="E649" s="80"/>
      <c r="F649" s="81"/>
      <c r="G649" s="78"/>
      <c r="H649" s="82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</row>
    <row r="650" spans="1:23" ht="18" customHeight="1">
      <c r="A650" s="78"/>
      <c r="B650" s="78"/>
      <c r="C650" s="79"/>
      <c r="D650" s="80"/>
      <c r="E650" s="80"/>
      <c r="F650" s="81"/>
      <c r="G650" s="78"/>
      <c r="H650" s="82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</row>
    <row r="651" spans="1:23" ht="18" customHeight="1">
      <c r="A651" s="78"/>
      <c r="B651" s="78"/>
      <c r="C651" s="79"/>
      <c r="D651" s="80"/>
      <c r="E651" s="80"/>
      <c r="F651" s="81"/>
      <c r="G651" s="78"/>
      <c r="H651" s="82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</row>
    <row r="652" spans="1:23" ht="18" customHeight="1">
      <c r="A652" s="78"/>
      <c r="B652" s="78"/>
      <c r="C652" s="79"/>
      <c r="D652" s="80"/>
      <c r="E652" s="80"/>
      <c r="F652" s="81"/>
      <c r="G652" s="78"/>
      <c r="H652" s="82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</row>
    <row r="653" spans="1:23" ht="18" customHeight="1">
      <c r="A653" s="78"/>
      <c r="B653" s="78"/>
      <c r="C653" s="79"/>
      <c r="D653" s="80"/>
      <c r="E653" s="80"/>
      <c r="F653" s="81"/>
      <c r="G653" s="78"/>
      <c r="H653" s="82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</row>
    <row r="654" spans="1:23" ht="18" customHeight="1">
      <c r="A654" s="78"/>
      <c r="B654" s="78"/>
      <c r="C654" s="79"/>
      <c r="D654" s="80"/>
      <c r="E654" s="80"/>
      <c r="F654" s="81"/>
      <c r="G654" s="78"/>
      <c r="H654" s="82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</row>
    <row r="655" spans="1:23" ht="18" customHeight="1">
      <c r="A655" s="78"/>
      <c r="B655" s="78"/>
      <c r="C655" s="79"/>
      <c r="D655" s="80"/>
      <c r="E655" s="80"/>
      <c r="F655" s="81"/>
      <c r="G655" s="78"/>
      <c r="H655" s="82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</row>
    <row r="656" spans="1:23" ht="18" customHeight="1">
      <c r="A656" s="78"/>
      <c r="B656" s="78"/>
      <c r="C656" s="79"/>
      <c r="D656" s="80"/>
      <c r="E656" s="80"/>
      <c r="F656" s="81"/>
      <c r="G656" s="78"/>
      <c r="H656" s="82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</row>
    <row r="657" spans="1:23" ht="18" customHeight="1">
      <c r="A657" s="78"/>
      <c r="B657" s="78"/>
      <c r="C657" s="79"/>
      <c r="D657" s="80"/>
      <c r="E657" s="80"/>
      <c r="F657" s="81"/>
      <c r="G657" s="78"/>
      <c r="H657" s="82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</row>
    <row r="658" spans="1:23" ht="18" customHeight="1">
      <c r="A658" s="78"/>
      <c r="B658" s="78"/>
      <c r="C658" s="79"/>
      <c r="D658" s="80"/>
      <c r="E658" s="80"/>
      <c r="F658" s="81"/>
      <c r="G658" s="78"/>
      <c r="H658" s="82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</row>
    <row r="659" spans="1:23" ht="18" customHeight="1">
      <c r="A659" s="78"/>
      <c r="B659" s="78"/>
      <c r="C659" s="79"/>
      <c r="D659" s="80"/>
      <c r="E659" s="80"/>
      <c r="F659" s="81"/>
      <c r="G659" s="78"/>
      <c r="H659" s="82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</row>
    <row r="660" spans="1:23" ht="18" customHeight="1">
      <c r="A660" s="78"/>
      <c r="B660" s="78"/>
      <c r="C660" s="79"/>
      <c r="D660" s="80"/>
      <c r="E660" s="80"/>
      <c r="F660" s="81"/>
      <c r="G660" s="78"/>
      <c r="H660" s="82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</row>
    <row r="661" spans="1:23" ht="18" customHeight="1">
      <c r="A661" s="78"/>
      <c r="B661" s="78"/>
      <c r="C661" s="79"/>
      <c r="D661" s="80"/>
      <c r="E661" s="80"/>
      <c r="F661" s="81"/>
      <c r="G661" s="78"/>
      <c r="H661" s="82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</row>
    <row r="662" spans="1:23" ht="18" customHeight="1">
      <c r="A662" s="78"/>
      <c r="B662" s="78"/>
      <c r="C662" s="79"/>
      <c r="D662" s="80"/>
      <c r="E662" s="80"/>
      <c r="F662" s="81"/>
      <c r="G662" s="78"/>
      <c r="H662" s="82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</row>
    <row r="663" spans="1:23" ht="18" customHeight="1">
      <c r="A663" s="78"/>
      <c r="B663" s="78"/>
      <c r="C663" s="79"/>
      <c r="D663" s="80"/>
      <c r="E663" s="80"/>
      <c r="F663" s="81"/>
      <c r="G663" s="78"/>
      <c r="H663" s="82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</row>
    <row r="664" spans="1:23" ht="18" customHeight="1">
      <c r="A664" s="78"/>
      <c r="B664" s="78"/>
      <c r="C664" s="79"/>
      <c r="D664" s="80"/>
      <c r="E664" s="80"/>
      <c r="F664" s="81"/>
      <c r="G664" s="78"/>
      <c r="H664" s="82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</row>
    <row r="665" spans="1:23" ht="18" customHeight="1">
      <c r="A665" s="78"/>
      <c r="B665" s="78"/>
      <c r="C665" s="79"/>
      <c r="D665" s="80"/>
      <c r="E665" s="80"/>
      <c r="F665" s="81"/>
      <c r="G665" s="78"/>
      <c r="H665" s="82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</row>
    <row r="666" spans="1:23" ht="18" customHeight="1">
      <c r="A666" s="78"/>
      <c r="B666" s="78"/>
      <c r="C666" s="79"/>
      <c r="D666" s="80"/>
      <c r="E666" s="80"/>
      <c r="F666" s="81"/>
      <c r="G666" s="78"/>
      <c r="H666" s="82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</row>
    <row r="667" spans="1:23" ht="18" customHeight="1">
      <c r="A667" s="78"/>
      <c r="B667" s="78"/>
      <c r="C667" s="79"/>
      <c r="D667" s="80"/>
      <c r="E667" s="80"/>
      <c r="F667" s="81"/>
      <c r="G667" s="78"/>
      <c r="H667" s="82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</row>
    <row r="668" spans="1:23" ht="18" customHeight="1">
      <c r="A668" s="78"/>
      <c r="B668" s="78"/>
      <c r="C668" s="79"/>
      <c r="D668" s="80"/>
      <c r="E668" s="80"/>
      <c r="F668" s="81"/>
      <c r="G668" s="78"/>
      <c r="H668" s="82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</row>
    <row r="669" spans="1:23" ht="18" customHeight="1">
      <c r="A669" s="78"/>
      <c r="B669" s="78"/>
      <c r="C669" s="79"/>
      <c r="D669" s="80"/>
      <c r="E669" s="80"/>
      <c r="F669" s="81"/>
      <c r="G669" s="78"/>
      <c r="H669" s="82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</row>
    <row r="670" spans="1:23" ht="18" customHeight="1">
      <c r="A670" s="78"/>
      <c r="B670" s="78"/>
      <c r="C670" s="79"/>
      <c r="D670" s="80"/>
      <c r="E670" s="80"/>
      <c r="F670" s="81"/>
      <c r="G670" s="78"/>
      <c r="H670" s="82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</row>
    <row r="671" spans="1:23" ht="18" customHeight="1">
      <c r="A671" s="78"/>
      <c r="B671" s="78"/>
      <c r="C671" s="79"/>
      <c r="D671" s="80"/>
      <c r="E671" s="80"/>
      <c r="F671" s="81"/>
      <c r="G671" s="78"/>
      <c r="H671" s="82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</row>
    <row r="672" spans="1:23" ht="18" customHeight="1">
      <c r="A672" s="78"/>
      <c r="B672" s="78"/>
      <c r="C672" s="79"/>
      <c r="D672" s="80"/>
      <c r="E672" s="80"/>
      <c r="F672" s="81"/>
      <c r="G672" s="78"/>
      <c r="H672" s="82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</row>
    <row r="673" spans="1:23" ht="18" customHeight="1">
      <c r="A673" s="78"/>
      <c r="B673" s="78"/>
      <c r="C673" s="79"/>
      <c r="D673" s="80"/>
      <c r="E673" s="80"/>
      <c r="F673" s="81"/>
      <c r="G673" s="78"/>
      <c r="H673" s="82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</row>
    <row r="674" spans="1:23" ht="18" customHeight="1">
      <c r="A674" s="78"/>
      <c r="B674" s="78"/>
      <c r="C674" s="79"/>
      <c r="D674" s="80"/>
      <c r="E674" s="80"/>
      <c r="F674" s="81"/>
      <c r="G674" s="78"/>
      <c r="H674" s="82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</row>
    <row r="675" spans="1:23" ht="18" customHeight="1">
      <c r="A675" s="78"/>
      <c r="B675" s="78"/>
      <c r="C675" s="79"/>
      <c r="D675" s="80"/>
      <c r="E675" s="80"/>
      <c r="F675" s="81"/>
      <c r="G675" s="78"/>
      <c r="H675" s="82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</row>
    <row r="676" spans="1:23" ht="18" customHeight="1">
      <c r="A676" s="78"/>
      <c r="B676" s="78"/>
      <c r="C676" s="79"/>
      <c r="D676" s="80"/>
      <c r="E676" s="80"/>
      <c r="F676" s="81"/>
      <c r="G676" s="78"/>
      <c r="H676" s="82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</row>
    <row r="677" spans="1:23" ht="18" customHeight="1">
      <c r="A677" s="78"/>
      <c r="B677" s="78"/>
      <c r="C677" s="79"/>
      <c r="D677" s="80"/>
      <c r="E677" s="80"/>
      <c r="F677" s="81"/>
      <c r="G677" s="78"/>
      <c r="H677" s="82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</row>
    <row r="678" spans="1:23" ht="18" customHeight="1">
      <c r="A678" s="78"/>
      <c r="B678" s="78"/>
      <c r="C678" s="79"/>
      <c r="D678" s="80"/>
      <c r="E678" s="80"/>
      <c r="F678" s="81"/>
      <c r="G678" s="78"/>
      <c r="H678" s="82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</row>
    <row r="679" spans="1:23" ht="18" customHeight="1">
      <c r="A679" s="78"/>
      <c r="B679" s="78"/>
      <c r="C679" s="79"/>
      <c r="D679" s="80"/>
      <c r="E679" s="80"/>
      <c r="F679" s="81"/>
      <c r="G679" s="78"/>
      <c r="H679" s="82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</row>
    <row r="680" spans="1:23" ht="18" customHeight="1">
      <c r="A680" s="78"/>
      <c r="B680" s="78"/>
      <c r="C680" s="79"/>
      <c r="D680" s="80"/>
      <c r="E680" s="80"/>
      <c r="F680" s="81"/>
      <c r="G680" s="78"/>
      <c r="H680" s="82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</row>
    <row r="681" spans="1:23" ht="18" customHeight="1">
      <c r="A681" s="78"/>
      <c r="B681" s="78"/>
      <c r="C681" s="79"/>
      <c r="D681" s="80"/>
      <c r="E681" s="80"/>
      <c r="F681" s="81"/>
      <c r="G681" s="78"/>
      <c r="H681" s="82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</row>
    <row r="682" spans="1:23" ht="18" customHeight="1">
      <c r="A682" s="78"/>
      <c r="B682" s="78"/>
      <c r="C682" s="79"/>
      <c r="D682" s="80"/>
      <c r="E682" s="80"/>
      <c r="F682" s="81"/>
      <c r="G682" s="78"/>
      <c r="H682" s="82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</row>
    <row r="683" spans="1:23" ht="18" customHeight="1">
      <c r="A683" s="78"/>
      <c r="B683" s="78"/>
      <c r="C683" s="79"/>
      <c r="D683" s="80"/>
      <c r="E683" s="80"/>
      <c r="F683" s="81"/>
      <c r="G683" s="78"/>
      <c r="H683" s="82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</row>
    <row r="684" spans="1:23" ht="18" customHeight="1">
      <c r="A684" s="78"/>
      <c r="B684" s="78"/>
      <c r="C684" s="79"/>
      <c r="D684" s="80"/>
      <c r="E684" s="80"/>
      <c r="F684" s="81"/>
      <c r="G684" s="78"/>
      <c r="H684" s="82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</row>
    <row r="685" spans="1:23" ht="18" customHeight="1">
      <c r="A685" s="78"/>
      <c r="B685" s="78"/>
      <c r="C685" s="79"/>
      <c r="D685" s="80"/>
      <c r="E685" s="80"/>
      <c r="F685" s="81"/>
      <c r="G685" s="78"/>
      <c r="H685" s="82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</row>
    <row r="686" spans="1:23" ht="18" customHeight="1">
      <c r="A686" s="78"/>
      <c r="B686" s="78"/>
      <c r="C686" s="79"/>
      <c r="D686" s="80"/>
      <c r="E686" s="80"/>
      <c r="F686" s="81"/>
      <c r="G686" s="78"/>
      <c r="H686" s="82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</row>
    <row r="687" spans="1:23" ht="18" customHeight="1">
      <c r="A687" s="78"/>
      <c r="B687" s="78"/>
      <c r="C687" s="79"/>
      <c r="D687" s="80"/>
      <c r="E687" s="80"/>
      <c r="F687" s="81"/>
      <c r="G687" s="78"/>
      <c r="H687" s="82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</row>
    <row r="688" spans="1:23" ht="18" customHeight="1">
      <c r="A688" s="78"/>
      <c r="B688" s="78"/>
      <c r="C688" s="79"/>
      <c r="D688" s="80"/>
      <c r="E688" s="80"/>
      <c r="F688" s="81"/>
      <c r="G688" s="78"/>
      <c r="H688" s="82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</row>
    <row r="689" spans="1:23" ht="18" customHeight="1">
      <c r="A689" s="78"/>
      <c r="B689" s="78"/>
      <c r="C689" s="79"/>
      <c r="D689" s="80"/>
      <c r="E689" s="80"/>
      <c r="F689" s="81"/>
      <c r="G689" s="78"/>
      <c r="H689" s="82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</row>
    <row r="690" spans="1:23" ht="18" customHeight="1">
      <c r="A690" s="78"/>
      <c r="B690" s="78"/>
      <c r="C690" s="79"/>
      <c r="D690" s="80"/>
      <c r="E690" s="80"/>
      <c r="F690" s="81"/>
      <c r="G690" s="78"/>
      <c r="H690" s="82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</row>
    <row r="691" spans="1:23" ht="18" customHeight="1">
      <c r="A691" s="78"/>
      <c r="B691" s="78"/>
      <c r="C691" s="79"/>
      <c r="D691" s="80"/>
      <c r="E691" s="80"/>
      <c r="F691" s="81"/>
      <c r="G691" s="78"/>
      <c r="H691" s="82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</row>
    <row r="692" spans="1:23" ht="18" customHeight="1">
      <c r="A692" s="78"/>
      <c r="B692" s="78"/>
      <c r="C692" s="79"/>
      <c r="D692" s="80"/>
      <c r="E692" s="80"/>
      <c r="F692" s="81"/>
      <c r="G692" s="78"/>
      <c r="H692" s="82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</row>
    <row r="693" spans="1:23" ht="18" customHeight="1">
      <c r="A693" s="78"/>
      <c r="B693" s="78"/>
      <c r="C693" s="79"/>
      <c r="D693" s="80"/>
      <c r="E693" s="80"/>
      <c r="F693" s="81"/>
      <c r="G693" s="78"/>
      <c r="H693" s="82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</row>
    <row r="694" spans="1:23" ht="18" customHeight="1">
      <c r="A694" s="78"/>
      <c r="B694" s="78"/>
      <c r="C694" s="79"/>
      <c r="D694" s="80"/>
      <c r="E694" s="80"/>
      <c r="F694" s="81"/>
      <c r="G694" s="78"/>
      <c r="H694" s="82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</row>
    <row r="695" spans="1:23" ht="18" customHeight="1">
      <c r="A695" s="78"/>
      <c r="B695" s="78"/>
      <c r="C695" s="79"/>
      <c r="D695" s="80"/>
      <c r="E695" s="80"/>
      <c r="F695" s="81"/>
      <c r="G695" s="78"/>
      <c r="H695" s="82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</row>
    <row r="696" spans="1:23" ht="18" customHeight="1">
      <c r="A696" s="78"/>
      <c r="B696" s="78"/>
      <c r="C696" s="79"/>
      <c r="D696" s="80"/>
      <c r="E696" s="80"/>
      <c r="F696" s="81"/>
      <c r="G696" s="78"/>
      <c r="H696" s="82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</row>
    <row r="697" spans="1:23" ht="18" customHeight="1">
      <c r="A697" s="78"/>
      <c r="B697" s="78"/>
      <c r="C697" s="79"/>
      <c r="D697" s="80"/>
      <c r="E697" s="80"/>
      <c r="F697" s="81"/>
      <c r="G697" s="78"/>
      <c r="H697" s="82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</row>
    <row r="698" spans="1:23" ht="18" customHeight="1">
      <c r="A698" s="78"/>
      <c r="B698" s="78"/>
      <c r="C698" s="79"/>
      <c r="D698" s="80"/>
      <c r="E698" s="80"/>
      <c r="F698" s="81"/>
      <c r="G698" s="78"/>
      <c r="H698" s="82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</row>
    <row r="699" spans="1:23" ht="18" customHeight="1">
      <c r="A699" s="78"/>
      <c r="B699" s="78"/>
      <c r="C699" s="79"/>
      <c r="D699" s="80"/>
      <c r="E699" s="80"/>
      <c r="F699" s="81"/>
      <c r="G699" s="78"/>
      <c r="H699" s="82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</row>
    <row r="700" spans="1:23" ht="18" customHeight="1">
      <c r="A700" s="78"/>
      <c r="B700" s="78"/>
      <c r="C700" s="79"/>
      <c r="D700" s="80"/>
      <c r="E700" s="80"/>
      <c r="F700" s="81"/>
      <c r="G700" s="78"/>
      <c r="H700" s="82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</row>
    <row r="701" spans="1:23" ht="18" customHeight="1">
      <c r="A701" s="78"/>
      <c r="B701" s="78"/>
      <c r="C701" s="79"/>
      <c r="D701" s="80"/>
      <c r="E701" s="80"/>
      <c r="F701" s="81"/>
      <c r="G701" s="78"/>
      <c r="H701" s="82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</row>
    <row r="702" spans="1:23" ht="18" customHeight="1">
      <c r="A702" s="78"/>
      <c r="B702" s="78"/>
      <c r="C702" s="79"/>
      <c r="D702" s="80"/>
      <c r="E702" s="80"/>
      <c r="F702" s="81"/>
      <c r="G702" s="78"/>
      <c r="H702" s="82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</row>
    <row r="703" spans="1:23" ht="18" customHeight="1">
      <c r="A703" s="78"/>
      <c r="B703" s="78"/>
      <c r="C703" s="79"/>
      <c r="D703" s="80"/>
      <c r="E703" s="80"/>
      <c r="F703" s="81"/>
      <c r="G703" s="78"/>
      <c r="H703" s="82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</row>
    <row r="704" spans="1:23" ht="18" customHeight="1">
      <c r="A704" s="78"/>
      <c r="B704" s="78"/>
      <c r="C704" s="79"/>
      <c r="D704" s="80"/>
      <c r="E704" s="80"/>
      <c r="F704" s="81"/>
      <c r="G704" s="78"/>
      <c r="H704" s="82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</row>
    <row r="705" spans="1:23" ht="18" customHeight="1">
      <c r="A705" s="78"/>
      <c r="B705" s="78"/>
      <c r="C705" s="79"/>
      <c r="D705" s="80"/>
      <c r="E705" s="80"/>
      <c r="F705" s="81"/>
      <c r="G705" s="78"/>
      <c r="H705" s="82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</row>
    <row r="706" spans="1:23" ht="18" customHeight="1">
      <c r="A706" s="78"/>
      <c r="B706" s="78"/>
      <c r="C706" s="79"/>
      <c r="D706" s="80"/>
      <c r="E706" s="80"/>
      <c r="F706" s="81"/>
      <c r="G706" s="78"/>
      <c r="H706" s="82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</row>
    <row r="707" spans="1:23" ht="18" customHeight="1">
      <c r="A707" s="78"/>
      <c r="B707" s="78"/>
      <c r="C707" s="79"/>
      <c r="D707" s="80"/>
      <c r="E707" s="80"/>
      <c r="F707" s="81"/>
      <c r="G707" s="78"/>
      <c r="H707" s="82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</row>
    <row r="708" spans="1:23" ht="18" customHeight="1">
      <c r="A708" s="78"/>
      <c r="B708" s="78"/>
      <c r="C708" s="79"/>
      <c r="D708" s="80"/>
      <c r="E708" s="80"/>
      <c r="F708" s="81"/>
      <c r="G708" s="78"/>
      <c r="H708" s="82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</row>
    <row r="709" spans="1:23" ht="18" customHeight="1">
      <c r="A709" s="78"/>
      <c r="B709" s="78"/>
      <c r="C709" s="79"/>
      <c r="D709" s="80"/>
      <c r="E709" s="80"/>
      <c r="F709" s="81"/>
      <c r="G709" s="78"/>
      <c r="H709" s="82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</row>
    <row r="710" spans="1:23" ht="18" customHeight="1">
      <c r="A710" s="78"/>
      <c r="B710" s="78"/>
      <c r="C710" s="79"/>
      <c r="D710" s="80"/>
      <c r="E710" s="80"/>
      <c r="F710" s="81"/>
      <c r="G710" s="78"/>
      <c r="H710" s="82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</row>
    <row r="711" spans="1:23" ht="18" customHeight="1">
      <c r="A711" s="78"/>
      <c r="B711" s="78"/>
      <c r="C711" s="79"/>
      <c r="D711" s="80"/>
      <c r="E711" s="80"/>
      <c r="F711" s="81"/>
      <c r="G711" s="78"/>
      <c r="H711" s="82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</row>
    <row r="712" spans="1:23" ht="18" customHeight="1">
      <c r="A712" s="78"/>
      <c r="B712" s="78"/>
      <c r="C712" s="79"/>
      <c r="D712" s="80"/>
      <c r="E712" s="80"/>
      <c r="F712" s="81"/>
      <c r="G712" s="78"/>
      <c r="H712" s="82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</row>
    <row r="713" spans="1:23" ht="18" customHeight="1">
      <c r="A713" s="78"/>
      <c r="B713" s="78"/>
      <c r="C713" s="79"/>
      <c r="D713" s="80"/>
      <c r="E713" s="80"/>
      <c r="F713" s="81"/>
      <c r="G713" s="78"/>
      <c r="H713" s="82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</row>
    <row r="714" spans="1:23" ht="18" customHeight="1">
      <c r="A714" s="78"/>
      <c r="B714" s="78"/>
      <c r="C714" s="79"/>
      <c r="D714" s="80"/>
      <c r="E714" s="80"/>
      <c r="F714" s="81"/>
      <c r="G714" s="78"/>
      <c r="H714" s="82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</row>
    <row r="715" spans="1:23" ht="18" customHeight="1">
      <c r="A715" s="78"/>
      <c r="B715" s="78"/>
      <c r="C715" s="79"/>
      <c r="D715" s="80"/>
      <c r="E715" s="80"/>
      <c r="F715" s="81"/>
      <c r="G715" s="78"/>
      <c r="H715" s="82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</row>
    <row r="716" spans="1:23" ht="18" customHeight="1">
      <c r="A716" s="78"/>
      <c r="B716" s="78"/>
      <c r="C716" s="79"/>
      <c r="D716" s="80"/>
      <c r="E716" s="80"/>
      <c r="F716" s="81"/>
      <c r="G716" s="78"/>
      <c r="H716" s="82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</row>
    <row r="717" spans="1:23" ht="18" customHeight="1">
      <c r="A717" s="78"/>
      <c r="B717" s="78"/>
      <c r="C717" s="79"/>
      <c r="D717" s="80"/>
      <c r="E717" s="80"/>
      <c r="F717" s="81"/>
      <c r="G717" s="78"/>
      <c r="H717" s="82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</row>
    <row r="718" spans="1:23" ht="18" customHeight="1">
      <c r="A718" s="78"/>
      <c r="B718" s="78"/>
      <c r="C718" s="79"/>
      <c r="D718" s="80"/>
      <c r="E718" s="80"/>
      <c r="F718" s="81"/>
      <c r="G718" s="78"/>
      <c r="H718" s="82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</row>
    <row r="719" spans="1:23" ht="18" customHeight="1">
      <c r="A719" s="78"/>
      <c r="B719" s="78"/>
      <c r="C719" s="79"/>
      <c r="D719" s="80"/>
      <c r="E719" s="80"/>
      <c r="F719" s="81"/>
      <c r="G719" s="78"/>
      <c r="H719" s="82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</row>
    <row r="720" spans="1:23" ht="18" customHeight="1">
      <c r="A720" s="78"/>
      <c r="B720" s="78"/>
      <c r="C720" s="79"/>
      <c r="D720" s="80"/>
      <c r="E720" s="80"/>
      <c r="F720" s="81"/>
      <c r="G720" s="78"/>
      <c r="H720" s="82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</row>
    <row r="721" spans="1:23" ht="18" customHeight="1">
      <c r="A721" s="78"/>
      <c r="B721" s="78"/>
      <c r="C721" s="79"/>
      <c r="D721" s="80"/>
      <c r="E721" s="80"/>
      <c r="F721" s="81"/>
      <c r="G721" s="78"/>
      <c r="H721" s="82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</row>
    <row r="722" spans="1:23" ht="18" customHeight="1">
      <c r="A722" s="78"/>
      <c r="B722" s="78"/>
      <c r="C722" s="79"/>
      <c r="D722" s="80"/>
      <c r="E722" s="80"/>
      <c r="F722" s="81"/>
      <c r="G722" s="78"/>
      <c r="H722" s="82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</row>
    <row r="723" spans="1:23" ht="18" customHeight="1">
      <c r="A723" s="78"/>
      <c r="B723" s="78"/>
      <c r="C723" s="79"/>
      <c r="D723" s="80"/>
      <c r="E723" s="80"/>
      <c r="F723" s="81"/>
      <c r="G723" s="78"/>
      <c r="H723" s="82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</row>
    <row r="724" spans="1:23" ht="18" customHeight="1">
      <c r="A724" s="78"/>
      <c r="B724" s="78"/>
      <c r="C724" s="79"/>
      <c r="D724" s="80"/>
      <c r="E724" s="80"/>
      <c r="F724" s="81"/>
      <c r="G724" s="78"/>
      <c r="H724" s="82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</row>
    <row r="725" spans="1:23" ht="18" customHeight="1">
      <c r="A725" s="78"/>
      <c r="B725" s="78"/>
      <c r="C725" s="79"/>
      <c r="D725" s="80"/>
      <c r="E725" s="80"/>
      <c r="F725" s="81"/>
      <c r="G725" s="78"/>
      <c r="H725" s="82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</row>
    <row r="726" spans="1:23" ht="18" customHeight="1">
      <c r="A726" s="78"/>
      <c r="B726" s="78"/>
      <c r="C726" s="79"/>
      <c r="D726" s="80"/>
      <c r="E726" s="80"/>
      <c r="F726" s="81"/>
      <c r="G726" s="78"/>
      <c r="H726" s="82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</row>
    <row r="727" spans="1:23" ht="18" customHeight="1">
      <c r="A727" s="78"/>
      <c r="B727" s="78"/>
      <c r="C727" s="79"/>
      <c r="D727" s="80"/>
      <c r="E727" s="80"/>
      <c r="F727" s="81"/>
      <c r="G727" s="78"/>
      <c r="H727" s="82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</row>
    <row r="728" spans="1:23" ht="18" customHeight="1">
      <c r="A728" s="78"/>
      <c r="B728" s="78"/>
      <c r="C728" s="79"/>
      <c r="D728" s="80"/>
      <c r="E728" s="80"/>
      <c r="F728" s="81"/>
      <c r="G728" s="78"/>
      <c r="H728" s="82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</row>
    <row r="729" spans="1:23" ht="18" customHeight="1">
      <c r="A729" s="78"/>
      <c r="B729" s="78"/>
      <c r="C729" s="79"/>
      <c r="D729" s="80"/>
      <c r="E729" s="80"/>
      <c r="F729" s="81"/>
      <c r="G729" s="78"/>
      <c r="H729" s="82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</row>
    <row r="730" spans="1:23" ht="18" customHeight="1">
      <c r="A730" s="78"/>
      <c r="B730" s="78"/>
      <c r="C730" s="79"/>
      <c r="D730" s="80"/>
      <c r="E730" s="80"/>
      <c r="F730" s="81"/>
      <c r="G730" s="78"/>
      <c r="H730" s="82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</row>
    <row r="731" spans="1:23" ht="18" customHeight="1">
      <c r="A731" s="78"/>
      <c r="B731" s="78"/>
      <c r="C731" s="79"/>
      <c r="D731" s="80"/>
      <c r="E731" s="80"/>
      <c r="F731" s="81"/>
      <c r="G731" s="78"/>
      <c r="H731" s="82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</row>
    <row r="732" spans="1:23" ht="18" customHeight="1">
      <c r="A732" s="78"/>
      <c r="B732" s="78"/>
      <c r="C732" s="79"/>
      <c r="D732" s="80"/>
      <c r="E732" s="80"/>
      <c r="F732" s="81"/>
      <c r="G732" s="78"/>
      <c r="H732" s="82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</row>
    <row r="733" spans="1:23" ht="18" customHeight="1">
      <c r="A733" s="78"/>
      <c r="B733" s="78"/>
      <c r="C733" s="79"/>
      <c r="D733" s="80"/>
      <c r="E733" s="80"/>
      <c r="F733" s="81"/>
      <c r="G733" s="78"/>
      <c r="H733" s="82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</row>
    <row r="734" spans="1:23" ht="18" customHeight="1">
      <c r="A734" s="78"/>
      <c r="B734" s="78"/>
      <c r="C734" s="79"/>
      <c r="D734" s="80"/>
      <c r="E734" s="80"/>
      <c r="F734" s="81"/>
      <c r="G734" s="78"/>
      <c r="H734" s="82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</row>
    <row r="735" spans="1:23" ht="18" customHeight="1">
      <c r="A735" s="78"/>
      <c r="B735" s="78"/>
      <c r="C735" s="79"/>
      <c r="D735" s="80"/>
      <c r="E735" s="80"/>
      <c r="F735" s="81"/>
      <c r="G735" s="78"/>
      <c r="H735" s="82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</row>
    <row r="736" spans="1:23" ht="18" customHeight="1">
      <c r="A736" s="78"/>
      <c r="B736" s="78"/>
      <c r="C736" s="79"/>
      <c r="D736" s="80"/>
      <c r="E736" s="80"/>
      <c r="F736" s="81"/>
      <c r="G736" s="78"/>
      <c r="H736" s="82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</row>
    <row r="737" spans="1:23" ht="18" customHeight="1">
      <c r="A737" s="78"/>
      <c r="B737" s="78"/>
      <c r="C737" s="79"/>
      <c r="D737" s="80"/>
      <c r="E737" s="80"/>
      <c r="F737" s="81"/>
      <c r="G737" s="78"/>
      <c r="H737" s="82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</row>
    <row r="738" spans="1:23" ht="18" customHeight="1">
      <c r="A738" s="78"/>
      <c r="B738" s="78"/>
      <c r="C738" s="79"/>
      <c r="D738" s="80"/>
      <c r="E738" s="80"/>
      <c r="F738" s="81"/>
      <c r="G738" s="78"/>
      <c r="H738" s="82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</row>
    <row r="739" spans="1:23" ht="18" customHeight="1">
      <c r="A739" s="78"/>
      <c r="B739" s="78"/>
      <c r="C739" s="79"/>
      <c r="D739" s="80"/>
      <c r="E739" s="80"/>
      <c r="F739" s="81"/>
      <c r="G739" s="78"/>
      <c r="H739" s="82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</row>
    <row r="740" spans="1:23" ht="18" customHeight="1">
      <c r="A740" s="78"/>
      <c r="B740" s="78"/>
      <c r="C740" s="79"/>
      <c r="D740" s="80"/>
      <c r="E740" s="80"/>
      <c r="F740" s="81"/>
      <c r="G740" s="78"/>
      <c r="H740" s="82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</row>
    <row r="741" spans="1:23" ht="18" customHeight="1">
      <c r="A741" s="78"/>
      <c r="B741" s="78"/>
      <c r="C741" s="79"/>
      <c r="D741" s="80"/>
      <c r="E741" s="80"/>
      <c r="F741" s="81"/>
      <c r="G741" s="78"/>
      <c r="H741" s="82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</row>
    <row r="742" spans="1:23" ht="18" customHeight="1">
      <c r="A742" s="78"/>
      <c r="B742" s="78"/>
      <c r="C742" s="79"/>
      <c r="D742" s="80"/>
      <c r="E742" s="80"/>
      <c r="F742" s="81"/>
      <c r="G742" s="78"/>
      <c r="H742" s="82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</row>
    <row r="743" spans="1:23" ht="18" customHeight="1">
      <c r="A743" s="78"/>
      <c r="B743" s="78"/>
      <c r="C743" s="79"/>
      <c r="D743" s="80"/>
      <c r="E743" s="80"/>
      <c r="F743" s="81"/>
      <c r="G743" s="78"/>
      <c r="H743" s="82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</row>
    <row r="744" spans="1:23" ht="18" customHeight="1">
      <c r="A744" s="78"/>
      <c r="B744" s="78"/>
      <c r="C744" s="79"/>
      <c r="D744" s="80"/>
      <c r="E744" s="80"/>
      <c r="F744" s="81"/>
      <c r="G744" s="78"/>
      <c r="H744" s="82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</row>
    <row r="745" spans="1:23" ht="18" customHeight="1">
      <c r="A745" s="78"/>
      <c r="B745" s="78"/>
      <c r="C745" s="79"/>
      <c r="D745" s="80"/>
      <c r="E745" s="80"/>
      <c r="F745" s="81"/>
      <c r="G745" s="78"/>
      <c r="H745" s="82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</row>
    <row r="746" spans="1:23" ht="18" customHeight="1">
      <c r="A746" s="78"/>
      <c r="B746" s="78"/>
      <c r="C746" s="79"/>
      <c r="D746" s="80"/>
      <c r="E746" s="80"/>
      <c r="F746" s="81"/>
      <c r="G746" s="78"/>
      <c r="H746" s="82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</row>
    <row r="747" spans="1:23" ht="18" customHeight="1">
      <c r="A747" s="78"/>
      <c r="B747" s="78"/>
      <c r="C747" s="79"/>
      <c r="D747" s="80"/>
      <c r="E747" s="80"/>
      <c r="F747" s="81"/>
      <c r="G747" s="78"/>
      <c r="H747" s="82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</row>
    <row r="748" spans="1:23" ht="18" customHeight="1">
      <c r="A748" s="78"/>
      <c r="B748" s="78"/>
      <c r="C748" s="79"/>
      <c r="D748" s="80"/>
      <c r="E748" s="80"/>
      <c r="F748" s="81"/>
      <c r="G748" s="78"/>
      <c r="H748" s="82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</row>
    <row r="749" spans="1:23" ht="18" customHeight="1">
      <c r="A749" s="78"/>
      <c r="B749" s="78"/>
      <c r="C749" s="79"/>
      <c r="D749" s="80"/>
      <c r="E749" s="80"/>
      <c r="F749" s="81"/>
      <c r="G749" s="78"/>
      <c r="H749" s="82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</row>
    <row r="750" spans="1:23" ht="18" customHeight="1">
      <c r="A750" s="78"/>
      <c r="B750" s="78"/>
      <c r="C750" s="79"/>
      <c r="D750" s="80"/>
      <c r="E750" s="80"/>
      <c r="F750" s="81"/>
      <c r="G750" s="78"/>
      <c r="H750" s="82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</row>
    <row r="751" spans="1:23" ht="18" customHeight="1">
      <c r="A751" s="78"/>
      <c r="B751" s="78"/>
      <c r="C751" s="79"/>
      <c r="D751" s="80"/>
      <c r="E751" s="80"/>
      <c r="F751" s="81"/>
      <c r="G751" s="78"/>
      <c r="H751" s="82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</row>
    <row r="752" spans="1:23" ht="18" customHeight="1">
      <c r="A752" s="78"/>
      <c r="B752" s="78"/>
      <c r="C752" s="79"/>
      <c r="D752" s="80"/>
      <c r="E752" s="80"/>
      <c r="F752" s="81"/>
      <c r="G752" s="78"/>
      <c r="H752" s="82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</row>
    <row r="753" spans="1:23" ht="18" customHeight="1">
      <c r="A753" s="78"/>
      <c r="B753" s="78"/>
      <c r="C753" s="79"/>
      <c r="D753" s="80"/>
      <c r="E753" s="80"/>
      <c r="F753" s="81"/>
      <c r="G753" s="78"/>
      <c r="H753" s="82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</row>
    <row r="754" spans="1:23" ht="18" customHeight="1">
      <c r="A754" s="78"/>
      <c r="B754" s="78"/>
      <c r="C754" s="79"/>
      <c r="D754" s="80"/>
      <c r="E754" s="80"/>
      <c r="F754" s="81"/>
      <c r="G754" s="78"/>
      <c r="H754" s="82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</row>
    <row r="755" spans="1:23" ht="18" customHeight="1">
      <c r="A755" s="78"/>
      <c r="B755" s="78"/>
      <c r="C755" s="79"/>
      <c r="D755" s="80"/>
      <c r="E755" s="80"/>
      <c r="F755" s="81"/>
      <c r="G755" s="78"/>
      <c r="H755" s="82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</row>
    <row r="756" spans="1:23" ht="18" customHeight="1">
      <c r="A756" s="78"/>
      <c r="B756" s="78"/>
      <c r="C756" s="79"/>
      <c r="D756" s="80"/>
      <c r="E756" s="80"/>
      <c r="F756" s="81"/>
      <c r="G756" s="78"/>
      <c r="H756" s="82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</row>
    <row r="757" spans="1:23" ht="18" customHeight="1">
      <c r="A757" s="78"/>
      <c r="B757" s="78"/>
      <c r="C757" s="79"/>
      <c r="D757" s="80"/>
      <c r="E757" s="80"/>
      <c r="F757" s="81"/>
      <c r="G757" s="78"/>
      <c r="H757" s="82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</row>
    <row r="758" spans="1:23" ht="18" customHeight="1">
      <c r="A758" s="78"/>
      <c r="B758" s="78"/>
      <c r="C758" s="79"/>
      <c r="D758" s="80"/>
      <c r="E758" s="80"/>
      <c r="F758" s="81"/>
      <c r="G758" s="78"/>
      <c r="H758" s="82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</row>
    <row r="759" spans="1:23" ht="18" customHeight="1">
      <c r="A759" s="78"/>
      <c r="B759" s="78"/>
      <c r="C759" s="79"/>
      <c r="D759" s="80"/>
      <c r="E759" s="80"/>
      <c r="F759" s="81"/>
      <c r="G759" s="78"/>
      <c r="H759" s="82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</row>
    <row r="760" spans="1:23" ht="18" customHeight="1">
      <c r="A760" s="78"/>
      <c r="B760" s="78"/>
      <c r="C760" s="79"/>
      <c r="D760" s="80"/>
      <c r="E760" s="80"/>
      <c r="F760" s="81"/>
      <c r="G760" s="78"/>
      <c r="H760" s="82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</row>
    <row r="761" spans="1:23" ht="18" customHeight="1">
      <c r="A761" s="78"/>
      <c r="B761" s="78"/>
      <c r="C761" s="79"/>
      <c r="D761" s="80"/>
      <c r="E761" s="80"/>
      <c r="F761" s="81"/>
      <c r="G761" s="78"/>
      <c r="H761" s="82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</row>
    <row r="762" spans="1:23" ht="18" customHeight="1">
      <c r="A762" s="78"/>
      <c r="B762" s="78"/>
      <c r="C762" s="79"/>
      <c r="D762" s="80"/>
      <c r="E762" s="80"/>
      <c r="F762" s="81"/>
      <c r="G762" s="78"/>
      <c r="H762" s="82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</row>
    <row r="763" spans="1:23" ht="18" customHeight="1">
      <c r="A763" s="78"/>
      <c r="B763" s="78"/>
      <c r="C763" s="79"/>
      <c r="D763" s="80"/>
      <c r="E763" s="80"/>
      <c r="F763" s="81"/>
      <c r="G763" s="78"/>
      <c r="H763" s="82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</row>
    <row r="764" spans="1:23" ht="18" customHeight="1">
      <c r="A764" s="78"/>
      <c r="B764" s="78"/>
      <c r="C764" s="79"/>
      <c r="D764" s="80"/>
      <c r="E764" s="80"/>
      <c r="F764" s="81"/>
      <c r="G764" s="78"/>
      <c r="H764" s="82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</row>
    <row r="765" spans="1:23" ht="18" customHeight="1">
      <c r="A765" s="78"/>
      <c r="B765" s="78"/>
      <c r="C765" s="79"/>
      <c r="D765" s="80"/>
      <c r="E765" s="80"/>
      <c r="F765" s="81"/>
      <c r="G765" s="78"/>
      <c r="H765" s="82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</row>
    <row r="766" spans="1:23" ht="18" customHeight="1">
      <c r="A766" s="78"/>
      <c r="B766" s="78"/>
      <c r="C766" s="79"/>
      <c r="D766" s="80"/>
      <c r="E766" s="80"/>
      <c r="F766" s="81"/>
      <c r="G766" s="78"/>
      <c r="H766" s="82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</row>
    <row r="767" spans="1:23" ht="18" customHeight="1">
      <c r="A767" s="78"/>
      <c r="B767" s="78"/>
      <c r="C767" s="79"/>
      <c r="D767" s="80"/>
      <c r="E767" s="80"/>
      <c r="F767" s="81"/>
      <c r="G767" s="78"/>
      <c r="H767" s="82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</row>
    <row r="768" spans="1:23" ht="18" customHeight="1">
      <c r="A768" s="78"/>
      <c r="B768" s="78"/>
      <c r="C768" s="79"/>
      <c r="D768" s="80"/>
      <c r="E768" s="80"/>
      <c r="F768" s="81"/>
      <c r="G768" s="78"/>
      <c r="H768" s="82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</row>
    <row r="769" spans="1:23" ht="18" customHeight="1">
      <c r="A769" s="78"/>
      <c r="B769" s="78"/>
      <c r="C769" s="79"/>
      <c r="D769" s="80"/>
      <c r="E769" s="80"/>
      <c r="F769" s="81"/>
      <c r="G769" s="78"/>
      <c r="H769" s="82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</row>
    <row r="770" spans="1:23" ht="18" customHeight="1">
      <c r="A770" s="78"/>
      <c r="B770" s="78"/>
      <c r="C770" s="79"/>
      <c r="D770" s="80"/>
      <c r="E770" s="80"/>
      <c r="F770" s="81"/>
      <c r="G770" s="78"/>
      <c r="H770" s="82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</row>
    <row r="771" spans="1:23" ht="18" customHeight="1">
      <c r="A771" s="78"/>
      <c r="B771" s="78"/>
      <c r="C771" s="79"/>
      <c r="D771" s="80"/>
      <c r="E771" s="80"/>
      <c r="F771" s="81"/>
      <c r="G771" s="78"/>
      <c r="H771" s="82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</row>
    <row r="772" spans="1:23" ht="18" customHeight="1">
      <c r="A772" s="78"/>
      <c r="B772" s="78"/>
      <c r="C772" s="79"/>
      <c r="D772" s="80"/>
      <c r="E772" s="80"/>
      <c r="F772" s="81"/>
      <c r="G772" s="78"/>
      <c r="H772" s="82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</row>
    <row r="773" spans="1:23" ht="18" customHeight="1">
      <c r="A773" s="78"/>
      <c r="B773" s="78"/>
      <c r="C773" s="79"/>
      <c r="D773" s="80"/>
      <c r="E773" s="80"/>
      <c r="F773" s="81"/>
      <c r="G773" s="78"/>
      <c r="H773" s="82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</row>
    <row r="774" spans="1:23" ht="18" customHeight="1">
      <c r="A774" s="78"/>
      <c r="B774" s="78"/>
      <c r="C774" s="79"/>
      <c r="D774" s="80"/>
      <c r="E774" s="80"/>
      <c r="F774" s="81"/>
      <c r="G774" s="78"/>
      <c r="H774" s="82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</row>
    <row r="775" spans="1:23" ht="18" customHeight="1">
      <c r="A775" s="78"/>
      <c r="B775" s="78"/>
      <c r="C775" s="79"/>
      <c r="D775" s="80"/>
      <c r="E775" s="80"/>
      <c r="F775" s="81"/>
      <c r="G775" s="78"/>
      <c r="H775" s="82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</row>
    <row r="776" spans="1:23" ht="18" customHeight="1">
      <c r="A776" s="78"/>
      <c r="B776" s="78"/>
      <c r="C776" s="79"/>
      <c r="D776" s="80"/>
      <c r="E776" s="80"/>
      <c r="F776" s="81"/>
      <c r="G776" s="78"/>
      <c r="H776" s="82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</row>
    <row r="777" spans="1:23" ht="18" customHeight="1">
      <c r="A777" s="78"/>
      <c r="B777" s="78"/>
      <c r="C777" s="79"/>
      <c r="D777" s="80"/>
      <c r="E777" s="80"/>
      <c r="F777" s="81"/>
      <c r="G777" s="78"/>
      <c r="H777" s="82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</row>
    <row r="778" spans="1:23" ht="18" customHeight="1">
      <c r="A778" s="78"/>
      <c r="B778" s="78"/>
      <c r="C778" s="79"/>
      <c r="D778" s="80"/>
      <c r="E778" s="80"/>
      <c r="F778" s="81"/>
      <c r="G778" s="78"/>
      <c r="H778" s="82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</row>
    <row r="779" spans="1:23" ht="18" customHeight="1">
      <c r="A779" s="78"/>
      <c r="B779" s="78"/>
      <c r="C779" s="79"/>
      <c r="D779" s="80"/>
      <c r="E779" s="80"/>
      <c r="F779" s="81"/>
      <c r="G779" s="78"/>
      <c r="H779" s="82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</row>
    <row r="780" spans="1:23" ht="18" customHeight="1">
      <c r="A780" s="78"/>
      <c r="B780" s="78"/>
      <c r="C780" s="79"/>
      <c r="D780" s="80"/>
      <c r="E780" s="80"/>
      <c r="F780" s="81"/>
      <c r="G780" s="78"/>
      <c r="H780" s="82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</row>
    <row r="781" spans="1:23" ht="18" customHeight="1">
      <c r="A781" s="78"/>
      <c r="B781" s="78"/>
      <c r="C781" s="79"/>
      <c r="D781" s="80"/>
      <c r="E781" s="80"/>
      <c r="F781" s="81"/>
      <c r="G781" s="78"/>
      <c r="H781" s="82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</row>
    <row r="782" spans="1:23" ht="18" customHeight="1">
      <c r="A782" s="78"/>
      <c r="B782" s="78"/>
      <c r="C782" s="79"/>
      <c r="D782" s="80"/>
      <c r="E782" s="80"/>
      <c r="F782" s="81"/>
      <c r="G782" s="78"/>
      <c r="H782" s="82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</row>
    <row r="783" spans="1:23" ht="18" customHeight="1">
      <c r="A783" s="78"/>
      <c r="B783" s="78"/>
      <c r="C783" s="79"/>
      <c r="D783" s="80"/>
      <c r="E783" s="80"/>
      <c r="F783" s="81"/>
      <c r="G783" s="78"/>
      <c r="H783" s="82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</row>
    <row r="784" spans="1:23" ht="18" customHeight="1">
      <c r="A784" s="78"/>
      <c r="B784" s="78"/>
      <c r="C784" s="79"/>
      <c r="D784" s="80"/>
      <c r="E784" s="80"/>
      <c r="F784" s="81"/>
      <c r="G784" s="78"/>
      <c r="H784" s="82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</row>
    <row r="785" spans="1:23" ht="18" customHeight="1">
      <c r="A785" s="78"/>
      <c r="B785" s="78"/>
      <c r="C785" s="79"/>
      <c r="D785" s="80"/>
      <c r="E785" s="80"/>
      <c r="F785" s="81"/>
      <c r="G785" s="78"/>
      <c r="H785" s="82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</row>
    <row r="786" spans="1:23" ht="18" customHeight="1">
      <c r="A786" s="78"/>
      <c r="B786" s="78"/>
      <c r="C786" s="79"/>
      <c r="D786" s="80"/>
      <c r="E786" s="80"/>
      <c r="F786" s="81"/>
      <c r="G786" s="78"/>
      <c r="H786" s="82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</row>
    <row r="787" spans="1:23" ht="18" customHeight="1">
      <c r="A787" s="78"/>
      <c r="B787" s="78"/>
      <c r="C787" s="79"/>
      <c r="D787" s="80"/>
      <c r="E787" s="80"/>
      <c r="F787" s="81"/>
      <c r="G787" s="78"/>
      <c r="H787" s="82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</row>
    <row r="788" spans="1:23" ht="18" customHeight="1">
      <c r="A788" s="78"/>
      <c r="B788" s="78"/>
      <c r="C788" s="79"/>
      <c r="D788" s="80"/>
      <c r="E788" s="80"/>
      <c r="F788" s="81"/>
      <c r="G788" s="78"/>
      <c r="H788" s="82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</row>
    <row r="789" spans="1:23" ht="18" customHeight="1">
      <c r="A789" s="78"/>
      <c r="B789" s="78"/>
      <c r="C789" s="79"/>
      <c r="D789" s="80"/>
      <c r="E789" s="80"/>
      <c r="F789" s="81"/>
      <c r="G789" s="78"/>
      <c r="H789" s="82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</row>
    <row r="790" spans="1:23" ht="18" customHeight="1">
      <c r="A790" s="78"/>
      <c r="B790" s="78"/>
      <c r="C790" s="79"/>
      <c r="D790" s="80"/>
      <c r="E790" s="80"/>
      <c r="F790" s="81"/>
      <c r="G790" s="78"/>
      <c r="H790" s="82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</row>
    <row r="791" spans="1:23" ht="18" customHeight="1">
      <c r="A791" s="78"/>
      <c r="B791" s="78"/>
      <c r="C791" s="79"/>
      <c r="D791" s="80"/>
      <c r="E791" s="80"/>
      <c r="F791" s="81"/>
      <c r="G791" s="78"/>
      <c r="H791" s="82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</row>
    <row r="792" spans="1:23" ht="18" customHeight="1">
      <c r="A792" s="78"/>
      <c r="B792" s="78"/>
      <c r="C792" s="79"/>
      <c r="D792" s="80"/>
      <c r="E792" s="80"/>
      <c r="F792" s="81"/>
      <c r="G792" s="78"/>
      <c r="H792" s="82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</row>
    <row r="793" spans="1:23" ht="18" customHeight="1">
      <c r="A793" s="78"/>
      <c r="B793" s="78"/>
      <c r="C793" s="79"/>
      <c r="D793" s="80"/>
      <c r="E793" s="80"/>
      <c r="F793" s="81"/>
      <c r="G793" s="78"/>
      <c r="H793" s="82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</row>
    <row r="794" spans="1:23" ht="18" customHeight="1">
      <c r="A794" s="78"/>
      <c r="B794" s="78"/>
      <c r="C794" s="79"/>
      <c r="D794" s="80"/>
      <c r="E794" s="80"/>
      <c r="F794" s="81"/>
      <c r="G794" s="78"/>
      <c r="H794" s="82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</row>
    <row r="795" spans="1:23" ht="18" customHeight="1">
      <c r="A795" s="78"/>
      <c r="B795" s="78"/>
      <c r="C795" s="79"/>
      <c r="D795" s="80"/>
      <c r="E795" s="80"/>
      <c r="F795" s="81"/>
      <c r="G795" s="78"/>
      <c r="H795" s="82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</row>
    <row r="796" spans="1:23" ht="18" customHeight="1">
      <c r="A796" s="78"/>
      <c r="B796" s="78"/>
      <c r="C796" s="79"/>
      <c r="D796" s="80"/>
      <c r="E796" s="80"/>
      <c r="F796" s="81"/>
      <c r="G796" s="78"/>
      <c r="H796" s="82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</row>
    <row r="797" spans="1:23" ht="18" customHeight="1">
      <c r="A797" s="78"/>
      <c r="B797" s="78"/>
      <c r="C797" s="79"/>
      <c r="D797" s="80"/>
      <c r="E797" s="80"/>
      <c r="F797" s="81"/>
      <c r="G797" s="78"/>
      <c r="H797" s="82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</row>
    <row r="798" spans="1:23" ht="18" customHeight="1">
      <c r="A798" s="78"/>
      <c r="B798" s="78"/>
      <c r="C798" s="79"/>
      <c r="D798" s="80"/>
      <c r="E798" s="80"/>
      <c r="F798" s="81"/>
      <c r="G798" s="78"/>
      <c r="H798" s="82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</row>
    <row r="799" spans="1:23" ht="18" customHeight="1">
      <c r="A799" s="78"/>
      <c r="B799" s="78"/>
      <c r="C799" s="79"/>
      <c r="D799" s="80"/>
      <c r="E799" s="80"/>
      <c r="F799" s="81"/>
      <c r="G799" s="78"/>
      <c r="H799" s="82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</row>
    <row r="800" spans="1:23" ht="18" customHeight="1">
      <c r="A800" s="78"/>
      <c r="B800" s="78"/>
      <c r="C800" s="79"/>
      <c r="D800" s="80"/>
      <c r="E800" s="80"/>
      <c r="F800" s="81"/>
      <c r="G800" s="78"/>
      <c r="H800" s="82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</row>
    <row r="801" spans="1:23" ht="18" customHeight="1">
      <c r="A801" s="78"/>
      <c r="B801" s="78"/>
      <c r="C801" s="79"/>
      <c r="D801" s="80"/>
      <c r="E801" s="80"/>
      <c r="F801" s="81"/>
      <c r="G801" s="78"/>
      <c r="H801" s="82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</row>
    <row r="802" spans="1:23" ht="18" customHeight="1">
      <c r="A802" s="78"/>
      <c r="B802" s="78"/>
      <c r="C802" s="79"/>
      <c r="D802" s="80"/>
      <c r="E802" s="80"/>
      <c r="F802" s="81"/>
      <c r="G802" s="78"/>
      <c r="H802" s="82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</row>
    <row r="803" spans="1:23" ht="18" customHeight="1">
      <c r="A803" s="78"/>
      <c r="B803" s="78"/>
      <c r="C803" s="79"/>
      <c r="D803" s="80"/>
      <c r="E803" s="80"/>
      <c r="F803" s="81"/>
      <c r="G803" s="78"/>
      <c r="H803" s="82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</row>
    <row r="804" spans="1:23" ht="18" customHeight="1">
      <c r="A804" s="78"/>
      <c r="B804" s="78"/>
      <c r="C804" s="79"/>
      <c r="D804" s="80"/>
      <c r="E804" s="80"/>
      <c r="F804" s="81"/>
      <c r="G804" s="78"/>
      <c r="H804" s="82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</row>
    <row r="805" spans="1:23" ht="18" customHeight="1">
      <c r="A805" s="78"/>
      <c r="B805" s="78"/>
      <c r="C805" s="79"/>
      <c r="D805" s="80"/>
      <c r="E805" s="80"/>
      <c r="F805" s="81"/>
      <c r="G805" s="78"/>
      <c r="H805" s="82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</row>
    <row r="806" spans="1:23" ht="18" customHeight="1">
      <c r="A806" s="78"/>
      <c r="B806" s="78"/>
      <c r="C806" s="79"/>
      <c r="D806" s="80"/>
      <c r="E806" s="80"/>
      <c r="F806" s="81"/>
      <c r="G806" s="78"/>
      <c r="H806" s="82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</row>
    <row r="807" spans="1:23" ht="18" customHeight="1">
      <c r="A807" s="78"/>
      <c r="B807" s="78"/>
      <c r="C807" s="79"/>
      <c r="D807" s="80"/>
      <c r="E807" s="80"/>
      <c r="F807" s="81"/>
      <c r="G807" s="78"/>
      <c r="H807" s="82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</row>
    <row r="808" spans="1:23" ht="18" customHeight="1">
      <c r="A808" s="78"/>
      <c r="B808" s="78"/>
      <c r="C808" s="79"/>
      <c r="D808" s="80"/>
      <c r="E808" s="80"/>
      <c r="F808" s="81"/>
      <c r="G808" s="78"/>
      <c r="H808" s="82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</row>
    <row r="809" spans="1:23" ht="18" customHeight="1">
      <c r="A809" s="78"/>
      <c r="B809" s="78"/>
      <c r="C809" s="79"/>
      <c r="D809" s="80"/>
      <c r="E809" s="80"/>
      <c r="F809" s="81"/>
      <c r="G809" s="78"/>
      <c r="H809" s="82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</row>
    <row r="810" spans="1:23" ht="18" customHeight="1">
      <c r="A810" s="78"/>
      <c r="B810" s="78"/>
      <c r="C810" s="79"/>
      <c r="D810" s="80"/>
      <c r="E810" s="80"/>
      <c r="F810" s="81"/>
      <c r="G810" s="78"/>
      <c r="H810" s="82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</row>
    <row r="811" spans="1:23" ht="18" customHeight="1">
      <c r="A811" s="78"/>
      <c r="B811" s="78"/>
      <c r="C811" s="79"/>
      <c r="D811" s="80"/>
      <c r="E811" s="80"/>
      <c r="F811" s="81"/>
      <c r="G811" s="78"/>
      <c r="H811" s="82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</row>
    <row r="812" spans="1:23" ht="18" customHeight="1">
      <c r="A812" s="78"/>
      <c r="B812" s="78"/>
      <c r="C812" s="79"/>
      <c r="D812" s="80"/>
      <c r="E812" s="80"/>
      <c r="F812" s="81"/>
      <c r="G812" s="78"/>
      <c r="H812" s="82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</row>
    <row r="813" spans="1:23" ht="18" customHeight="1">
      <c r="A813" s="78"/>
      <c r="B813" s="78"/>
      <c r="C813" s="79"/>
      <c r="D813" s="80"/>
      <c r="E813" s="80"/>
      <c r="F813" s="81"/>
      <c r="G813" s="78"/>
      <c r="H813" s="82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</row>
    <row r="814" spans="1:23" ht="18" customHeight="1">
      <c r="A814" s="78"/>
      <c r="B814" s="78"/>
      <c r="C814" s="79"/>
      <c r="D814" s="80"/>
      <c r="E814" s="80"/>
      <c r="F814" s="81"/>
      <c r="G814" s="78"/>
      <c r="H814" s="82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</row>
    <row r="815" spans="1:23" ht="18" customHeight="1">
      <c r="A815" s="78"/>
      <c r="B815" s="78"/>
      <c r="C815" s="79"/>
      <c r="D815" s="80"/>
      <c r="E815" s="80"/>
      <c r="F815" s="81"/>
      <c r="G815" s="78"/>
      <c r="H815" s="82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</row>
    <row r="816" spans="1:23" ht="18" customHeight="1">
      <c r="A816" s="78"/>
      <c r="B816" s="78"/>
      <c r="C816" s="79"/>
      <c r="D816" s="80"/>
      <c r="E816" s="80"/>
      <c r="F816" s="81"/>
      <c r="G816" s="78"/>
      <c r="H816" s="82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</row>
    <row r="817" spans="1:23" ht="18" customHeight="1">
      <c r="A817" s="78"/>
      <c r="B817" s="78"/>
      <c r="C817" s="79"/>
      <c r="D817" s="80"/>
      <c r="E817" s="80"/>
      <c r="F817" s="81"/>
      <c r="G817" s="78"/>
      <c r="H817" s="82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</row>
    <row r="818" spans="1:23" ht="18" customHeight="1">
      <c r="A818" s="78"/>
      <c r="B818" s="78"/>
      <c r="C818" s="79"/>
      <c r="D818" s="80"/>
      <c r="E818" s="80"/>
      <c r="F818" s="81"/>
      <c r="G818" s="78"/>
      <c r="H818" s="82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</row>
    <row r="819" spans="1:23" ht="18" customHeight="1">
      <c r="A819" s="78"/>
      <c r="B819" s="78"/>
      <c r="C819" s="79"/>
      <c r="D819" s="80"/>
      <c r="E819" s="80"/>
      <c r="F819" s="81"/>
      <c r="G819" s="78"/>
      <c r="H819" s="82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</row>
    <row r="820" spans="1:23" ht="18" customHeight="1">
      <c r="A820" s="78"/>
      <c r="B820" s="78"/>
      <c r="C820" s="79"/>
      <c r="D820" s="80"/>
      <c r="E820" s="80"/>
      <c r="F820" s="81"/>
      <c r="G820" s="78"/>
      <c r="H820" s="82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</row>
    <row r="821" spans="1:23" ht="18" customHeight="1">
      <c r="A821" s="78"/>
      <c r="B821" s="78"/>
      <c r="C821" s="79"/>
      <c r="D821" s="80"/>
      <c r="E821" s="80"/>
      <c r="F821" s="81"/>
      <c r="G821" s="78"/>
      <c r="H821" s="82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</row>
    <row r="822" spans="1:23" ht="18" customHeight="1">
      <c r="A822" s="78"/>
      <c r="B822" s="78"/>
      <c r="C822" s="79"/>
      <c r="D822" s="80"/>
      <c r="E822" s="80"/>
      <c r="F822" s="81"/>
      <c r="G822" s="78"/>
      <c r="H822" s="82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</row>
    <row r="823" spans="1:23" ht="18" customHeight="1">
      <c r="A823" s="78"/>
      <c r="B823" s="78"/>
      <c r="C823" s="79"/>
      <c r="D823" s="80"/>
      <c r="E823" s="80"/>
      <c r="F823" s="81"/>
      <c r="G823" s="78"/>
      <c r="H823" s="82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</row>
    <row r="824" spans="1:23" ht="18" customHeight="1">
      <c r="A824" s="78"/>
      <c r="B824" s="78"/>
      <c r="C824" s="79"/>
      <c r="D824" s="80"/>
      <c r="E824" s="80"/>
      <c r="F824" s="81"/>
      <c r="G824" s="78"/>
      <c r="H824" s="82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</row>
    <row r="825" spans="1:23" ht="18" customHeight="1">
      <c r="A825" s="78"/>
      <c r="B825" s="78"/>
      <c r="C825" s="79"/>
      <c r="D825" s="80"/>
      <c r="E825" s="80"/>
      <c r="F825" s="81"/>
      <c r="G825" s="78"/>
      <c r="H825" s="82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</row>
    <row r="826" spans="1:23" ht="18" customHeight="1">
      <c r="A826" s="78"/>
      <c r="B826" s="78"/>
      <c r="C826" s="79"/>
      <c r="D826" s="80"/>
      <c r="E826" s="80"/>
      <c r="F826" s="81"/>
      <c r="G826" s="78"/>
      <c r="H826" s="82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</row>
    <row r="827" spans="1:23" ht="18" customHeight="1">
      <c r="A827" s="78"/>
      <c r="B827" s="78"/>
      <c r="C827" s="79"/>
      <c r="D827" s="80"/>
      <c r="E827" s="80"/>
      <c r="F827" s="81"/>
      <c r="G827" s="78"/>
      <c r="H827" s="82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</row>
    <row r="828" spans="1:23" ht="18" customHeight="1">
      <c r="A828" s="78"/>
      <c r="B828" s="78"/>
      <c r="C828" s="79"/>
      <c r="D828" s="80"/>
      <c r="E828" s="80"/>
      <c r="F828" s="81"/>
      <c r="G828" s="78"/>
      <c r="H828" s="82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</row>
    <row r="829" spans="1:23" ht="18" customHeight="1">
      <c r="A829" s="78"/>
      <c r="B829" s="78"/>
      <c r="C829" s="79"/>
      <c r="D829" s="80"/>
      <c r="E829" s="80"/>
      <c r="F829" s="81"/>
      <c r="G829" s="78"/>
      <c r="H829" s="82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</row>
    <row r="830" spans="1:23" ht="18" customHeight="1">
      <c r="A830" s="78"/>
      <c r="B830" s="78"/>
      <c r="C830" s="79"/>
      <c r="D830" s="80"/>
      <c r="E830" s="80"/>
      <c r="F830" s="81"/>
      <c r="G830" s="78"/>
      <c r="H830" s="82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</row>
    <row r="831" spans="1:23" ht="18" customHeight="1">
      <c r="A831" s="78"/>
      <c r="B831" s="78"/>
      <c r="C831" s="79"/>
      <c r="D831" s="80"/>
      <c r="E831" s="80"/>
      <c r="F831" s="81"/>
      <c r="G831" s="78"/>
      <c r="H831" s="82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</row>
    <row r="832" spans="1:23" ht="18" customHeight="1">
      <c r="A832" s="78"/>
      <c r="B832" s="78"/>
      <c r="C832" s="79"/>
      <c r="D832" s="80"/>
      <c r="E832" s="80"/>
      <c r="F832" s="81"/>
      <c r="G832" s="78"/>
      <c r="H832" s="82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</row>
    <row r="833" spans="1:23" ht="18" customHeight="1">
      <c r="A833" s="78"/>
      <c r="B833" s="78"/>
      <c r="C833" s="79"/>
      <c r="D833" s="80"/>
      <c r="E833" s="80"/>
      <c r="F833" s="81"/>
      <c r="G833" s="78"/>
      <c r="H833" s="82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</row>
    <row r="834" spans="1:23" ht="18" customHeight="1">
      <c r="A834" s="78"/>
      <c r="B834" s="78"/>
      <c r="C834" s="79"/>
      <c r="D834" s="80"/>
      <c r="E834" s="80"/>
      <c r="F834" s="81"/>
      <c r="G834" s="78"/>
      <c r="H834" s="82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</row>
    <row r="835" spans="1:23" ht="18" customHeight="1">
      <c r="A835" s="78"/>
      <c r="B835" s="78"/>
      <c r="C835" s="79"/>
      <c r="D835" s="80"/>
      <c r="E835" s="80"/>
      <c r="F835" s="81"/>
      <c r="G835" s="78"/>
      <c r="H835" s="82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</row>
    <row r="836" spans="1:23" ht="18" customHeight="1">
      <c r="A836" s="78"/>
      <c r="B836" s="78"/>
      <c r="C836" s="79"/>
      <c r="D836" s="80"/>
      <c r="E836" s="80"/>
      <c r="F836" s="81"/>
      <c r="G836" s="78"/>
      <c r="H836" s="82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</row>
    <row r="837" spans="1:23" ht="18" customHeight="1">
      <c r="A837" s="78"/>
      <c r="B837" s="78"/>
      <c r="C837" s="79"/>
      <c r="D837" s="80"/>
      <c r="E837" s="80"/>
      <c r="F837" s="81"/>
      <c r="G837" s="78"/>
      <c r="H837" s="82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</row>
    <row r="838" spans="1:23" ht="18" customHeight="1">
      <c r="A838" s="78"/>
      <c r="B838" s="78"/>
      <c r="C838" s="79"/>
      <c r="D838" s="80"/>
      <c r="E838" s="80"/>
      <c r="F838" s="81"/>
      <c r="G838" s="78"/>
      <c r="H838" s="82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</row>
    <row r="839" spans="1:23" ht="18" customHeight="1">
      <c r="A839" s="78"/>
      <c r="B839" s="78"/>
      <c r="C839" s="79"/>
      <c r="D839" s="80"/>
      <c r="E839" s="80"/>
      <c r="F839" s="81"/>
      <c r="G839" s="78"/>
      <c r="H839" s="82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</row>
    <row r="840" spans="1:23" ht="18" customHeight="1">
      <c r="A840" s="78"/>
      <c r="B840" s="78"/>
      <c r="C840" s="79"/>
      <c r="D840" s="80"/>
      <c r="E840" s="80"/>
      <c r="F840" s="81"/>
      <c r="G840" s="78"/>
      <c r="H840" s="82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</row>
    <row r="841" spans="1:23" ht="18" customHeight="1">
      <c r="A841" s="78"/>
      <c r="B841" s="78"/>
      <c r="C841" s="79"/>
      <c r="D841" s="80"/>
      <c r="E841" s="80"/>
      <c r="F841" s="81"/>
      <c r="G841" s="78"/>
      <c r="H841" s="82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</row>
    <row r="842" spans="1:23" ht="18" customHeight="1">
      <c r="A842" s="78"/>
      <c r="B842" s="78"/>
      <c r="C842" s="79"/>
      <c r="D842" s="80"/>
      <c r="E842" s="80"/>
      <c r="F842" s="81"/>
      <c r="G842" s="78"/>
      <c r="H842" s="82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</row>
    <row r="843" spans="1:23" ht="18" customHeight="1">
      <c r="A843" s="78"/>
      <c r="B843" s="78"/>
      <c r="C843" s="79"/>
      <c r="D843" s="80"/>
      <c r="E843" s="80"/>
      <c r="F843" s="81"/>
      <c r="G843" s="78"/>
      <c r="H843" s="82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</row>
    <row r="844" spans="1:23" ht="18" customHeight="1">
      <c r="A844" s="78"/>
      <c r="B844" s="78"/>
      <c r="C844" s="79"/>
      <c r="D844" s="80"/>
      <c r="E844" s="80"/>
      <c r="F844" s="81"/>
      <c r="G844" s="78"/>
      <c r="H844" s="82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</row>
    <row r="845" spans="1:23" ht="18" customHeight="1">
      <c r="A845" s="78"/>
      <c r="B845" s="78"/>
      <c r="C845" s="79"/>
      <c r="D845" s="80"/>
      <c r="E845" s="80"/>
      <c r="F845" s="81"/>
      <c r="G845" s="78"/>
      <c r="H845" s="82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</row>
    <row r="846" spans="1:23" ht="18" customHeight="1">
      <c r="A846" s="78"/>
      <c r="B846" s="78"/>
      <c r="C846" s="79"/>
      <c r="D846" s="80"/>
      <c r="E846" s="80"/>
      <c r="F846" s="81"/>
      <c r="G846" s="78"/>
      <c r="H846" s="82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</row>
    <row r="847" spans="1:23" ht="18" customHeight="1">
      <c r="A847" s="78"/>
      <c r="B847" s="78"/>
      <c r="C847" s="79"/>
      <c r="D847" s="80"/>
      <c r="E847" s="80"/>
      <c r="F847" s="81"/>
      <c r="G847" s="78"/>
      <c r="H847" s="82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</row>
    <row r="848" spans="1:23" ht="18" customHeight="1">
      <c r="A848" s="78"/>
      <c r="B848" s="78"/>
      <c r="C848" s="79"/>
      <c r="D848" s="80"/>
      <c r="E848" s="80"/>
      <c r="F848" s="81"/>
      <c r="G848" s="78"/>
      <c r="H848" s="82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</row>
    <row r="849" spans="1:23" ht="18" customHeight="1">
      <c r="A849" s="78"/>
      <c r="B849" s="78"/>
      <c r="C849" s="79"/>
      <c r="D849" s="80"/>
      <c r="E849" s="80"/>
      <c r="F849" s="81"/>
      <c r="G849" s="78"/>
      <c r="H849" s="82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</row>
    <row r="850" spans="1:23" ht="18" customHeight="1">
      <c r="A850" s="78"/>
      <c r="B850" s="78"/>
      <c r="C850" s="79"/>
      <c r="D850" s="80"/>
      <c r="E850" s="80"/>
      <c r="F850" s="81"/>
      <c r="G850" s="78"/>
      <c r="H850" s="82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</row>
    <row r="851" spans="1:23" ht="18" customHeight="1">
      <c r="A851" s="78"/>
      <c r="B851" s="78"/>
      <c r="C851" s="79"/>
      <c r="D851" s="80"/>
      <c r="E851" s="80"/>
      <c r="F851" s="81"/>
      <c r="G851" s="78"/>
      <c r="H851" s="82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</row>
    <row r="852" spans="1:23" ht="18" customHeight="1">
      <c r="A852" s="78"/>
      <c r="B852" s="78"/>
      <c r="C852" s="79"/>
      <c r="D852" s="80"/>
      <c r="E852" s="80"/>
      <c r="F852" s="81"/>
      <c r="G852" s="78"/>
      <c r="H852" s="82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</row>
    <row r="853" spans="1:23" ht="18" customHeight="1">
      <c r="A853" s="78"/>
      <c r="B853" s="78"/>
      <c r="C853" s="79"/>
      <c r="D853" s="80"/>
      <c r="E853" s="80"/>
      <c r="F853" s="81"/>
      <c r="G853" s="78"/>
      <c r="H853" s="82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</row>
    <row r="854" spans="1:23" ht="18" customHeight="1">
      <c r="A854" s="78"/>
      <c r="B854" s="78"/>
      <c r="C854" s="79"/>
      <c r="D854" s="80"/>
      <c r="E854" s="80"/>
      <c r="F854" s="81"/>
      <c r="G854" s="78"/>
      <c r="H854" s="82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</row>
    <row r="855" spans="1:23" ht="18" customHeight="1">
      <c r="A855" s="78"/>
      <c r="B855" s="78"/>
      <c r="C855" s="79"/>
      <c r="D855" s="80"/>
      <c r="E855" s="80"/>
      <c r="F855" s="81"/>
      <c r="G855" s="78"/>
      <c r="H855" s="82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</row>
    <row r="856" spans="1:23" ht="18" customHeight="1">
      <c r="A856" s="78"/>
      <c r="B856" s="78"/>
      <c r="C856" s="79"/>
      <c r="D856" s="80"/>
      <c r="E856" s="80"/>
      <c r="F856" s="81"/>
      <c r="G856" s="78"/>
      <c r="H856" s="82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</row>
    <row r="857" spans="1:23" ht="18" customHeight="1">
      <c r="A857" s="78"/>
      <c r="B857" s="78"/>
      <c r="C857" s="79"/>
      <c r="D857" s="80"/>
      <c r="E857" s="80"/>
      <c r="F857" s="81"/>
      <c r="G857" s="78"/>
      <c r="H857" s="82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</row>
    <row r="858" spans="1:23" ht="18" customHeight="1">
      <c r="A858" s="78"/>
      <c r="B858" s="78"/>
      <c r="C858" s="79"/>
      <c r="D858" s="80"/>
      <c r="E858" s="80"/>
      <c r="F858" s="81"/>
      <c r="G858" s="78"/>
      <c r="H858" s="82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</row>
    <row r="859" spans="1:23" ht="18" customHeight="1">
      <c r="A859" s="78"/>
      <c r="B859" s="78"/>
      <c r="C859" s="79"/>
      <c r="D859" s="80"/>
      <c r="E859" s="80"/>
      <c r="F859" s="81"/>
      <c r="G859" s="78"/>
      <c r="H859" s="82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</row>
    <row r="860" spans="1:23" ht="18" customHeight="1">
      <c r="A860" s="78"/>
      <c r="B860" s="78"/>
      <c r="C860" s="79"/>
      <c r="D860" s="80"/>
      <c r="E860" s="80"/>
      <c r="F860" s="81"/>
      <c r="G860" s="78"/>
      <c r="H860" s="82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</row>
    <row r="861" spans="1:23" ht="18" customHeight="1">
      <c r="A861" s="78"/>
      <c r="B861" s="78"/>
      <c r="C861" s="79"/>
      <c r="D861" s="80"/>
      <c r="E861" s="80"/>
      <c r="F861" s="81"/>
      <c r="G861" s="78"/>
      <c r="H861" s="82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</row>
    <row r="862" spans="1:23" ht="18" customHeight="1">
      <c r="A862" s="78"/>
      <c r="B862" s="78"/>
      <c r="C862" s="79"/>
      <c r="D862" s="80"/>
      <c r="E862" s="80"/>
      <c r="F862" s="81"/>
      <c r="G862" s="78"/>
      <c r="H862" s="82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</row>
    <row r="863" spans="1:23" ht="18" customHeight="1">
      <c r="A863" s="78"/>
      <c r="B863" s="78"/>
      <c r="C863" s="79"/>
      <c r="D863" s="80"/>
      <c r="E863" s="80"/>
      <c r="F863" s="81"/>
      <c r="G863" s="78"/>
      <c r="H863" s="82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</row>
    <row r="864" spans="1:23" ht="18" customHeight="1">
      <c r="A864" s="78"/>
      <c r="B864" s="78"/>
      <c r="C864" s="79"/>
      <c r="D864" s="80"/>
      <c r="E864" s="80"/>
      <c r="F864" s="81"/>
      <c r="G864" s="78"/>
      <c r="H864" s="82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</row>
    <row r="865" spans="1:23" ht="18" customHeight="1">
      <c r="A865" s="78"/>
      <c r="B865" s="78"/>
      <c r="C865" s="79"/>
      <c r="D865" s="80"/>
      <c r="E865" s="80"/>
      <c r="F865" s="81"/>
      <c r="G865" s="78"/>
      <c r="H865" s="82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</row>
    <row r="866" spans="1:23" ht="18" customHeight="1">
      <c r="A866" s="78"/>
      <c r="B866" s="78"/>
      <c r="C866" s="79"/>
      <c r="D866" s="80"/>
      <c r="E866" s="80"/>
      <c r="F866" s="81"/>
      <c r="G866" s="78"/>
      <c r="H866" s="82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</row>
    <row r="867" spans="1:23" ht="18" customHeight="1">
      <c r="A867" s="78"/>
      <c r="B867" s="78"/>
      <c r="C867" s="79"/>
      <c r="D867" s="80"/>
      <c r="E867" s="80"/>
      <c r="F867" s="81"/>
      <c r="G867" s="78"/>
      <c r="H867" s="82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</row>
    <row r="868" spans="1:23" ht="18" customHeight="1">
      <c r="A868" s="78"/>
      <c r="B868" s="78"/>
      <c r="C868" s="79"/>
      <c r="D868" s="80"/>
      <c r="E868" s="80"/>
      <c r="F868" s="81"/>
      <c r="G868" s="78"/>
      <c r="H868" s="82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</row>
    <row r="869" spans="1:23" ht="18" customHeight="1">
      <c r="A869" s="78"/>
      <c r="B869" s="78"/>
      <c r="C869" s="79"/>
      <c r="D869" s="80"/>
      <c r="E869" s="80"/>
      <c r="F869" s="81"/>
      <c r="G869" s="78"/>
      <c r="H869" s="82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</row>
    <row r="870" spans="1:23" ht="18" customHeight="1">
      <c r="A870" s="78"/>
      <c r="B870" s="78"/>
      <c r="C870" s="79"/>
      <c r="D870" s="80"/>
      <c r="E870" s="80"/>
      <c r="F870" s="81"/>
      <c r="G870" s="78"/>
      <c r="H870" s="82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</row>
    <row r="871" spans="1:23" ht="18" customHeight="1">
      <c r="A871" s="78"/>
      <c r="B871" s="78"/>
      <c r="C871" s="79"/>
      <c r="D871" s="80"/>
      <c r="E871" s="80"/>
      <c r="F871" s="81"/>
      <c r="G871" s="78"/>
      <c r="H871" s="82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</row>
    <row r="872" spans="1:23" ht="18" customHeight="1">
      <c r="A872" s="78"/>
      <c r="B872" s="78"/>
      <c r="C872" s="79"/>
      <c r="D872" s="80"/>
      <c r="E872" s="80"/>
      <c r="F872" s="81"/>
      <c r="G872" s="78"/>
      <c r="H872" s="82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</row>
    <row r="873" spans="1:23" ht="18" customHeight="1">
      <c r="A873" s="78"/>
      <c r="B873" s="78"/>
      <c r="C873" s="79"/>
      <c r="D873" s="80"/>
      <c r="E873" s="80"/>
      <c r="F873" s="81"/>
      <c r="G873" s="78"/>
      <c r="H873" s="82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</row>
    <row r="874" spans="1:23" ht="18" customHeight="1">
      <c r="A874" s="78"/>
      <c r="B874" s="78"/>
      <c r="C874" s="79"/>
      <c r="D874" s="80"/>
      <c r="E874" s="80"/>
      <c r="F874" s="81"/>
      <c r="G874" s="78"/>
      <c r="H874" s="82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</row>
    <row r="875" spans="1:23" ht="18" customHeight="1">
      <c r="A875" s="78"/>
      <c r="B875" s="78"/>
      <c r="C875" s="79"/>
      <c r="D875" s="80"/>
      <c r="E875" s="80"/>
      <c r="F875" s="81"/>
      <c r="G875" s="78"/>
      <c r="H875" s="82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</row>
    <row r="876" spans="1:23" ht="18" customHeight="1">
      <c r="A876" s="78"/>
      <c r="B876" s="78"/>
      <c r="C876" s="79"/>
      <c r="D876" s="80"/>
      <c r="E876" s="80"/>
      <c r="F876" s="81"/>
      <c r="G876" s="78"/>
      <c r="H876" s="82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</row>
    <row r="877" spans="1:23" ht="18" customHeight="1">
      <c r="A877" s="78"/>
      <c r="B877" s="78"/>
      <c r="C877" s="79"/>
      <c r="D877" s="80"/>
      <c r="E877" s="80"/>
      <c r="F877" s="81"/>
      <c r="G877" s="78"/>
      <c r="H877" s="82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</row>
    <row r="878" spans="1:23" ht="18" customHeight="1">
      <c r="A878" s="78"/>
      <c r="B878" s="78"/>
      <c r="C878" s="79"/>
      <c r="D878" s="80"/>
      <c r="E878" s="80"/>
      <c r="F878" s="81"/>
      <c r="G878" s="78"/>
      <c r="H878" s="82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</row>
    <row r="879" spans="1:23" ht="18" customHeight="1">
      <c r="A879" s="78"/>
      <c r="B879" s="78"/>
      <c r="C879" s="79"/>
      <c r="D879" s="80"/>
      <c r="E879" s="80"/>
      <c r="F879" s="81"/>
      <c r="G879" s="78"/>
      <c r="H879" s="82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</row>
    <row r="880" spans="1:23" ht="18" customHeight="1">
      <c r="A880" s="78"/>
      <c r="B880" s="78"/>
      <c r="C880" s="79"/>
      <c r="D880" s="80"/>
      <c r="E880" s="80"/>
      <c r="F880" s="81"/>
      <c r="G880" s="78"/>
      <c r="H880" s="82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</row>
    <row r="881" spans="1:23" ht="18" customHeight="1">
      <c r="A881" s="78"/>
      <c r="B881" s="78"/>
      <c r="C881" s="79"/>
      <c r="D881" s="80"/>
      <c r="E881" s="80"/>
      <c r="F881" s="81"/>
      <c r="G881" s="78"/>
      <c r="H881" s="82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</row>
    <row r="882" spans="1:23" ht="18" customHeight="1">
      <c r="A882" s="78"/>
      <c r="B882" s="78"/>
      <c r="C882" s="79"/>
      <c r="D882" s="80"/>
      <c r="E882" s="80"/>
      <c r="F882" s="81"/>
      <c r="G882" s="78"/>
      <c r="H882" s="82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</row>
    <row r="883" spans="1:23" ht="18" customHeight="1">
      <c r="A883" s="78"/>
      <c r="B883" s="78"/>
      <c r="C883" s="79"/>
      <c r="D883" s="80"/>
      <c r="E883" s="80"/>
      <c r="F883" s="81"/>
      <c r="G883" s="78"/>
      <c r="H883" s="82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</row>
    <row r="884" spans="1:23" ht="18" customHeight="1">
      <c r="A884" s="78"/>
      <c r="B884" s="78"/>
      <c r="C884" s="79"/>
      <c r="D884" s="80"/>
      <c r="E884" s="80"/>
      <c r="F884" s="81"/>
      <c r="G884" s="78"/>
      <c r="H884" s="82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</row>
    <row r="885" spans="1:23" ht="18" customHeight="1">
      <c r="A885" s="78"/>
      <c r="B885" s="78"/>
      <c r="C885" s="79"/>
      <c r="D885" s="80"/>
      <c r="E885" s="80"/>
      <c r="F885" s="81"/>
      <c r="G885" s="78"/>
      <c r="H885" s="82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</row>
    <row r="886" spans="1:23" ht="18" customHeight="1">
      <c r="A886" s="78"/>
      <c r="B886" s="78"/>
      <c r="C886" s="79"/>
      <c r="D886" s="80"/>
      <c r="E886" s="80"/>
      <c r="F886" s="81"/>
      <c r="G886" s="78"/>
      <c r="H886" s="82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</row>
    <row r="887" spans="1:23" ht="18" customHeight="1">
      <c r="A887" s="78"/>
      <c r="B887" s="78"/>
      <c r="C887" s="79"/>
      <c r="D887" s="80"/>
      <c r="E887" s="80"/>
      <c r="F887" s="81"/>
      <c r="G887" s="78"/>
      <c r="H887" s="82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</row>
    <row r="888" spans="1:23" ht="18" customHeight="1">
      <c r="A888" s="78"/>
      <c r="B888" s="78"/>
      <c r="C888" s="79"/>
      <c r="D888" s="80"/>
      <c r="E888" s="80"/>
      <c r="F888" s="81"/>
      <c r="G888" s="78"/>
      <c r="H888" s="82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</row>
    <row r="889" spans="1:23" ht="18" customHeight="1">
      <c r="A889" s="78"/>
      <c r="B889" s="78"/>
      <c r="C889" s="79"/>
      <c r="D889" s="80"/>
      <c r="E889" s="80"/>
      <c r="F889" s="81"/>
      <c r="G889" s="78"/>
      <c r="H889" s="82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</row>
    <row r="890" spans="1:23" ht="18" customHeight="1">
      <c r="A890" s="78"/>
      <c r="B890" s="78"/>
      <c r="C890" s="79"/>
      <c r="D890" s="80"/>
      <c r="E890" s="80"/>
      <c r="F890" s="81"/>
      <c r="G890" s="78"/>
      <c r="H890" s="82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</row>
    <row r="891" spans="1:23" ht="18" customHeight="1">
      <c r="A891" s="78"/>
      <c r="B891" s="78"/>
      <c r="C891" s="79"/>
      <c r="D891" s="80"/>
      <c r="E891" s="80"/>
      <c r="F891" s="81"/>
      <c r="G891" s="78"/>
      <c r="H891" s="82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</row>
    <row r="892" spans="1:23" ht="18" customHeight="1">
      <c r="A892" s="78"/>
      <c r="B892" s="78"/>
      <c r="C892" s="79"/>
      <c r="D892" s="80"/>
      <c r="E892" s="80"/>
      <c r="F892" s="81"/>
      <c r="G892" s="78"/>
      <c r="H892" s="82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</row>
    <row r="893" spans="1:23" ht="18" customHeight="1">
      <c r="A893" s="78"/>
      <c r="B893" s="78"/>
      <c r="C893" s="79"/>
      <c r="D893" s="80"/>
      <c r="E893" s="80"/>
      <c r="F893" s="81"/>
      <c r="G893" s="78"/>
      <c r="H893" s="82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</row>
    <row r="894" spans="1:23" ht="18" customHeight="1">
      <c r="A894" s="78"/>
      <c r="B894" s="78"/>
      <c r="C894" s="79"/>
      <c r="D894" s="80"/>
      <c r="E894" s="80"/>
      <c r="F894" s="81"/>
      <c r="G894" s="78"/>
      <c r="H894" s="82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</row>
    <row r="895" spans="1:23" ht="18" customHeight="1">
      <c r="A895" s="78"/>
      <c r="B895" s="78"/>
      <c r="C895" s="79"/>
      <c r="D895" s="80"/>
      <c r="E895" s="80"/>
      <c r="F895" s="81"/>
      <c r="G895" s="78"/>
      <c r="H895" s="82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</row>
    <row r="896" spans="1:23" ht="18" customHeight="1">
      <c r="A896" s="78"/>
      <c r="B896" s="78"/>
      <c r="C896" s="79"/>
      <c r="D896" s="80"/>
      <c r="E896" s="80"/>
      <c r="F896" s="81"/>
      <c r="G896" s="78"/>
      <c r="H896" s="82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</row>
    <row r="897" spans="1:23" ht="18" customHeight="1">
      <c r="A897" s="78"/>
      <c r="B897" s="78"/>
      <c r="C897" s="79"/>
      <c r="D897" s="80"/>
      <c r="E897" s="80"/>
      <c r="F897" s="81"/>
      <c r="G897" s="78"/>
      <c r="H897" s="82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</row>
    <row r="898" spans="1:23" ht="18" customHeight="1">
      <c r="A898" s="78"/>
      <c r="B898" s="78"/>
      <c r="C898" s="79"/>
      <c r="D898" s="80"/>
      <c r="E898" s="80"/>
      <c r="F898" s="81"/>
      <c r="G898" s="78"/>
      <c r="H898" s="82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</row>
    <row r="899" spans="1:23" ht="18" customHeight="1">
      <c r="A899" s="78"/>
      <c r="B899" s="78"/>
      <c r="C899" s="79"/>
      <c r="D899" s="80"/>
      <c r="E899" s="80"/>
      <c r="F899" s="81"/>
      <c r="G899" s="78"/>
      <c r="H899" s="82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</row>
    <row r="900" spans="1:23" ht="18" customHeight="1">
      <c r="A900" s="78"/>
      <c r="B900" s="78"/>
      <c r="C900" s="79"/>
      <c r="D900" s="80"/>
      <c r="E900" s="80"/>
      <c r="F900" s="81"/>
      <c r="G900" s="78"/>
      <c r="H900" s="82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</row>
    <row r="901" spans="1:23" ht="18" customHeight="1">
      <c r="A901" s="78"/>
      <c r="B901" s="78"/>
      <c r="C901" s="79"/>
      <c r="D901" s="80"/>
      <c r="E901" s="80"/>
      <c r="F901" s="81"/>
      <c r="G901" s="78"/>
      <c r="H901" s="82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</row>
    <row r="902" spans="1:23" ht="18" customHeight="1">
      <c r="A902" s="78"/>
      <c r="B902" s="78"/>
      <c r="C902" s="79"/>
      <c r="D902" s="80"/>
      <c r="E902" s="80"/>
      <c r="F902" s="81"/>
      <c r="G902" s="78"/>
      <c r="H902" s="82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</row>
    <row r="903" spans="1:23" ht="18" customHeight="1">
      <c r="A903" s="78"/>
      <c r="B903" s="78"/>
      <c r="C903" s="79"/>
      <c r="D903" s="80"/>
      <c r="E903" s="80"/>
      <c r="F903" s="81"/>
      <c r="G903" s="78"/>
      <c r="H903" s="82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</row>
    <row r="904" spans="1:23" ht="18" customHeight="1">
      <c r="A904" s="78"/>
      <c r="B904" s="78"/>
      <c r="C904" s="79"/>
      <c r="D904" s="80"/>
      <c r="E904" s="80"/>
      <c r="F904" s="81"/>
      <c r="G904" s="78"/>
      <c r="H904" s="82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</row>
    <row r="905" spans="1:23" ht="18" customHeight="1">
      <c r="A905" s="78"/>
      <c r="B905" s="78"/>
      <c r="C905" s="79"/>
      <c r="D905" s="80"/>
      <c r="E905" s="80"/>
      <c r="F905" s="81"/>
      <c r="G905" s="78"/>
      <c r="H905" s="82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</row>
    <row r="906" spans="1:23" ht="18" customHeight="1">
      <c r="A906" s="78"/>
      <c r="B906" s="78"/>
      <c r="C906" s="79"/>
      <c r="D906" s="80"/>
      <c r="E906" s="80"/>
      <c r="F906" s="81"/>
      <c r="G906" s="78"/>
      <c r="H906" s="82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</row>
    <row r="907" spans="1:23" ht="18" customHeight="1">
      <c r="A907" s="78"/>
      <c r="B907" s="78"/>
      <c r="C907" s="79"/>
      <c r="D907" s="80"/>
      <c r="E907" s="80"/>
      <c r="F907" s="81"/>
      <c r="G907" s="78"/>
      <c r="H907" s="82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</row>
    <row r="908" spans="1:23" ht="18" customHeight="1">
      <c r="A908" s="78"/>
      <c r="B908" s="78"/>
      <c r="C908" s="79"/>
      <c r="D908" s="80"/>
      <c r="E908" s="80"/>
      <c r="F908" s="81"/>
      <c r="G908" s="78"/>
      <c r="H908" s="82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</row>
    <row r="909" spans="1:23" ht="18" customHeight="1">
      <c r="A909" s="78"/>
      <c r="B909" s="78"/>
      <c r="C909" s="79"/>
      <c r="D909" s="80"/>
      <c r="E909" s="80"/>
      <c r="F909" s="81"/>
      <c r="G909" s="78"/>
      <c r="H909" s="82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</row>
    <row r="910" spans="1:23" ht="18" customHeight="1">
      <c r="A910" s="78"/>
      <c r="B910" s="78"/>
      <c r="C910" s="79"/>
      <c r="D910" s="80"/>
      <c r="E910" s="80"/>
      <c r="F910" s="81"/>
      <c r="G910" s="78"/>
      <c r="H910" s="82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</row>
    <row r="911" spans="1:23" ht="18" customHeight="1">
      <c r="A911" s="78"/>
      <c r="B911" s="78"/>
      <c r="C911" s="79"/>
      <c r="D911" s="80"/>
      <c r="E911" s="80"/>
      <c r="F911" s="81"/>
      <c r="G911" s="78"/>
      <c r="H911" s="82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</row>
    <row r="912" spans="1:23" ht="18" customHeight="1">
      <c r="A912" s="78"/>
      <c r="B912" s="78"/>
      <c r="C912" s="79"/>
      <c r="D912" s="80"/>
      <c r="E912" s="80"/>
      <c r="F912" s="81"/>
      <c r="G912" s="78"/>
      <c r="H912" s="82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</row>
    <row r="913" spans="1:23" ht="18" customHeight="1">
      <c r="A913" s="78"/>
      <c r="B913" s="78"/>
      <c r="C913" s="79"/>
      <c r="D913" s="80"/>
      <c r="E913" s="80"/>
      <c r="F913" s="81"/>
      <c r="G913" s="78"/>
      <c r="H913" s="82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</row>
    <row r="914" spans="1:23" ht="18" customHeight="1">
      <c r="A914" s="78"/>
      <c r="B914" s="78"/>
      <c r="C914" s="79"/>
      <c r="D914" s="80"/>
      <c r="E914" s="80"/>
      <c r="F914" s="81"/>
      <c r="G914" s="78"/>
      <c r="H914" s="82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</row>
    <row r="915" spans="1:23" ht="18" customHeight="1">
      <c r="A915" s="78"/>
      <c r="B915" s="78"/>
      <c r="C915" s="79"/>
      <c r="D915" s="80"/>
      <c r="E915" s="80"/>
      <c r="F915" s="81"/>
      <c r="G915" s="78"/>
      <c r="H915" s="82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</row>
    <row r="916" spans="1:23" ht="18" customHeight="1">
      <c r="A916" s="78"/>
      <c r="B916" s="78"/>
      <c r="C916" s="79"/>
      <c r="D916" s="80"/>
      <c r="E916" s="80"/>
      <c r="F916" s="81"/>
      <c r="G916" s="78"/>
      <c r="H916" s="82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</row>
    <row r="917" spans="1:23" ht="18" customHeight="1">
      <c r="A917" s="78"/>
      <c r="B917" s="78"/>
      <c r="C917" s="79"/>
      <c r="D917" s="80"/>
      <c r="E917" s="80"/>
      <c r="F917" s="81"/>
      <c r="G917" s="78"/>
      <c r="H917" s="82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</row>
    <row r="918" spans="1:23" ht="18" customHeight="1">
      <c r="A918" s="78"/>
      <c r="B918" s="78"/>
      <c r="C918" s="79"/>
      <c r="D918" s="80"/>
      <c r="E918" s="80"/>
      <c r="F918" s="81"/>
      <c r="G918" s="78"/>
      <c r="H918" s="82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</row>
    <row r="919" spans="1:23" ht="18" customHeight="1">
      <c r="A919" s="78"/>
      <c r="B919" s="78"/>
      <c r="C919" s="79"/>
      <c r="D919" s="80"/>
      <c r="E919" s="80"/>
      <c r="F919" s="81"/>
      <c r="G919" s="78"/>
      <c r="H919" s="82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</row>
    <row r="920" spans="1:23" ht="18" customHeight="1">
      <c r="A920" s="78"/>
      <c r="B920" s="78"/>
      <c r="C920" s="79"/>
      <c r="D920" s="80"/>
      <c r="E920" s="80"/>
      <c r="F920" s="81"/>
      <c r="G920" s="78"/>
      <c r="H920" s="82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</row>
    <row r="921" spans="1:23" ht="18" customHeight="1">
      <c r="A921" s="78"/>
      <c r="B921" s="78"/>
      <c r="C921" s="79"/>
      <c r="D921" s="80"/>
      <c r="E921" s="80"/>
      <c r="F921" s="81"/>
      <c r="G921" s="78"/>
      <c r="H921" s="82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</row>
    <row r="922" spans="1:23" ht="18" customHeight="1">
      <c r="A922" s="78"/>
      <c r="B922" s="78"/>
      <c r="C922" s="79"/>
      <c r="D922" s="80"/>
      <c r="E922" s="80"/>
      <c r="F922" s="81"/>
      <c r="G922" s="78"/>
      <c r="H922" s="82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</row>
    <row r="923" spans="1:23" ht="18" customHeight="1">
      <c r="A923" s="78"/>
      <c r="B923" s="78"/>
      <c r="C923" s="79"/>
      <c r="D923" s="80"/>
      <c r="E923" s="80"/>
      <c r="F923" s="81"/>
      <c r="G923" s="78"/>
      <c r="H923" s="82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</row>
    <row r="924" spans="1:23" ht="18" customHeight="1">
      <c r="A924" s="78"/>
      <c r="B924" s="78"/>
      <c r="C924" s="79"/>
      <c r="D924" s="80"/>
      <c r="E924" s="80"/>
      <c r="F924" s="81"/>
      <c r="G924" s="78"/>
      <c r="H924" s="82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</row>
    <row r="925" spans="1:23" ht="18" customHeight="1">
      <c r="A925" s="78"/>
      <c r="B925" s="78"/>
      <c r="C925" s="79"/>
      <c r="D925" s="80"/>
      <c r="E925" s="80"/>
      <c r="F925" s="81"/>
      <c r="G925" s="78"/>
      <c r="H925" s="82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</row>
    <row r="926" spans="1:23" ht="18" customHeight="1">
      <c r="A926" s="78"/>
      <c r="B926" s="78"/>
      <c r="C926" s="79"/>
      <c r="D926" s="80"/>
      <c r="E926" s="80"/>
      <c r="F926" s="81"/>
      <c r="G926" s="78"/>
      <c r="H926" s="82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</row>
    <row r="927" spans="1:23" ht="18" customHeight="1">
      <c r="A927" s="78"/>
      <c r="B927" s="78"/>
      <c r="C927" s="79"/>
      <c r="D927" s="80"/>
      <c r="E927" s="80"/>
      <c r="F927" s="81"/>
      <c r="G927" s="78"/>
      <c r="H927" s="82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</row>
    <row r="928" spans="1:23" ht="18" customHeight="1">
      <c r="A928" s="78"/>
      <c r="B928" s="78"/>
      <c r="C928" s="79"/>
      <c r="D928" s="80"/>
      <c r="E928" s="80"/>
      <c r="F928" s="81"/>
      <c r="G928" s="78"/>
      <c r="H928" s="82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</row>
    <row r="929" spans="1:23" ht="18" customHeight="1">
      <c r="A929" s="78"/>
      <c r="B929" s="78"/>
      <c r="C929" s="79"/>
      <c r="D929" s="80"/>
      <c r="E929" s="80"/>
      <c r="F929" s="81"/>
      <c r="G929" s="78"/>
      <c r="H929" s="82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</row>
    <row r="930" spans="1:23" ht="18" customHeight="1">
      <c r="A930" s="78"/>
      <c r="B930" s="78"/>
      <c r="C930" s="79"/>
      <c r="D930" s="80"/>
      <c r="E930" s="80"/>
      <c r="F930" s="81"/>
      <c r="G930" s="78"/>
      <c r="H930" s="82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</row>
    <row r="931" spans="1:23" ht="18" customHeight="1">
      <c r="A931" s="78"/>
      <c r="B931" s="78"/>
      <c r="C931" s="79"/>
      <c r="D931" s="80"/>
      <c r="E931" s="80"/>
      <c r="F931" s="81"/>
      <c r="G931" s="78"/>
      <c r="H931" s="82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</row>
    <row r="932" spans="1:23" ht="18" customHeight="1">
      <c r="A932" s="78"/>
      <c r="B932" s="78"/>
      <c r="C932" s="79"/>
      <c r="D932" s="80"/>
      <c r="E932" s="80"/>
      <c r="F932" s="81"/>
      <c r="G932" s="78"/>
      <c r="H932" s="82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</row>
    <row r="933" spans="1:23" ht="18" customHeight="1">
      <c r="A933" s="78"/>
      <c r="B933" s="78"/>
      <c r="C933" s="79"/>
      <c r="D933" s="80"/>
      <c r="E933" s="80"/>
      <c r="F933" s="81"/>
      <c r="G933" s="78"/>
      <c r="H933" s="82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</row>
    <row r="934" spans="1:23" ht="18" customHeight="1">
      <c r="A934" s="78"/>
      <c r="B934" s="78"/>
      <c r="C934" s="79"/>
      <c r="D934" s="80"/>
      <c r="E934" s="80"/>
      <c r="F934" s="81"/>
      <c r="G934" s="78"/>
      <c r="H934" s="82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</row>
    <row r="935" spans="1:23" ht="18" customHeight="1">
      <c r="A935" s="78"/>
      <c r="B935" s="78"/>
      <c r="C935" s="79"/>
      <c r="D935" s="80"/>
      <c r="E935" s="80"/>
      <c r="F935" s="81"/>
      <c r="G935" s="78"/>
      <c r="H935" s="82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</row>
    <row r="936" spans="1:23" ht="18" customHeight="1">
      <c r="A936" s="78"/>
      <c r="B936" s="78"/>
      <c r="C936" s="79"/>
      <c r="D936" s="80"/>
      <c r="E936" s="80"/>
      <c r="F936" s="81"/>
      <c r="G936" s="78"/>
      <c r="H936" s="82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</row>
    <row r="937" spans="1:23" ht="18" customHeight="1">
      <c r="A937" s="78"/>
      <c r="B937" s="78"/>
      <c r="C937" s="79"/>
      <c r="D937" s="80"/>
      <c r="E937" s="80"/>
      <c r="F937" s="81"/>
      <c r="G937" s="78"/>
      <c r="H937" s="82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</row>
    <row r="938" spans="1:23" ht="18" customHeight="1">
      <c r="A938" s="78"/>
      <c r="B938" s="78"/>
      <c r="C938" s="79"/>
      <c r="D938" s="80"/>
      <c r="E938" s="80"/>
      <c r="F938" s="81"/>
      <c r="G938" s="78"/>
      <c r="H938" s="82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</row>
    <row r="939" spans="1:23" ht="18" customHeight="1">
      <c r="A939" s="78"/>
      <c r="B939" s="78"/>
      <c r="C939" s="79"/>
      <c r="D939" s="80"/>
      <c r="E939" s="80"/>
      <c r="F939" s="81"/>
      <c r="G939" s="78"/>
      <c r="H939" s="82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</row>
    <row r="940" spans="1:23" ht="18" customHeight="1">
      <c r="A940" s="78"/>
      <c r="B940" s="78"/>
      <c r="C940" s="79"/>
      <c r="D940" s="80"/>
      <c r="E940" s="80"/>
      <c r="F940" s="81"/>
      <c r="G940" s="78"/>
      <c r="H940" s="82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</row>
    <row r="941" spans="1:23" ht="18" customHeight="1">
      <c r="A941" s="78"/>
      <c r="B941" s="78"/>
      <c r="C941" s="79"/>
      <c r="D941" s="80"/>
      <c r="E941" s="80"/>
      <c r="F941" s="81"/>
      <c r="G941" s="78"/>
      <c r="H941" s="82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</row>
    <row r="942" spans="1:23" ht="18" customHeight="1">
      <c r="A942" s="78"/>
      <c r="B942" s="78"/>
      <c r="C942" s="79"/>
      <c r="D942" s="80"/>
      <c r="E942" s="80"/>
      <c r="F942" s="81"/>
      <c r="G942" s="78"/>
      <c r="H942" s="82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</row>
    <row r="943" spans="1:23" ht="18" customHeight="1">
      <c r="A943" s="78"/>
      <c r="B943" s="78"/>
      <c r="C943" s="79"/>
      <c r="D943" s="80"/>
      <c r="E943" s="80"/>
      <c r="F943" s="81"/>
      <c r="G943" s="78"/>
      <c r="H943" s="82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</row>
    <row r="944" spans="1:23" ht="18" customHeight="1">
      <c r="A944" s="78"/>
      <c r="B944" s="78"/>
      <c r="C944" s="79"/>
      <c r="D944" s="80"/>
      <c r="E944" s="80"/>
      <c r="F944" s="81"/>
      <c r="G944" s="78"/>
      <c r="H944" s="82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</row>
    <row r="945" spans="1:23" ht="18" customHeight="1">
      <c r="A945" s="78"/>
      <c r="B945" s="78"/>
      <c r="C945" s="79"/>
      <c r="D945" s="80"/>
      <c r="E945" s="80"/>
      <c r="F945" s="81"/>
      <c r="G945" s="78"/>
      <c r="H945" s="82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</row>
    <row r="946" spans="1:23" ht="18" customHeight="1">
      <c r="A946" s="78"/>
      <c r="B946" s="78"/>
      <c r="C946" s="79"/>
      <c r="D946" s="80"/>
      <c r="E946" s="80"/>
      <c r="F946" s="81"/>
      <c r="G946" s="78"/>
      <c r="H946" s="82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</row>
    <row r="947" spans="1:23" ht="18" customHeight="1">
      <c r="A947" s="78"/>
      <c r="B947" s="78"/>
      <c r="C947" s="79"/>
      <c r="D947" s="80"/>
      <c r="E947" s="80"/>
      <c r="F947" s="81"/>
      <c r="G947" s="78"/>
      <c r="H947" s="82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</row>
    <row r="948" spans="1:23" ht="18" customHeight="1">
      <c r="A948" s="78"/>
      <c r="B948" s="78"/>
      <c r="C948" s="79"/>
      <c r="D948" s="80"/>
      <c r="E948" s="80"/>
      <c r="F948" s="81"/>
      <c r="G948" s="78"/>
      <c r="H948" s="82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</row>
    <row r="949" spans="1:23" ht="18" customHeight="1">
      <c r="A949" s="78"/>
      <c r="B949" s="78"/>
      <c r="C949" s="79"/>
      <c r="D949" s="80"/>
      <c r="E949" s="80"/>
      <c r="F949" s="81"/>
      <c r="G949" s="78"/>
      <c r="H949" s="82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</row>
    <row r="950" spans="1:23" ht="18" customHeight="1">
      <c r="A950" s="78"/>
      <c r="B950" s="78"/>
      <c r="C950" s="79"/>
      <c r="D950" s="80"/>
      <c r="E950" s="80"/>
      <c r="F950" s="81"/>
      <c r="G950" s="78"/>
      <c r="H950" s="82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</row>
    <row r="951" spans="1:23" ht="18" customHeight="1">
      <c r="A951" s="78"/>
      <c r="B951" s="78"/>
      <c r="C951" s="79"/>
      <c r="D951" s="80"/>
      <c r="E951" s="80"/>
      <c r="F951" s="81"/>
      <c r="G951" s="78"/>
      <c r="H951" s="82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</row>
    <row r="952" spans="1:23" ht="18" customHeight="1">
      <c r="A952" s="78"/>
      <c r="B952" s="78"/>
      <c r="C952" s="79"/>
      <c r="D952" s="80"/>
      <c r="E952" s="80"/>
      <c r="F952" s="81"/>
      <c r="G952" s="78"/>
      <c r="H952" s="82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</row>
    <row r="953" spans="1:23" ht="18" customHeight="1">
      <c r="A953" s="78"/>
      <c r="B953" s="78"/>
      <c r="C953" s="79"/>
      <c r="D953" s="80"/>
      <c r="E953" s="80"/>
      <c r="F953" s="81"/>
      <c r="G953" s="78"/>
      <c r="H953" s="82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</row>
    <row r="954" spans="1:23" ht="18" customHeight="1">
      <c r="A954" s="78"/>
      <c r="B954" s="78"/>
      <c r="C954" s="79"/>
      <c r="D954" s="80"/>
      <c r="E954" s="80"/>
      <c r="F954" s="81"/>
      <c r="G954" s="78"/>
      <c r="H954" s="82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</row>
    <row r="955" spans="1:23" ht="18" customHeight="1">
      <c r="A955" s="78"/>
      <c r="B955" s="78"/>
      <c r="C955" s="79"/>
      <c r="D955" s="80"/>
      <c r="E955" s="80"/>
      <c r="F955" s="81"/>
      <c r="G955" s="78"/>
      <c r="H955" s="82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</row>
    <row r="956" spans="1:23" ht="18" customHeight="1">
      <c r="A956" s="78"/>
      <c r="B956" s="78"/>
      <c r="C956" s="79"/>
      <c r="D956" s="80"/>
      <c r="E956" s="80"/>
      <c r="F956" s="81"/>
      <c r="G956" s="78"/>
      <c r="H956" s="82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</row>
    <row r="957" spans="1:23" ht="18" customHeight="1">
      <c r="A957" s="78"/>
      <c r="B957" s="78"/>
      <c r="C957" s="79"/>
      <c r="D957" s="80"/>
      <c r="E957" s="80"/>
      <c r="F957" s="81"/>
      <c r="G957" s="78"/>
      <c r="H957" s="82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</row>
    <row r="958" spans="1:23" ht="18" customHeight="1">
      <c r="A958" s="78"/>
      <c r="B958" s="78"/>
      <c r="C958" s="79"/>
      <c r="D958" s="80"/>
      <c r="E958" s="80"/>
      <c r="F958" s="81"/>
      <c r="G958" s="78"/>
      <c r="H958" s="82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</row>
    <row r="959" spans="1:23" ht="18" customHeight="1">
      <c r="A959" s="78"/>
      <c r="B959" s="78"/>
      <c r="C959" s="79"/>
      <c r="D959" s="80"/>
      <c r="E959" s="80"/>
      <c r="F959" s="81"/>
      <c r="G959" s="78"/>
      <c r="H959" s="82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</row>
    <row r="960" spans="1:23" ht="18" customHeight="1">
      <c r="A960" s="78"/>
      <c r="B960" s="78"/>
      <c r="C960" s="79"/>
      <c r="D960" s="80"/>
      <c r="E960" s="80"/>
      <c r="F960" s="81"/>
      <c r="G960" s="78"/>
      <c r="H960" s="82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</row>
    <row r="961" spans="1:23" ht="18" customHeight="1">
      <c r="A961" s="78"/>
      <c r="B961" s="78"/>
      <c r="C961" s="79"/>
      <c r="D961" s="80"/>
      <c r="E961" s="80"/>
      <c r="F961" s="81"/>
      <c r="G961" s="78"/>
      <c r="H961" s="82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</row>
    <row r="962" spans="1:23" ht="18" customHeight="1">
      <c r="A962" s="78"/>
      <c r="B962" s="78"/>
      <c r="C962" s="79"/>
      <c r="D962" s="80"/>
      <c r="E962" s="80"/>
      <c r="F962" s="81"/>
      <c r="G962" s="78"/>
      <c r="H962" s="82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</row>
    <row r="963" spans="1:23" ht="18" customHeight="1">
      <c r="A963" s="78"/>
      <c r="B963" s="78"/>
      <c r="C963" s="79"/>
      <c r="D963" s="80"/>
      <c r="E963" s="80"/>
      <c r="F963" s="81"/>
      <c r="G963" s="78"/>
      <c r="H963" s="82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</row>
    <row r="964" spans="1:23" ht="18" customHeight="1">
      <c r="A964" s="78"/>
      <c r="B964" s="78"/>
      <c r="C964" s="79"/>
      <c r="D964" s="80"/>
      <c r="E964" s="80"/>
      <c r="F964" s="81"/>
      <c r="G964" s="78"/>
      <c r="H964" s="82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</row>
    <row r="965" spans="1:23" ht="18" customHeight="1">
      <c r="A965" s="78"/>
      <c r="B965" s="78"/>
      <c r="C965" s="79"/>
      <c r="D965" s="80"/>
      <c r="E965" s="80"/>
      <c r="F965" s="81"/>
      <c r="G965" s="78"/>
      <c r="H965" s="82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</row>
    <row r="966" spans="1:23" ht="18" customHeight="1">
      <c r="A966" s="78"/>
      <c r="B966" s="78"/>
      <c r="C966" s="79"/>
      <c r="D966" s="80"/>
      <c r="E966" s="80"/>
      <c r="F966" s="81"/>
      <c r="G966" s="78"/>
      <c r="H966" s="82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</row>
    <row r="967" spans="1:23" ht="18" customHeight="1">
      <c r="A967" s="78"/>
      <c r="B967" s="78"/>
      <c r="C967" s="79"/>
      <c r="D967" s="80"/>
      <c r="E967" s="80"/>
      <c r="F967" s="81"/>
      <c r="G967" s="78"/>
      <c r="H967" s="82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</row>
    <row r="968" spans="1:23" ht="18" customHeight="1">
      <c r="A968" s="78"/>
      <c r="B968" s="78"/>
      <c r="C968" s="79"/>
      <c r="D968" s="80"/>
      <c r="E968" s="80"/>
      <c r="F968" s="81"/>
      <c r="G968" s="78"/>
      <c r="H968" s="82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</row>
    <row r="969" spans="1:23" ht="18" customHeight="1">
      <c r="A969" s="78"/>
      <c r="B969" s="78"/>
      <c r="C969" s="79"/>
      <c r="D969" s="80"/>
      <c r="E969" s="80"/>
      <c r="F969" s="81"/>
      <c r="G969" s="78"/>
      <c r="H969" s="82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</row>
    <row r="970" spans="1:23" ht="18" customHeight="1">
      <c r="A970" s="78"/>
      <c r="B970" s="78"/>
      <c r="C970" s="79"/>
      <c r="D970" s="80"/>
      <c r="E970" s="80"/>
      <c r="F970" s="81"/>
      <c r="G970" s="78"/>
      <c r="H970" s="82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</row>
    <row r="971" spans="1:23" ht="18" customHeight="1">
      <c r="A971" s="78"/>
      <c r="B971" s="78"/>
      <c r="C971" s="79"/>
      <c r="D971" s="80"/>
      <c r="E971" s="80"/>
      <c r="F971" s="81"/>
      <c r="G971" s="78"/>
      <c r="H971" s="82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</row>
    <row r="972" spans="1:23" ht="18" customHeight="1">
      <c r="A972" s="78"/>
      <c r="B972" s="78"/>
      <c r="C972" s="79"/>
      <c r="D972" s="80"/>
      <c r="E972" s="80"/>
      <c r="F972" s="81"/>
      <c r="G972" s="78"/>
      <c r="H972" s="82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</row>
    <row r="973" spans="1:23" ht="18" customHeight="1">
      <c r="A973" s="78"/>
      <c r="B973" s="78"/>
      <c r="C973" s="79"/>
      <c r="D973" s="80"/>
      <c r="E973" s="80"/>
      <c r="F973" s="81"/>
      <c r="G973" s="78"/>
      <c r="H973" s="82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</row>
    <row r="974" spans="1:23" ht="18" customHeight="1">
      <c r="A974" s="78"/>
      <c r="B974" s="78"/>
      <c r="C974" s="79"/>
      <c r="D974" s="80"/>
      <c r="E974" s="80"/>
      <c r="F974" s="81"/>
      <c r="G974" s="78"/>
      <c r="H974" s="82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</row>
    <row r="975" spans="1:23" ht="18" customHeight="1">
      <c r="A975" s="78"/>
      <c r="B975" s="78"/>
      <c r="C975" s="79"/>
      <c r="D975" s="80"/>
      <c r="E975" s="80"/>
      <c r="F975" s="81"/>
      <c r="G975" s="78"/>
      <c r="H975" s="82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</row>
    <row r="976" spans="1:23" ht="18" customHeight="1">
      <c r="A976" s="78"/>
      <c r="B976" s="78"/>
      <c r="C976" s="79"/>
      <c r="D976" s="80"/>
      <c r="E976" s="80"/>
      <c r="F976" s="81"/>
      <c r="G976" s="78"/>
      <c r="H976" s="82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</row>
    <row r="977" spans="1:23" ht="18" customHeight="1">
      <c r="A977" s="78"/>
      <c r="B977" s="78"/>
      <c r="C977" s="79"/>
      <c r="D977" s="80"/>
      <c r="E977" s="80"/>
      <c r="F977" s="81"/>
      <c r="G977" s="78"/>
      <c r="H977" s="82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</row>
    <row r="978" spans="1:23" ht="18" customHeight="1">
      <c r="A978" s="78"/>
      <c r="B978" s="78"/>
      <c r="C978" s="79"/>
      <c r="D978" s="80"/>
      <c r="E978" s="80"/>
      <c r="F978" s="81"/>
      <c r="G978" s="78"/>
      <c r="H978" s="82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</row>
    <row r="979" spans="1:23" ht="18" customHeight="1">
      <c r="A979" s="78"/>
      <c r="B979" s="78"/>
      <c r="C979" s="79"/>
      <c r="D979" s="80"/>
      <c r="E979" s="80"/>
      <c r="F979" s="81"/>
      <c r="G979" s="78"/>
      <c r="H979" s="82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</row>
    <row r="980" spans="1:23" ht="18" customHeight="1">
      <c r="A980" s="78"/>
      <c r="B980" s="78"/>
      <c r="C980" s="79"/>
      <c r="D980" s="80"/>
      <c r="E980" s="80"/>
      <c r="F980" s="81"/>
      <c r="G980" s="78"/>
      <c r="H980" s="82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</row>
    <row r="981" spans="1:23" ht="18" customHeight="1">
      <c r="A981" s="78"/>
      <c r="B981" s="78"/>
      <c r="C981" s="79"/>
      <c r="D981" s="80"/>
      <c r="E981" s="80"/>
      <c r="F981" s="81"/>
      <c r="G981" s="78"/>
      <c r="H981" s="82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</row>
    <row r="982" spans="1:23" ht="18" customHeight="1">
      <c r="A982" s="78"/>
      <c r="B982" s="78"/>
      <c r="C982" s="79"/>
      <c r="D982" s="80"/>
      <c r="E982" s="80"/>
      <c r="F982" s="81"/>
      <c r="G982" s="78"/>
      <c r="H982" s="82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</row>
    <row r="983" spans="1:23" ht="18" customHeight="1">
      <c r="A983" s="78"/>
      <c r="B983" s="78"/>
      <c r="C983" s="79"/>
      <c r="D983" s="80"/>
      <c r="E983" s="80"/>
      <c r="F983" s="81"/>
      <c r="G983" s="78"/>
      <c r="H983" s="82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</row>
    <row r="984" spans="1:23" ht="18" customHeight="1">
      <c r="A984" s="78"/>
      <c r="B984" s="78"/>
      <c r="C984" s="79"/>
      <c r="D984" s="80"/>
      <c r="E984" s="80"/>
      <c r="F984" s="81"/>
      <c r="G984" s="78"/>
      <c r="H984" s="82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</row>
    <row r="985" spans="1:23" ht="18" customHeight="1">
      <c r="A985" s="78"/>
      <c r="B985" s="78"/>
      <c r="C985" s="79"/>
      <c r="D985" s="80"/>
      <c r="E985" s="80"/>
      <c r="F985" s="81"/>
      <c r="G985" s="78"/>
      <c r="H985" s="82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</row>
    <row r="986" spans="1:23" ht="18" customHeight="1">
      <c r="A986" s="78"/>
      <c r="B986" s="78"/>
      <c r="C986" s="79"/>
      <c r="D986" s="80"/>
      <c r="E986" s="80"/>
      <c r="F986" s="81"/>
      <c r="G986" s="78"/>
      <c r="H986" s="82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</row>
    <row r="987" spans="1:23" ht="18" customHeight="1">
      <c r="A987" s="78"/>
      <c r="B987" s="78"/>
      <c r="C987" s="79"/>
      <c r="D987" s="80"/>
      <c r="E987" s="80"/>
      <c r="F987" s="81"/>
      <c r="G987" s="78"/>
      <c r="H987" s="82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</row>
    <row r="988" spans="1:23" ht="18" customHeight="1">
      <c r="A988" s="78"/>
      <c r="B988" s="78"/>
      <c r="C988" s="79"/>
      <c r="D988" s="80"/>
      <c r="E988" s="80"/>
      <c r="F988" s="81"/>
      <c r="G988" s="78"/>
      <c r="H988" s="82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</row>
    <row r="989" spans="1:23" ht="18" customHeight="1">
      <c r="A989" s="78"/>
      <c r="B989" s="78"/>
      <c r="C989" s="79"/>
      <c r="D989" s="80"/>
      <c r="E989" s="80"/>
      <c r="F989" s="81"/>
      <c r="G989" s="78"/>
      <c r="H989" s="82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</row>
    <row r="990" spans="1:23" ht="18" customHeight="1">
      <c r="A990" s="78"/>
      <c r="B990" s="78"/>
      <c r="C990" s="79"/>
      <c r="D990" s="80"/>
      <c r="E990" s="80"/>
      <c r="F990" s="81"/>
      <c r="G990" s="78"/>
      <c r="H990" s="82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</row>
    <row r="991" spans="1:23" ht="18" customHeight="1">
      <c r="A991" s="78"/>
      <c r="B991" s="78"/>
      <c r="C991" s="79"/>
      <c r="D991" s="80"/>
      <c r="E991" s="80"/>
      <c r="F991" s="81"/>
      <c r="G991" s="78"/>
      <c r="H991" s="82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</row>
    <row r="992" spans="1:23" ht="18" customHeight="1">
      <c r="A992" s="78"/>
      <c r="B992" s="78"/>
      <c r="C992" s="79"/>
      <c r="D992" s="80"/>
      <c r="E992" s="80"/>
      <c r="F992" s="81"/>
      <c r="G992" s="78"/>
      <c r="H992" s="82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</row>
    <row r="993" spans="1:23" ht="18" customHeight="1">
      <c r="A993" s="78"/>
      <c r="B993" s="78"/>
      <c r="C993" s="79"/>
      <c r="D993" s="80"/>
      <c r="E993" s="80"/>
      <c r="F993" s="81"/>
      <c r="G993" s="78"/>
      <c r="H993" s="82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</row>
    <row r="994" spans="1:23" ht="18" customHeight="1">
      <c r="A994" s="78"/>
      <c r="B994" s="78"/>
      <c r="C994" s="79"/>
      <c r="D994" s="80"/>
      <c r="E994" s="80"/>
      <c r="F994" s="81"/>
      <c r="G994" s="78"/>
      <c r="H994" s="82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</row>
    <row r="995" spans="1:23" ht="18" customHeight="1">
      <c r="A995" s="78"/>
      <c r="B995" s="78"/>
      <c r="C995" s="79"/>
      <c r="D995" s="80"/>
      <c r="E995" s="80"/>
      <c r="F995" s="81"/>
      <c r="G995" s="78"/>
      <c r="H995" s="82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</row>
    <row r="996" spans="1:23" ht="18" customHeight="1">
      <c r="A996" s="78"/>
      <c r="B996" s="78"/>
      <c r="C996" s="79"/>
      <c r="D996" s="80"/>
      <c r="E996" s="80"/>
      <c r="F996" s="81"/>
      <c r="G996" s="78"/>
      <c r="H996" s="82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</row>
    <row r="997" spans="1:23" ht="18" customHeight="1">
      <c r="A997" s="78"/>
      <c r="B997" s="78"/>
      <c r="C997" s="79"/>
      <c r="D997" s="80"/>
      <c r="E997" s="80"/>
      <c r="F997" s="81"/>
      <c r="G997" s="78"/>
      <c r="H997" s="82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</row>
  </sheetData>
  <mergeCells count="18">
    <mergeCell ref="H10:H11"/>
    <mergeCell ref="I10:M10"/>
    <mergeCell ref="I17:M17"/>
    <mergeCell ref="B10:B11"/>
    <mergeCell ref="C10:C11"/>
    <mergeCell ref="D10:E11"/>
    <mergeCell ref="F10:F11"/>
    <mergeCell ref="G10:G11"/>
    <mergeCell ref="I13:M13"/>
    <mergeCell ref="I16:M16"/>
    <mergeCell ref="I15:M15"/>
    <mergeCell ref="I24:M24"/>
    <mergeCell ref="N10:N11"/>
    <mergeCell ref="I20:M20"/>
    <mergeCell ref="I21:M21"/>
    <mergeCell ref="I22:M22"/>
    <mergeCell ref="I23:M23"/>
    <mergeCell ref="I19:M19"/>
  </mergeCells>
  <pageMargins left="0.7" right="0.7" top="0.75" bottom="0.75" header="0.3" footer="0.3"/>
  <pageSetup paperSize="9" scale="44" fitToHeight="0" orientation="landscape" verticalDpi="360" r:id="rId1"/>
  <headerFooter>
    <oddHeader>&amp;L&amp;G
&amp;R
UCM/FR/HCM/20 Rev 00
July 30, 2021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979"/>
  <sheetViews>
    <sheetView topLeftCell="A3" zoomScale="130" zoomScaleNormal="130" workbookViewId="0">
      <pane xSplit="3" ySplit="1" topLeftCell="D5" activePane="bottomRight" state="frozen"/>
      <selection activeCell="A3" sqref="A3"/>
      <selection pane="topRight" activeCell="D3" sqref="D3"/>
      <selection pane="bottomLeft" activeCell="A4" sqref="A4"/>
      <selection pane="bottomRight" activeCell="B6" sqref="B6"/>
    </sheetView>
  </sheetViews>
  <sheetFormatPr defaultColWidth="9" defaultRowHeight="15"/>
  <cols>
    <col min="1" max="1" width="9" style="131"/>
    <col min="2" max="2" width="27.25" style="131" customWidth="1"/>
    <col min="3" max="3" width="35.125" style="131" customWidth="1"/>
    <col min="4" max="4" width="10.125" style="131" customWidth="1"/>
    <col min="5" max="5" width="11.5" style="151" customWidth="1"/>
    <col min="6" max="6" width="9" style="131"/>
    <col min="7" max="7" width="11.125" style="131" customWidth="1"/>
    <col min="8" max="8" width="10.75" style="131" customWidth="1"/>
    <col min="9" max="9" width="10.875" style="131" customWidth="1"/>
    <col min="10" max="16384" width="9" style="131"/>
  </cols>
  <sheetData>
    <row r="1" spans="2:9">
      <c r="B1" s="129"/>
      <c r="C1" s="129"/>
      <c r="D1" s="129"/>
      <c r="E1" s="130"/>
    </row>
    <row r="2" spans="2:9">
      <c r="B2" s="441" t="s">
        <v>340</v>
      </c>
      <c r="C2" s="442"/>
      <c r="D2" s="442"/>
      <c r="E2" s="442"/>
    </row>
    <row r="3" spans="2:9">
      <c r="B3" s="132" t="s">
        <v>341</v>
      </c>
      <c r="C3" s="133" t="s">
        <v>342</v>
      </c>
      <c r="D3" s="133"/>
      <c r="E3" s="134" t="s">
        <v>13</v>
      </c>
    </row>
    <row r="4" spans="2:9" ht="75">
      <c r="B4" s="135" t="s">
        <v>343</v>
      </c>
      <c r="C4" s="135" t="s">
        <v>344</v>
      </c>
      <c r="D4" s="135"/>
      <c r="E4" s="136">
        <v>0.5</v>
      </c>
      <c r="G4" s="135" t="s">
        <v>345</v>
      </c>
      <c r="H4" s="135" t="s">
        <v>346</v>
      </c>
      <c r="I4" s="135" t="s">
        <v>347</v>
      </c>
    </row>
    <row r="5" spans="2:9" ht="60">
      <c r="B5" s="135" t="s">
        <v>348</v>
      </c>
      <c r="C5" s="135" t="s">
        <v>283</v>
      </c>
      <c r="D5" s="135"/>
      <c r="E5" s="137" t="s">
        <v>349</v>
      </c>
      <c r="G5" s="138" t="s">
        <v>350</v>
      </c>
      <c r="H5" s="139" t="s">
        <v>351</v>
      </c>
    </row>
    <row r="6" spans="2:9" ht="79.5" customHeight="1">
      <c r="B6" s="140" t="s">
        <v>352</v>
      </c>
      <c r="C6" s="140" t="s">
        <v>155</v>
      </c>
      <c r="D6" s="140"/>
      <c r="E6" s="141">
        <v>0.9</v>
      </c>
      <c r="F6" s="142"/>
      <c r="G6" s="143"/>
    </row>
    <row r="7" spans="2:9" ht="75">
      <c r="B7" s="144" t="s">
        <v>353</v>
      </c>
      <c r="C7" s="144" t="s">
        <v>160</v>
      </c>
      <c r="D7" s="144"/>
      <c r="E7" s="136">
        <v>0.95</v>
      </c>
      <c r="G7" s="138" t="s">
        <v>354</v>
      </c>
      <c r="H7" s="135" t="s">
        <v>355</v>
      </c>
    </row>
    <row r="8" spans="2:9" ht="45">
      <c r="B8" s="145" t="s">
        <v>356</v>
      </c>
      <c r="C8" s="145" t="s">
        <v>357</v>
      </c>
      <c r="D8" s="145"/>
      <c r="E8" s="146">
        <v>0.5</v>
      </c>
    </row>
    <row r="9" spans="2:9" ht="30">
      <c r="B9" s="147" t="s">
        <v>358</v>
      </c>
      <c r="C9" s="148" t="e">
        <f>VLOOKUP(B9,#REF!,2,0)</f>
        <v>#REF!</v>
      </c>
      <c r="D9" s="148"/>
      <c r="E9" s="149">
        <v>1</v>
      </c>
    </row>
    <row r="10" spans="2:9" ht="60">
      <c r="B10" s="148" t="s">
        <v>359</v>
      </c>
      <c r="C10" s="148" t="s">
        <v>360</v>
      </c>
      <c r="D10" s="148"/>
      <c r="E10" s="149">
        <v>0.83</v>
      </c>
    </row>
    <row r="11" spans="2:9" ht="90">
      <c r="B11" s="148" t="s">
        <v>361</v>
      </c>
      <c r="C11" s="148" t="s">
        <v>362</v>
      </c>
      <c r="D11" s="148"/>
      <c r="E11" s="149">
        <v>0.82</v>
      </c>
    </row>
    <row r="12" spans="2:9" ht="30">
      <c r="B12" s="145" t="s">
        <v>363</v>
      </c>
      <c r="C12" s="145" t="s">
        <v>364</v>
      </c>
      <c r="D12" s="145"/>
      <c r="E12" s="146">
        <v>0.73</v>
      </c>
    </row>
    <row r="13" spans="2:9" ht="60">
      <c r="B13" s="145" t="s">
        <v>365</v>
      </c>
      <c r="C13" s="145" t="s">
        <v>366</v>
      </c>
      <c r="D13" s="145"/>
      <c r="E13" s="150" t="s">
        <v>158</v>
      </c>
    </row>
    <row r="14" spans="2:9" ht="30">
      <c r="B14" s="145" t="s">
        <v>367</v>
      </c>
      <c r="C14" s="145" t="s">
        <v>368</v>
      </c>
      <c r="D14" s="145"/>
      <c r="E14" s="146">
        <v>0.75</v>
      </c>
    </row>
    <row r="15" spans="2:9" ht="30">
      <c r="B15" s="145" t="s">
        <v>369</v>
      </c>
      <c r="C15" s="145" t="s">
        <v>370</v>
      </c>
      <c r="D15" s="145"/>
      <c r="E15" s="146">
        <v>0.9</v>
      </c>
    </row>
    <row r="16" spans="2:9" ht="60">
      <c r="B16" s="145" t="s">
        <v>371</v>
      </c>
      <c r="C16" s="145" t="s">
        <v>372</v>
      </c>
      <c r="D16" s="145"/>
      <c r="E16" s="150" t="s">
        <v>19</v>
      </c>
    </row>
    <row r="17" spans="2:5" ht="45">
      <c r="B17" s="145" t="s">
        <v>356</v>
      </c>
      <c r="C17" s="145" t="s">
        <v>357</v>
      </c>
      <c r="D17" s="145"/>
      <c r="E17" s="146">
        <v>0.5</v>
      </c>
    </row>
    <row r="18" spans="2:5" ht="45">
      <c r="B18" s="147" t="s">
        <v>373</v>
      </c>
      <c r="C18" s="148" t="e">
        <f>VLOOKUP(B18,#REF!,2,0)</f>
        <v>#REF!</v>
      </c>
      <c r="D18" s="148"/>
      <c r="E18" s="149" t="e">
        <f>VLOOKUP(B18,#REF!,3,0)</f>
        <v>#REF!</v>
      </c>
    </row>
    <row r="19" spans="2:5" ht="30">
      <c r="B19" s="145" t="s">
        <v>363</v>
      </c>
      <c r="C19" s="145" t="s">
        <v>364</v>
      </c>
      <c r="D19" s="145"/>
      <c r="E19" s="146">
        <v>0.73</v>
      </c>
    </row>
    <row r="20" spans="2:5" ht="60">
      <c r="B20" s="145" t="s">
        <v>365</v>
      </c>
      <c r="C20" s="145" t="s">
        <v>366</v>
      </c>
      <c r="D20" s="145"/>
      <c r="E20" s="150" t="s">
        <v>158</v>
      </c>
    </row>
    <row r="21" spans="2:5" ht="45">
      <c r="B21" s="145" t="s">
        <v>374</v>
      </c>
      <c r="C21" s="145" t="s">
        <v>375</v>
      </c>
      <c r="D21" s="145"/>
      <c r="E21" s="146">
        <v>0.99</v>
      </c>
    </row>
    <row r="22" spans="2:5" ht="75">
      <c r="B22" s="145" t="s">
        <v>376</v>
      </c>
      <c r="C22" s="145" t="s">
        <v>166</v>
      </c>
      <c r="D22" s="145"/>
      <c r="E22" s="146">
        <v>0.83</v>
      </c>
    </row>
    <row r="23" spans="2:5">
      <c r="B23" s="135"/>
      <c r="C23" s="135"/>
      <c r="D23" s="135"/>
      <c r="E23" s="137"/>
    </row>
    <row r="24" spans="2:5">
      <c r="B24" s="129"/>
      <c r="C24" s="129"/>
      <c r="D24" s="129"/>
      <c r="E24" s="130"/>
    </row>
    <row r="25" spans="2:5">
      <c r="B25" s="129"/>
      <c r="C25" s="129"/>
      <c r="D25" s="129"/>
      <c r="E25" s="130"/>
    </row>
    <row r="26" spans="2:5">
      <c r="B26" s="129"/>
      <c r="C26" s="129"/>
      <c r="D26" s="129"/>
      <c r="E26" s="130"/>
    </row>
    <row r="27" spans="2:5">
      <c r="B27" s="129"/>
      <c r="C27" s="129"/>
      <c r="D27" s="129"/>
      <c r="E27" s="130"/>
    </row>
    <row r="28" spans="2:5">
      <c r="B28" s="129"/>
      <c r="C28" s="129"/>
      <c r="D28" s="129"/>
      <c r="E28" s="130"/>
    </row>
    <row r="29" spans="2:5">
      <c r="B29" s="129"/>
      <c r="C29" s="129"/>
      <c r="D29" s="129"/>
      <c r="E29" s="130"/>
    </row>
    <row r="30" spans="2:5">
      <c r="B30" s="129"/>
      <c r="C30" s="129"/>
      <c r="D30" s="129"/>
      <c r="E30" s="130"/>
    </row>
    <row r="31" spans="2:5">
      <c r="B31" s="129"/>
      <c r="C31" s="129"/>
      <c r="D31" s="129"/>
      <c r="E31" s="130"/>
    </row>
    <row r="32" spans="2:5">
      <c r="B32" s="129"/>
      <c r="C32" s="129"/>
      <c r="D32" s="129"/>
      <c r="E32" s="130"/>
    </row>
    <row r="33" spans="2:5">
      <c r="B33" s="129"/>
      <c r="C33" s="129"/>
      <c r="D33" s="129"/>
      <c r="E33" s="130"/>
    </row>
    <row r="34" spans="2:5">
      <c r="B34" s="129"/>
      <c r="C34" s="129"/>
      <c r="D34" s="129"/>
      <c r="E34" s="130"/>
    </row>
    <row r="35" spans="2:5">
      <c r="B35" s="129"/>
      <c r="C35" s="129"/>
      <c r="D35" s="129"/>
      <c r="E35" s="130"/>
    </row>
    <row r="36" spans="2:5">
      <c r="B36" s="129"/>
      <c r="C36" s="129"/>
      <c r="D36" s="129"/>
      <c r="E36" s="130"/>
    </row>
    <row r="37" spans="2:5">
      <c r="B37" s="129"/>
      <c r="C37" s="129"/>
      <c r="D37" s="129"/>
      <c r="E37" s="130"/>
    </row>
    <row r="38" spans="2:5">
      <c r="B38" s="129"/>
      <c r="C38" s="129"/>
      <c r="D38" s="129"/>
      <c r="E38" s="130"/>
    </row>
    <row r="39" spans="2:5">
      <c r="B39" s="129"/>
      <c r="C39" s="129"/>
      <c r="D39" s="129"/>
      <c r="E39" s="130"/>
    </row>
    <row r="40" spans="2:5">
      <c r="B40" s="129"/>
      <c r="C40" s="129"/>
      <c r="D40" s="129"/>
      <c r="E40" s="130"/>
    </row>
    <row r="41" spans="2:5">
      <c r="B41" s="129"/>
      <c r="C41" s="129"/>
      <c r="D41" s="129"/>
      <c r="E41" s="130"/>
    </row>
    <row r="42" spans="2:5">
      <c r="B42" s="129"/>
      <c r="C42" s="129"/>
      <c r="D42" s="129"/>
      <c r="E42" s="130"/>
    </row>
    <row r="43" spans="2:5">
      <c r="B43" s="129"/>
      <c r="C43" s="129"/>
      <c r="D43" s="129"/>
      <c r="E43" s="130"/>
    </row>
    <row r="44" spans="2:5">
      <c r="B44" s="129"/>
      <c r="C44" s="129"/>
      <c r="D44" s="129"/>
      <c r="E44" s="130"/>
    </row>
    <row r="45" spans="2:5">
      <c r="B45" s="129"/>
      <c r="C45" s="129"/>
      <c r="D45" s="129"/>
      <c r="E45" s="130"/>
    </row>
    <row r="46" spans="2:5">
      <c r="B46" s="129"/>
      <c r="C46" s="129"/>
      <c r="D46" s="129"/>
      <c r="E46" s="130"/>
    </row>
    <row r="47" spans="2:5">
      <c r="B47" s="129"/>
      <c r="C47" s="129"/>
      <c r="D47" s="129"/>
      <c r="E47" s="130"/>
    </row>
    <row r="48" spans="2:5">
      <c r="B48" s="129"/>
      <c r="C48" s="129"/>
      <c r="D48" s="129"/>
      <c r="E48" s="130"/>
    </row>
    <row r="49" spans="2:5">
      <c r="B49" s="129"/>
      <c r="C49" s="129"/>
      <c r="D49" s="129"/>
      <c r="E49" s="130"/>
    </row>
    <row r="50" spans="2:5">
      <c r="B50" s="129"/>
      <c r="C50" s="129"/>
      <c r="D50" s="129"/>
      <c r="E50" s="130"/>
    </row>
    <row r="51" spans="2:5">
      <c r="B51" s="129"/>
      <c r="C51" s="129"/>
      <c r="D51" s="129"/>
      <c r="E51" s="130"/>
    </row>
    <row r="52" spans="2:5">
      <c r="B52" s="129"/>
      <c r="C52" s="129"/>
      <c r="D52" s="129"/>
      <c r="E52" s="130"/>
    </row>
    <row r="53" spans="2:5">
      <c r="B53" s="129"/>
      <c r="C53" s="129"/>
      <c r="D53" s="129"/>
      <c r="E53" s="130"/>
    </row>
    <row r="54" spans="2:5">
      <c r="B54" s="129"/>
      <c r="C54" s="129"/>
      <c r="D54" s="129"/>
      <c r="E54" s="130"/>
    </row>
    <row r="55" spans="2:5">
      <c r="B55" s="129"/>
      <c r="C55" s="129"/>
      <c r="D55" s="129"/>
      <c r="E55" s="130"/>
    </row>
    <row r="56" spans="2:5">
      <c r="B56" s="129"/>
      <c r="C56" s="129"/>
      <c r="D56" s="129"/>
      <c r="E56" s="130"/>
    </row>
    <row r="57" spans="2:5">
      <c r="B57" s="129"/>
      <c r="C57" s="129"/>
      <c r="D57" s="129"/>
      <c r="E57" s="130"/>
    </row>
    <row r="58" spans="2:5">
      <c r="B58" s="129"/>
      <c r="C58" s="129"/>
      <c r="D58" s="129"/>
      <c r="E58" s="130"/>
    </row>
    <row r="59" spans="2:5">
      <c r="B59" s="129"/>
      <c r="C59" s="129"/>
      <c r="D59" s="129"/>
      <c r="E59" s="130"/>
    </row>
    <row r="60" spans="2:5">
      <c r="B60" s="129"/>
      <c r="C60" s="129"/>
      <c r="D60" s="129"/>
      <c r="E60" s="130"/>
    </row>
    <row r="61" spans="2:5">
      <c r="B61" s="129"/>
      <c r="C61" s="129"/>
      <c r="D61" s="129"/>
      <c r="E61" s="130"/>
    </row>
    <row r="62" spans="2:5">
      <c r="B62" s="129"/>
      <c r="C62" s="129"/>
      <c r="D62" s="129"/>
      <c r="E62" s="130"/>
    </row>
    <row r="63" spans="2:5">
      <c r="B63" s="129"/>
      <c r="C63" s="129"/>
      <c r="D63" s="129"/>
      <c r="E63" s="130"/>
    </row>
    <row r="64" spans="2:5">
      <c r="B64" s="129"/>
      <c r="C64" s="129"/>
      <c r="D64" s="129"/>
      <c r="E64" s="130"/>
    </row>
    <row r="65" spans="2:5">
      <c r="B65" s="129"/>
      <c r="C65" s="129"/>
      <c r="D65" s="129"/>
      <c r="E65" s="130"/>
    </row>
    <row r="66" spans="2:5">
      <c r="B66" s="129"/>
      <c r="C66" s="129"/>
      <c r="D66" s="129"/>
      <c r="E66" s="130"/>
    </row>
    <row r="67" spans="2:5">
      <c r="B67" s="129"/>
      <c r="C67" s="129"/>
      <c r="D67" s="129"/>
      <c r="E67" s="130"/>
    </row>
    <row r="68" spans="2:5">
      <c r="B68" s="129"/>
      <c r="C68" s="129"/>
      <c r="D68" s="129"/>
      <c r="E68" s="130"/>
    </row>
    <row r="69" spans="2:5">
      <c r="B69" s="129"/>
      <c r="C69" s="129"/>
      <c r="D69" s="129"/>
      <c r="E69" s="130"/>
    </row>
    <row r="70" spans="2:5">
      <c r="B70" s="129"/>
      <c r="C70" s="129"/>
      <c r="D70" s="129"/>
      <c r="E70" s="130"/>
    </row>
    <row r="71" spans="2:5">
      <c r="B71" s="129"/>
      <c r="C71" s="129"/>
      <c r="D71" s="129"/>
      <c r="E71" s="130"/>
    </row>
    <row r="72" spans="2:5">
      <c r="B72" s="129"/>
      <c r="C72" s="129"/>
      <c r="D72" s="129"/>
      <c r="E72" s="130"/>
    </row>
    <row r="73" spans="2:5">
      <c r="B73" s="129"/>
      <c r="C73" s="129"/>
      <c r="D73" s="129"/>
      <c r="E73" s="130"/>
    </row>
    <row r="74" spans="2:5">
      <c r="B74" s="129"/>
      <c r="C74" s="129"/>
      <c r="D74" s="129"/>
      <c r="E74" s="130"/>
    </row>
    <row r="75" spans="2:5">
      <c r="B75" s="129"/>
      <c r="C75" s="129"/>
      <c r="D75" s="129"/>
      <c r="E75" s="130"/>
    </row>
    <row r="76" spans="2:5">
      <c r="B76" s="129"/>
      <c r="C76" s="129"/>
      <c r="D76" s="129"/>
      <c r="E76" s="130"/>
    </row>
    <row r="77" spans="2:5">
      <c r="B77" s="129"/>
      <c r="C77" s="129"/>
      <c r="D77" s="129"/>
      <c r="E77" s="130"/>
    </row>
    <row r="78" spans="2:5">
      <c r="B78" s="129"/>
      <c r="C78" s="129"/>
      <c r="D78" s="129"/>
      <c r="E78" s="130"/>
    </row>
    <row r="79" spans="2:5">
      <c r="B79" s="129"/>
      <c r="C79" s="129"/>
      <c r="D79" s="129"/>
      <c r="E79" s="130"/>
    </row>
    <row r="80" spans="2:5">
      <c r="B80" s="129"/>
      <c r="C80" s="129"/>
      <c r="D80" s="129"/>
      <c r="E80" s="130"/>
    </row>
    <row r="81" spans="2:5">
      <c r="B81" s="129"/>
      <c r="C81" s="129"/>
      <c r="D81" s="129"/>
      <c r="E81" s="130"/>
    </row>
    <row r="82" spans="2:5">
      <c r="B82" s="129"/>
      <c r="C82" s="129"/>
      <c r="D82" s="129"/>
      <c r="E82" s="130"/>
    </row>
    <row r="83" spans="2:5">
      <c r="B83" s="129"/>
      <c r="C83" s="129"/>
      <c r="D83" s="129"/>
      <c r="E83" s="130"/>
    </row>
    <row r="84" spans="2:5">
      <c r="B84" s="129"/>
      <c r="C84" s="129"/>
      <c r="D84" s="129"/>
      <c r="E84" s="130"/>
    </row>
    <row r="85" spans="2:5">
      <c r="B85" s="129"/>
      <c r="C85" s="129"/>
      <c r="D85" s="129"/>
      <c r="E85" s="130"/>
    </row>
    <row r="86" spans="2:5">
      <c r="B86" s="129"/>
      <c r="C86" s="129"/>
      <c r="D86" s="129"/>
      <c r="E86" s="130"/>
    </row>
    <row r="87" spans="2:5">
      <c r="B87" s="129"/>
      <c r="C87" s="129"/>
      <c r="D87" s="129"/>
      <c r="E87" s="130"/>
    </row>
    <row r="88" spans="2:5">
      <c r="B88" s="129"/>
      <c r="C88" s="129"/>
      <c r="D88" s="129"/>
      <c r="E88" s="130"/>
    </row>
    <row r="89" spans="2:5">
      <c r="B89" s="129"/>
      <c r="C89" s="129"/>
      <c r="D89" s="129"/>
      <c r="E89" s="130"/>
    </row>
    <row r="90" spans="2:5">
      <c r="B90" s="129"/>
      <c r="C90" s="129"/>
      <c r="D90" s="129"/>
      <c r="E90" s="130"/>
    </row>
    <row r="91" spans="2:5">
      <c r="B91" s="129"/>
      <c r="C91" s="129"/>
      <c r="D91" s="129"/>
      <c r="E91" s="130"/>
    </row>
    <row r="92" spans="2:5">
      <c r="B92" s="129"/>
      <c r="C92" s="129"/>
      <c r="D92" s="129"/>
      <c r="E92" s="130"/>
    </row>
    <row r="93" spans="2:5">
      <c r="B93" s="129"/>
      <c r="C93" s="129"/>
      <c r="D93" s="129"/>
      <c r="E93" s="130"/>
    </row>
    <row r="94" spans="2:5">
      <c r="B94" s="129"/>
      <c r="C94" s="129"/>
      <c r="D94" s="129"/>
      <c r="E94" s="130"/>
    </row>
    <row r="95" spans="2:5">
      <c r="B95" s="129"/>
      <c r="C95" s="129"/>
      <c r="D95" s="129"/>
      <c r="E95" s="130"/>
    </row>
    <row r="96" spans="2:5">
      <c r="B96" s="129"/>
      <c r="C96" s="129"/>
      <c r="D96" s="129"/>
      <c r="E96" s="130"/>
    </row>
    <row r="97" spans="2:5">
      <c r="B97" s="129"/>
      <c r="C97" s="129"/>
      <c r="D97" s="129"/>
      <c r="E97" s="130"/>
    </row>
    <row r="98" spans="2:5">
      <c r="B98" s="129"/>
      <c r="C98" s="129"/>
      <c r="D98" s="129"/>
      <c r="E98" s="130"/>
    </row>
    <row r="99" spans="2:5">
      <c r="B99" s="129"/>
      <c r="C99" s="129"/>
      <c r="D99" s="129"/>
      <c r="E99" s="130"/>
    </row>
    <row r="100" spans="2:5">
      <c r="B100" s="129"/>
      <c r="C100" s="129"/>
      <c r="D100" s="129"/>
      <c r="E100" s="130"/>
    </row>
    <row r="101" spans="2:5">
      <c r="B101" s="129"/>
      <c r="C101" s="129"/>
      <c r="D101" s="129"/>
      <c r="E101" s="130"/>
    </row>
    <row r="102" spans="2:5">
      <c r="B102" s="129"/>
      <c r="C102" s="129"/>
      <c r="D102" s="129"/>
      <c r="E102" s="130"/>
    </row>
    <row r="103" spans="2:5">
      <c r="B103" s="129"/>
      <c r="C103" s="129"/>
      <c r="D103" s="129"/>
      <c r="E103" s="130"/>
    </row>
    <row r="104" spans="2:5">
      <c r="B104" s="129"/>
      <c r="C104" s="129"/>
      <c r="D104" s="129"/>
      <c r="E104" s="130"/>
    </row>
    <row r="105" spans="2:5">
      <c r="B105" s="129"/>
      <c r="C105" s="129"/>
      <c r="D105" s="129"/>
      <c r="E105" s="130"/>
    </row>
    <row r="106" spans="2:5">
      <c r="B106" s="129"/>
      <c r="C106" s="129"/>
      <c r="D106" s="129"/>
      <c r="E106" s="130"/>
    </row>
    <row r="107" spans="2:5">
      <c r="B107" s="129"/>
      <c r="C107" s="129"/>
      <c r="D107" s="129"/>
      <c r="E107" s="130"/>
    </row>
    <row r="108" spans="2:5">
      <c r="B108" s="129"/>
      <c r="C108" s="129"/>
      <c r="D108" s="129"/>
      <c r="E108" s="130"/>
    </row>
    <row r="109" spans="2:5">
      <c r="B109" s="129"/>
      <c r="C109" s="129"/>
      <c r="D109" s="129"/>
      <c r="E109" s="130"/>
    </row>
    <row r="110" spans="2:5">
      <c r="B110" s="129"/>
      <c r="C110" s="129"/>
      <c r="D110" s="129"/>
      <c r="E110" s="130"/>
    </row>
    <row r="111" spans="2:5">
      <c r="B111" s="129"/>
      <c r="C111" s="129"/>
      <c r="D111" s="129"/>
      <c r="E111" s="130"/>
    </row>
    <row r="112" spans="2:5">
      <c r="B112" s="129"/>
      <c r="C112" s="129"/>
      <c r="D112" s="129"/>
      <c r="E112" s="130"/>
    </row>
    <row r="113" spans="2:5">
      <c r="B113" s="129"/>
      <c r="C113" s="129"/>
      <c r="D113" s="129"/>
      <c r="E113" s="130"/>
    </row>
    <row r="114" spans="2:5">
      <c r="B114" s="129"/>
      <c r="C114" s="129"/>
      <c r="D114" s="129"/>
      <c r="E114" s="130"/>
    </row>
    <row r="115" spans="2:5">
      <c r="B115" s="129"/>
      <c r="C115" s="129"/>
      <c r="D115" s="129"/>
      <c r="E115" s="130"/>
    </row>
    <row r="116" spans="2:5">
      <c r="B116" s="129"/>
      <c r="C116" s="129"/>
      <c r="D116" s="129"/>
      <c r="E116" s="130"/>
    </row>
    <row r="117" spans="2:5">
      <c r="B117" s="129"/>
      <c r="C117" s="129"/>
      <c r="D117" s="129"/>
      <c r="E117" s="130"/>
    </row>
    <row r="118" spans="2:5">
      <c r="B118" s="129"/>
      <c r="C118" s="129"/>
      <c r="D118" s="129"/>
      <c r="E118" s="130"/>
    </row>
    <row r="119" spans="2:5">
      <c r="B119" s="129"/>
      <c r="C119" s="129"/>
      <c r="D119" s="129"/>
      <c r="E119" s="130"/>
    </row>
    <row r="120" spans="2:5">
      <c r="B120" s="129"/>
      <c r="C120" s="129"/>
      <c r="D120" s="129"/>
      <c r="E120" s="130"/>
    </row>
    <row r="121" spans="2:5">
      <c r="B121" s="129"/>
      <c r="C121" s="129"/>
      <c r="D121" s="129"/>
      <c r="E121" s="130"/>
    </row>
    <row r="122" spans="2:5">
      <c r="B122" s="129"/>
      <c r="C122" s="129"/>
      <c r="D122" s="129"/>
      <c r="E122" s="130"/>
    </row>
    <row r="123" spans="2:5">
      <c r="B123" s="129"/>
      <c r="C123" s="129"/>
      <c r="D123" s="129"/>
      <c r="E123" s="130"/>
    </row>
    <row r="124" spans="2:5">
      <c r="B124" s="129"/>
      <c r="C124" s="129"/>
      <c r="D124" s="129"/>
      <c r="E124" s="130"/>
    </row>
    <row r="125" spans="2:5">
      <c r="B125" s="129"/>
      <c r="C125" s="129"/>
      <c r="D125" s="129"/>
      <c r="E125" s="130"/>
    </row>
    <row r="126" spans="2:5">
      <c r="B126" s="129"/>
      <c r="C126" s="129"/>
      <c r="D126" s="129"/>
      <c r="E126" s="130"/>
    </row>
    <row r="127" spans="2:5">
      <c r="B127" s="129"/>
      <c r="C127" s="129"/>
      <c r="D127" s="129"/>
      <c r="E127" s="130"/>
    </row>
    <row r="128" spans="2:5">
      <c r="B128" s="129"/>
      <c r="C128" s="129"/>
      <c r="D128" s="129"/>
      <c r="E128" s="130"/>
    </row>
    <row r="129" spans="2:5">
      <c r="B129" s="129"/>
      <c r="C129" s="129"/>
      <c r="D129" s="129"/>
      <c r="E129" s="130"/>
    </row>
    <row r="130" spans="2:5">
      <c r="B130" s="129"/>
      <c r="C130" s="129"/>
      <c r="D130" s="129"/>
      <c r="E130" s="130"/>
    </row>
    <row r="131" spans="2:5">
      <c r="B131" s="129"/>
      <c r="C131" s="129"/>
      <c r="D131" s="129"/>
      <c r="E131" s="130"/>
    </row>
    <row r="132" spans="2:5">
      <c r="B132" s="129"/>
      <c r="C132" s="129"/>
      <c r="D132" s="129"/>
      <c r="E132" s="130"/>
    </row>
    <row r="133" spans="2:5">
      <c r="B133" s="129"/>
      <c r="C133" s="129"/>
      <c r="D133" s="129"/>
      <c r="E133" s="130"/>
    </row>
    <row r="134" spans="2:5">
      <c r="B134" s="129"/>
      <c r="C134" s="129"/>
      <c r="D134" s="129"/>
      <c r="E134" s="130"/>
    </row>
    <row r="135" spans="2:5">
      <c r="B135" s="129"/>
      <c r="C135" s="129"/>
      <c r="D135" s="129"/>
      <c r="E135" s="130"/>
    </row>
    <row r="136" spans="2:5">
      <c r="B136" s="129"/>
      <c r="C136" s="129"/>
      <c r="D136" s="129"/>
      <c r="E136" s="130"/>
    </row>
    <row r="137" spans="2:5">
      <c r="B137" s="129"/>
      <c r="C137" s="129"/>
      <c r="D137" s="129"/>
      <c r="E137" s="130"/>
    </row>
    <row r="138" spans="2:5">
      <c r="B138" s="129"/>
      <c r="C138" s="129"/>
      <c r="D138" s="129"/>
      <c r="E138" s="130"/>
    </row>
    <row r="139" spans="2:5">
      <c r="B139" s="129"/>
      <c r="C139" s="129"/>
      <c r="D139" s="129"/>
      <c r="E139" s="130"/>
    </row>
    <row r="140" spans="2:5">
      <c r="B140" s="129"/>
      <c r="C140" s="129"/>
      <c r="D140" s="129"/>
      <c r="E140" s="130"/>
    </row>
    <row r="141" spans="2:5">
      <c r="B141" s="129"/>
      <c r="C141" s="129"/>
      <c r="D141" s="129"/>
      <c r="E141" s="130"/>
    </row>
    <row r="142" spans="2:5">
      <c r="B142" s="129"/>
      <c r="C142" s="129"/>
      <c r="D142" s="129"/>
      <c r="E142" s="130"/>
    </row>
    <row r="143" spans="2:5">
      <c r="B143" s="129"/>
      <c r="C143" s="129"/>
      <c r="D143" s="129"/>
      <c r="E143" s="130"/>
    </row>
    <row r="144" spans="2:5">
      <c r="B144" s="129"/>
      <c r="C144" s="129"/>
      <c r="D144" s="129"/>
      <c r="E144" s="130"/>
    </row>
    <row r="145" spans="2:5">
      <c r="B145" s="129"/>
      <c r="C145" s="129"/>
      <c r="D145" s="129"/>
      <c r="E145" s="130"/>
    </row>
    <row r="146" spans="2:5">
      <c r="B146" s="129"/>
      <c r="C146" s="129"/>
      <c r="D146" s="129"/>
      <c r="E146" s="130"/>
    </row>
    <row r="147" spans="2:5">
      <c r="B147" s="129"/>
      <c r="C147" s="129"/>
      <c r="D147" s="129"/>
      <c r="E147" s="130"/>
    </row>
    <row r="148" spans="2:5">
      <c r="B148" s="129"/>
      <c r="C148" s="129"/>
      <c r="D148" s="129"/>
      <c r="E148" s="130"/>
    </row>
    <row r="149" spans="2:5">
      <c r="B149" s="129"/>
      <c r="C149" s="129"/>
      <c r="D149" s="129"/>
      <c r="E149" s="130"/>
    </row>
    <row r="150" spans="2:5">
      <c r="B150" s="129"/>
      <c r="C150" s="129"/>
      <c r="D150" s="129"/>
      <c r="E150" s="130"/>
    </row>
    <row r="151" spans="2:5">
      <c r="B151" s="129"/>
      <c r="C151" s="129"/>
      <c r="D151" s="129"/>
      <c r="E151" s="130"/>
    </row>
    <row r="152" spans="2:5">
      <c r="B152" s="129"/>
      <c r="C152" s="129"/>
      <c r="D152" s="129"/>
      <c r="E152" s="130"/>
    </row>
    <row r="153" spans="2:5">
      <c r="B153" s="129"/>
      <c r="C153" s="129"/>
      <c r="D153" s="129"/>
      <c r="E153" s="130"/>
    </row>
    <row r="154" spans="2:5">
      <c r="B154" s="129"/>
      <c r="C154" s="129"/>
      <c r="D154" s="129"/>
      <c r="E154" s="130"/>
    </row>
    <row r="155" spans="2:5">
      <c r="B155" s="129"/>
      <c r="C155" s="129"/>
      <c r="D155" s="129"/>
      <c r="E155" s="130"/>
    </row>
    <row r="156" spans="2:5">
      <c r="B156" s="129"/>
      <c r="C156" s="129"/>
      <c r="D156" s="129"/>
      <c r="E156" s="130"/>
    </row>
    <row r="157" spans="2:5">
      <c r="B157" s="129"/>
      <c r="C157" s="129"/>
      <c r="D157" s="129"/>
      <c r="E157" s="130"/>
    </row>
    <row r="158" spans="2:5">
      <c r="B158" s="129"/>
      <c r="C158" s="129"/>
      <c r="D158" s="129"/>
      <c r="E158" s="130"/>
    </row>
    <row r="159" spans="2:5">
      <c r="B159" s="129"/>
      <c r="C159" s="129"/>
      <c r="D159" s="129"/>
      <c r="E159" s="130"/>
    </row>
    <row r="160" spans="2:5">
      <c r="B160" s="129"/>
      <c r="C160" s="129"/>
      <c r="D160" s="129"/>
      <c r="E160" s="130"/>
    </row>
    <row r="161" spans="2:5">
      <c r="B161" s="129"/>
      <c r="C161" s="129"/>
      <c r="D161" s="129"/>
      <c r="E161" s="130"/>
    </row>
    <row r="162" spans="2:5">
      <c r="B162" s="129"/>
      <c r="C162" s="129"/>
      <c r="D162" s="129"/>
      <c r="E162" s="130"/>
    </row>
    <row r="163" spans="2:5">
      <c r="B163" s="129"/>
      <c r="C163" s="129"/>
      <c r="D163" s="129"/>
      <c r="E163" s="130"/>
    </row>
    <row r="164" spans="2:5">
      <c r="B164" s="129"/>
      <c r="C164" s="129"/>
      <c r="D164" s="129"/>
      <c r="E164" s="130"/>
    </row>
    <row r="165" spans="2:5">
      <c r="B165" s="129"/>
      <c r="C165" s="129"/>
      <c r="D165" s="129"/>
      <c r="E165" s="130"/>
    </row>
    <row r="166" spans="2:5">
      <c r="B166" s="129"/>
      <c r="C166" s="129"/>
      <c r="D166" s="129"/>
      <c r="E166" s="130"/>
    </row>
    <row r="167" spans="2:5">
      <c r="B167" s="129"/>
      <c r="C167" s="129"/>
      <c r="D167" s="129"/>
      <c r="E167" s="130"/>
    </row>
    <row r="168" spans="2:5">
      <c r="B168" s="129"/>
      <c r="C168" s="129"/>
      <c r="D168" s="129"/>
      <c r="E168" s="130"/>
    </row>
    <row r="169" spans="2:5">
      <c r="B169" s="129"/>
      <c r="C169" s="129"/>
      <c r="D169" s="129"/>
      <c r="E169" s="130"/>
    </row>
    <row r="170" spans="2:5">
      <c r="B170" s="129"/>
      <c r="C170" s="129"/>
      <c r="D170" s="129"/>
      <c r="E170" s="130"/>
    </row>
    <row r="171" spans="2:5">
      <c r="B171" s="129"/>
      <c r="C171" s="129"/>
      <c r="D171" s="129"/>
      <c r="E171" s="130"/>
    </row>
    <row r="172" spans="2:5">
      <c r="B172" s="129"/>
      <c r="C172" s="129"/>
      <c r="D172" s="129"/>
      <c r="E172" s="130"/>
    </row>
    <row r="173" spans="2:5">
      <c r="B173" s="129"/>
      <c r="C173" s="129"/>
      <c r="D173" s="129"/>
      <c r="E173" s="130"/>
    </row>
    <row r="174" spans="2:5">
      <c r="B174" s="129"/>
      <c r="C174" s="129"/>
      <c r="D174" s="129"/>
      <c r="E174" s="130"/>
    </row>
    <row r="175" spans="2:5">
      <c r="B175" s="129"/>
      <c r="C175" s="129"/>
      <c r="D175" s="129"/>
      <c r="E175" s="130"/>
    </row>
    <row r="176" spans="2:5">
      <c r="B176" s="129"/>
      <c r="C176" s="129"/>
      <c r="D176" s="129"/>
      <c r="E176" s="130"/>
    </row>
    <row r="177" spans="2:5">
      <c r="B177" s="129"/>
      <c r="C177" s="129"/>
      <c r="D177" s="129"/>
      <c r="E177" s="130"/>
    </row>
    <row r="178" spans="2:5">
      <c r="B178" s="129"/>
      <c r="C178" s="129"/>
      <c r="D178" s="129"/>
      <c r="E178" s="130"/>
    </row>
    <row r="179" spans="2:5">
      <c r="B179" s="129"/>
      <c r="C179" s="129"/>
      <c r="D179" s="129"/>
      <c r="E179" s="130"/>
    </row>
    <row r="180" spans="2:5">
      <c r="B180" s="129"/>
      <c r="C180" s="129"/>
      <c r="D180" s="129"/>
      <c r="E180" s="130"/>
    </row>
    <row r="181" spans="2:5">
      <c r="B181" s="129"/>
      <c r="C181" s="129"/>
      <c r="D181" s="129"/>
      <c r="E181" s="130"/>
    </row>
    <row r="182" spans="2:5">
      <c r="B182" s="129"/>
      <c r="C182" s="129"/>
      <c r="D182" s="129"/>
      <c r="E182" s="130"/>
    </row>
    <row r="183" spans="2:5">
      <c r="B183" s="129"/>
      <c r="C183" s="129"/>
      <c r="D183" s="129"/>
      <c r="E183" s="130"/>
    </row>
    <row r="184" spans="2:5">
      <c r="B184" s="129"/>
      <c r="C184" s="129"/>
      <c r="D184" s="129"/>
      <c r="E184" s="130"/>
    </row>
    <row r="185" spans="2:5">
      <c r="B185" s="129"/>
      <c r="C185" s="129"/>
      <c r="D185" s="129"/>
      <c r="E185" s="130"/>
    </row>
    <row r="186" spans="2:5">
      <c r="B186" s="129"/>
      <c r="C186" s="129"/>
      <c r="D186" s="129"/>
      <c r="E186" s="130"/>
    </row>
    <row r="187" spans="2:5">
      <c r="B187" s="129"/>
      <c r="C187" s="129"/>
      <c r="D187" s="129"/>
      <c r="E187" s="130"/>
    </row>
    <row r="188" spans="2:5">
      <c r="B188" s="129"/>
      <c r="C188" s="129"/>
      <c r="D188" s="129"/>
      <c r="E188" s="130"/>
    </row>
    <row r="189" spans="2:5">
      <c r="B189" s="129"/>
      <c r="C189" s="129"/>
      <c r="D189" s="129"/>
      <c r="E189" s="130"/>
    </row>
    <row r="190" spans="2:5">
      <c r="B190" s="129"/>
      <c r="C190" s="129"/>
      <c r="D190" s="129"/>
      <c r="E190" s="130"/>
    </row>
    <row r="191" spans="2:5">
      <c r="B191" s="129"/>
      <c r="C191" s="129"/>
      <c r="D191" s="129"/>
      <c r="E191" s="130"/>
    </row>
    <row r="192" spans="2:5">
      <c r="B192" s="129"/>
      <c r="C192" s="129"/>
      <c r="D192" s="129"/>
      <c r="E192" s="130"/>
    </row>
    <row r="193" spans="2:5">
      <c r="B193" s="129"/>
      <c r="C193" s="129"/>
      <c r="D193" s="129"/>
      <c r="E193" s="130"/>
    </row>
    <row r="194" spans="2:5">
      <c r="B194" s="129"/>
      <c r="C194" s="129"/>
      <c r="D194" s="129"/>
      <c r="E194" s="130"/>
    </row>
    <row r="195" spans="2:5">
      <c r="B195" s="129"/>
      <c r="C195" s="129"/>
      <c r="D195" s="129"/>
      <c r="E195" s="130"/>
    </row>
    <row r="196" spans="2:5">
      <c r="B196" s="129"/>
      <c r="C196" s="129"/>
      <c r="D196" s="129"/>
      <c r="E196" s="130"/>
    </row>
    <row r="197" spans="2:5">
      <c r="B197" s="129"/>
      <c r="C197" s="129"/>
      <c r="D197" s="129"/>
      <c r="E197" s="130"/>
    </row>
    <row r="198" spans="2:5">
      <c r="B198" s="129"/>
      <c r="C198" s="129"/>
      <c r="D198" s="129"/>
      <c r="E198" s="130"/>
    </row>
    <row r="199" spans="2:5">
      <c r="B199" s="129"/>
      <c r="C199" s="129"/>
      <c r="D199" s="129"/>
      <c r="E199" s="130"/>
    </row>
    <row r="200" spans="2:5">
      <c r="B200" s="129"/>
      <c r="C200" s="129"/>
      <c r="D200" s="129"/>
      <c r="E200" s="130"/>
    </row>
    <row r="201" spans="2:5">
      <c r="B201" s="129"/>
      <c r="C201" s="129"/>
      <c r="D201" s="129"/>
      <c r="E201" s="130"/>
    </row>
    <row r="202" spans="2:5">
      <c r="B202" s="129"/>
      <c r="C202" s="129"/>
      <c r="D202" s="129"/>
      <c r="E202" s="130"/>
    </row>
    <row r="203" spans="2:5">
      <c r="B203" s="129"/>
      <c r="C203" s="129"/>
      <c r="D203" s="129"/>
      <c r="E203" s="130"/>
    </row>
    <row r="204" spans="2:5">
      <c r="B204" s="129"/>
      <c r="C204" s="129"/>
      <c r="D204" s="129"/>
      <c r="E204" s="130"/>
    </row>
    <row r="205" spans="2:5">
      <c r="B205" s="129"/>
      <c r="C205" s="129"/>
      <c r="D205" s="129"/>
      <c r="E205" s="130"/>
    </row>
    <row r="206" spans="2:5">
      <c r="B206" s="129"/>
      <c r="C206" s="129"/>
      <c r="D206" s="129"/>
      <c r="E206" s="130"/>
    </row>
    <row r="207" spans="2:5">
      <c r="B207" s="129"/>
      <c r="C207" s="129"/>
      <c r="D207" s="129"/>
      <c r="E207" s="130"/>
    </row>
    <row r="208" spans="2:5">
      <c r="B208" s="129"/>
      <c r="C208" s="129"/>
      <c r="D208" s="129"/>
      <c r="E208" s="130"/>
    </row>
    <row r="209" spans="2:5">
      <c r="B209" s="129"/>
      <c r="C209" s="129"/>
      <c r="D209" s="129"/>
      <c r="E209" s="130"/>
    </row>
    <row r="210" spans="2:5">
      <c r="B210" s="129"/>
      <c r="C210" s="129"/>
      <c r="D210" s="129"/>
      <c r="E210" s="130"/>
    </row>
    <row r="211" spans="2:5">
      <c r="B211" s="129"/>
      <c r="C211" s="129"/>
      <c r="D211" s="129"/>
      <c r="E211" s="130"/>
    </row>
    <row r="212" spans="2:5">
      <c r="B212" s="129"/>
      <c r="C212" s="129"/>
      <c r="D212" s="129"/>
      <c r="E212" s="130"/>
    </row>
    <row r="213" spans="2:5">
      <c r="B213" s="129"/>
      <c r="C213" s="129"/>
      <c r="D213" s="129"/>
      <c r="E213" s="130"/>
    </row>
    <row r="214" spans="2:5">
      <c r="B214" s="129"/>
      <c r="C214" s="129"/>
      <c r="D214" s="129"/>
      <c r="E214" s="130"/>
    </row>
    <row r="215" spans="2:5">
      <c r="B215" s="129"/>
      <c r="C215" s="129"/>
      <c r="D215" s="129"/>
      <c r="E215" s="130"/>
    </row>
    <row r="216" spans="2:5">
      <c r="B216" s="129"/>
      <c r="C216" s="129"/>
      <c r="D216" s="129"/>
      <c r="E216" s="130"/>
    </row>
    <row r="217" spans="2:5">
      <c r="B217" s="129"/>
      <c r="C217" s="129"/>
      <c r="D217" s="129"/>
      <c r="E217" s="130"/>
    </row>
    <row r="218" spans="2:5">
      <c r="B218" s="129"/>
      <c r="C218" s="129"/>
      <c r="D218" s="129"/>
      <c r="E218" s="130"/>
    </row>
    <row r="219" spans="2:5">
      <c r="B219" s="129"/>
      <c r="C219" s="129"/>
      <c r="D219" s="129"/>
      <c r="E219" s="130"/>
    </row>
    <row r="220" spans="2:5">
      <c r="B220" s="129"/>
      <c r="C220" s="129"/>
      <c r="D220" s="129"/>
      <c r="E220" s="130"/>
    </row>
    <row r="221" spans="2:5">
      <c r="B221" s="129"/>
      <c r="C221" s="129"/>
      <c r="D221" s="129"/>
      <c r="E221" s="130"/>
    </row>
    <row r="222" spans="2:5">
      <c r="B222" s="129"/>
      <c r="C222" s="129"/>
      <c r="D222" s="129"/>
      <c r="E222" s="130"/>
    </row>
    <row r="223" spans="2:5">
      <c r="B223" s="129"/>
      <c r="C223" s="129"/>
      <c r="D223" s="129"/>
      <c r="E223" s="130"/>
    </row>
    <row r="224" spans="2:5">
      <c r="B224" s="129"/>
      <c r="C224" s="129"/>
      <c r="D224" s="129"/>
      <c r="E224" s="130"/>
    </row>
    <row r="225" spans="2:5">
      <c r="B225" s="129"/>
      <c r="C225" s="129"/>
      <c r="D225" s="129"/>
      <c r="E225" s="130"/>
    </row>
    <row r="226" spans="2:5">
      <c r="B226" s="129"/>
      <c r="C226" s="129"/>
      <c r="D226" s="129"/>
      <c r="E226" s="130"/>
    </row>
    <row r="227" spans="2:5">
      <c r="B227" s="129"/>
      <c r="C227" s="129"/>
      <c r="D227" s="129"/>
      <c r="E227" s="130"/>
    </row>
    <row r="228" spans="2:5">
      <c r="B228" s="129"/>
      <c r="C228" s="129"/>
      <c r="D228" s="129"/>
      <c r="E228" s="130"/>
    </row>
    <row r="229" spans="2:5">
      <c r="B229" s="129"/>
      <c r="C229" s="129"/>
      <c r="D229" s="129"/>
      <c r="E229" s="130"/>
    </row>
    <row r="230" spans="2:5">
      <c r="B230" s="129"/>
      <c r="C230" s="129"/>
      <c r="D230" s="129"/>
      <c r="E230" s="130"/>
    </row>
    <row r="231" spans="2:5">
      <c r="B231" s="129"/>
      <c r="C231" s="129"/>
      <c r="D231" s="129"/>
      <c r="E231" s="130"/>
    </row>
    <row r="232" spans="2:5">
      <c r="B232" s="129"/>
      <c r="C232" s="129"/>
      <c r="D232" s="129"/>
      <c r="E232" s="130"/>
    </row>
    <row r="233" spans="2:5">
      <c r="B233" s="129"/>
      <c r="C233" s="129"/>
      <c r="D233" s="129"/>
      <c r="E233" s="130"/>
    </row>
    <row r="234" spans="2:5">
      <c r="B234" s="129"/>
      <c r="C234" s="129"/>
      <c r="D234" s="129"/>
      <c r="E234" s="130"/>
    </row>
    <row r="235" spans="2:5">
      <c r="B235" s="129"/>
      <c r="C235" s="129"/>
      <c r="D235" s="129"/>
      <c r="E235" s="130"/>
    </row>
    <row r="236" spans="2:5">
      <c r="B236" s="129"/>
      <c r="C236" s="129"/>
      <c r="D236" s="129"/>
      <c r="E236" s="130"/>
    </row>
    <row r="237" spans="2:5">
      <c r="B237" s="129"/>
      <c r="C237" s="129"/>
      <c r="D237" s="129"/>
      <c r="E237" s="130"/>
    </row>
    <row r="238" spans="2:5">
      <c r="B238" s="129"/>
      <c r="C238" s="129"/>
      <c r="D238" s="129"/>
      <c r="E238" s="130"/>
    </row>
    <row r="239" spans="2:5">
      <c r="B239" s="129"/>
      <c r="C239" s="129"/>
      <c r="D239" s="129"/>
      <c r="E239" s="130"/>
    </row>
    <row r="240" spans="2:5">
      <c r="B240" s="129"/>
      <c r="C240" s="129"/>
      <c r="D240" s="129"/>
      <c r="E240" s="130"/>
    </row>
    <row r="241" spans="2:5">
      <c r="B241" s="129"/>
      <c r="C241" s="129"/>
      <c r="D241" s="129"/>
      <c r="E241" s="130"/>
    </row>
    <row r="242" spans="2:5">
      <c r="B242" s="129"/>
      <c r="C242" s="129"/>
      <c r="D242" s="129"/>
      <c r="E242" s="130"/>
    </row>
    <row r="243" spans="2:5">
      <c r="B243" s="129"/>
      <c r="C243" s="129"/>
      <c r="D243" s="129"/>
      <c r="E243" s="130"/>
    </row>
    <row r="244" spans="2:5">
      <c r="B244" s="129"/>
      <c r="C244" s="129"/>
      <c r="D244" s="129"/>
      <c r="E244" s="130"/>
    </row>
    <row r="245" spans="2:5">
      <c r="B245" s="129"/>
      <c r="C245" s="129"/>
      <c r="D245" s="129"/>
      <c r="E245" s="130"/>
    </row>
    <row r="246" spans="2:5">
      <c r="B246" s="129"/>
      <c r="C246" s="129"/>
      <c r="D246" s="129"/>
      <c r="E246" s="130"/>
    </row>
    <row r="247" spans="2:5">
      <c r="B247" s="129"/>
      <c r="C247" s="129"/>
      <c r="D247" s="129"/>
      <c r="E247" s="130"/>
    </row>
    <row r="248" spans="2:5">
      <c r="B248" s="129"/>
      <c r="C248" s="129"/>
      <c r="D248" s="129"/>
      <c r="E248" s="130"/>
    </row>
    <row r="249" spans="2:5">
      <c r="B249" s="129"/>
      <c r="C249" s="129"/>
      <c r="D249" s="129"/>
      <c r="E249" s="130"/>
    </row>
    <row r="250" spans="2:5">
      <c r="B250" s="129"/>
      <c r="C250" s="129"/>
      <c r="D250" s="129"/>
      <c r="E250" s="130"/>
    </row>
    <row r="251" spans="2:5">
      <c r="B251" s="129"/>
      <c r="C251" s="129"/>
      <c r="D251" s="129"/>
      <c r="E251" s="130"/>
    </row>
    <row r="252" spans="2:5">
      <c r="B252" s="129"/>
      <c r="C252" s="129"/>
      <c r="D252" s="129"/>
      <c r="E252" s="130"/>
    </row>
    <row r="253" spans="2:5">
      <c r="B253" s="129"/>
      <c r="C253" s="129"/>
      <c r="D253" s="129"/>
      <c r="E253" s="130"/>
    </row>
    <row r="254" spans="2:5">
      <c r="B254" s="129"/>
      <c r="C254" s="129"/>
      <c r="D254" s="129"/>
      <c r="E254" s="130"/>
    </row>
    <row r="255" spans="2:5">
      <c r="B255" s="129"/>
      <c r="C255" s="129"/>
      <c r="D255" s="129"/>
      <c r="E255" s="130"/>
    </row>
    <row r="256" spans="2:5">
      <c r="B256" s="129"/>
      <c r="C256" s="129"/>
      <c r="D256" s="129"/>
      <c r="E256" s="130"/>
    </row>
    <row r="257" spans="2:5">
      <c r="B257" s="129"/>
      <c r="C257" s="129"/>
      <c r="D257" s="129"/>
      <c r="E257" s="130"/>
    </row>
    <row r="258" spans="2:5">
      <c r="B258" s="129"/>
      <c r="C258" s="129"/>
      <c r="D258" s="129"/>
      <c r="E258" s="130"/>
    </row>
    <row r="259" spans="2:5">
      <c r="B259" s="129"/>
      <c r="C259" s="129"/>
      <c r="D259" s="129"/>
      <c r="E259" s="130"/>
    </row>
    <row r="260" spans="2:5">
      <c r="B260" s="129"/>
      <c r="C260" s="129"/>
      <c r="D260" s="129"/>
      <c r="E260" s="130"/>
    </row>
    <row r="261" spans="2:5">
      <c r="B261" s="129"/>
      <c r="C261" s="129"/>
      <c r="D261" s="129"/>
      <c r="E261" s="130"/>
    </row>
    <row r="262" spans="2:5">
      <c r="B262" s="129"/>
      <c r="C262" s="129"/>
      <c r="D262" s="129"/>
      <c r="E262" s="130"/>
    </row>
    <row r="263" spans="2:5">
      <c r="B263" s="129"/>
      <c r="C263" s="129"/>
      <c r="D263" s="129"/>
      <c r="E263" s="130"/>
    </row>
    <row r="264" spans="2:5">
      <c r="B264" s="129"/>
      <c r="C264" s="129"/>
      <c r="D264" s="129"/>
      <c r="E264" s="130"/>
    </row>
    <row r="265" spans="2:5">
      <c r="B265" s="129"/>
      <c r="C265" s="129"/>
      <c r="D265" s="129"/>
      <c r="E265" s="130"/>
    </row>
    <row r="266" spans="2:5">
      <c r="B266" s="129"/>
      <c r="C266" s="129"/>
      <c r="D266" s="129"/>
      <c r="E266" s="130"/>
    </row>
    <row r="267" spans="2:5">
      <c r="B267" s="129"/>
      <c r="C267" s="129"/>
      <c r="D267" s="129"/>
      <c r="E267" s="130"/>
    </row>
    <row r="268" spans="2:5">
      <c r="B268" s="129"/>
      <c r="C268" s="129"/>
      <c r="D268" s="129"/>
      <c r="E268" s="130"/>
    </row>
    <row r="269" spans="2:5">
      <c r="B269" s="129"/>
      <c r="C269" s="129"/>
      <c r="D269" s="129"/>
      <c r="E269" s="130"/>
    </row>
    <row r="270" spans="2:5">
      <c r="B270" s="129"/>
      <c r="C270" s="129"/>
      <c r="D270" s="129"/>
      <c r="E270" s="130"/>
    </row>
    <row r="271" spans="2:5">
      <c r="B271" s="129"/>
      <c r="C271" s="129"/>
      <c r="D271" s="129"/>
      <c r="E271" s="130"/>
    </row>
    <row r="272" spans="2:5">
      <c r="B272" s="129"/>
      <c r="C272" s="129"/>
      <c r="D272" s="129"/>
      <c r="E272" s="130"/>
    </row>
    <row r="273" spans="2:5">
      <c r="B273" s="129"/>
      <c r="C273" s="129"/>
      <c r="D273" s="129"/>
      <c r="E273" s="130"/>
    </row>
    <row r="274" spans="2:5">
      <c r="B274" s="129"/>
      <c r="C274" s="129"/>
      <c r="D274" s="129"/>
      <c r="E274" s="130"/>
    </row>
    <row r="275" spans="2:5">
      <c r="B275" s="129"/>
      <c r="C275" s="129"/>
      <c r="D275" s="129"/>
      <c r="E275" s="130"/>
    </row>
    <row r="276" spans="2:5">
      <c r="B276" s="129"/>
      <c r="C276" s="129"/>
      <c r="D276" s="129"/>
      <c r="E276" s="130"/>
    </row>
    <row r="277" spans="2:5">
      <c r="B277" s="129"/>
      <c r="C277" s="129"/>
      <c r="D277" s="129"/>
      <c r="E277" s="130"/>
    </row>
    <row r="278" spans="2:5">
      <c r="B278" s="129"/>
      <c r="C278" s="129"/>
      <c r="D278" s="129"/>
      <c r="E278" s="130"/>
    </row>
    <row r="279" spans="2:5">
      <c r="B279" s="129"/>
      <c r="C279" s="129"/>
      <c r="D279" s="129"/>
      <c r="E279" s="130"/>
    </row>
    <row r="280" spans="2:5">
      <c r="B280" s="129"/>
      <c r="C280" s="129"/>
      <c r="D280" s="129"/>
      <c r="E280" s="130"/>
    </row>
    <row r="281" spans="2:5">
      <c r="B281" s="129"/>
      <c r="C281" s="129"/>
      <c r="D281" s="129"/>
      <c r="E281" s="130"/>
    </row>
    <row r="282" spans="2:5">
      <c r="B282" s="129"/>
      <c r="C282" s="129"/>
      <c r="D282" s="129"/>
      <c r="E282" s="130"/>
    </row>
    <row r="283" spans="2:5">
      <c r="B283" s="129"/>
      <c r="C283" s="129"/>
      <c r="D283" s="129"/>
      <c r="E283" s="130"/>
    </row>
    <row r="284" spans="2:5">
      <c r="B284" s="129"/>
      <c r="C284" s="129"/>
      <c r="D284" s="129"/>
      <c r="E284" s="130"/>
    </row>
    <row r="285" spans="2:5">
      <c r="B285" s="129"/>
      <c r="C285" s="129"/>
      <c r="D285" s="129"/>
      <c r="E285" s="130"/>
    </row>
    <row r="286" spans="2:5">
      <c r="B286" s="129"/>
      <c r="C286" s="129"/>
      <c r="D286" s="129"/>
      <c r="E286" s="130"/>
    </row>
    <row r="287" spans="2:5">
      <c r="B287" s="129"/>
      <c r="C287" s="129"/>
      <c r="D287" s="129"/>
      <c r="E287" s="130"/>
    </row>
    <row r="288" spans="2:5">
      <c r="B288" s="129"/>
      <c r="C288" s="129"/>
      <c r="D288" s="129"/>
      <c r="E288" s="130"/>
    </row>
    <row r="289" spans="2:5">
      <c r="B289" s="129"/>
      <c r="C289" s="129"/>
      <c r="D289" s="129"/>
      <c r="E289" s="130"/>
    </row>
    <row r="290" spans="2:5">
      <c r="B290" s="129"/>
      <c r="C290" s="129"/>
      <c r="D290" s="129"/>
      <c r="E290" s="130"/>
    </row>
    <row r="291" spans="2:5">
      <c r="B291" s="129"/>
      <c r="C291" s="129"/>
      <c r="D291" s="129"/>
      <c r="E291" s="130"/>
    </row>
    <row r="292" spans="2:5">
      <c r="B292" s="129"/>
      <c r="C292" s="129"/>
      <c r="D292" s="129"/>
      <c r="E292" s="130"/>
    </row>
    <row r="293" spans="2:5">
      <c r="B293" s="129"/>
      <c r="C293" s="129"/>
      <c r="D293" s="129"/>
      <c r="E293" s="130"/>
    </row>
    <row r="294" spans="2:5">
      <c r="B294" s="129"/>
      <c r="C294" s="129"/>
      <c r="D294" s="129"/>
      <c r="E294" s="130"/>
    </row>
    <row r="295" spans="2:5">
      <c r="B295" s="129"/>
      <c r="C295" s="129"/>
      <c r="D295" s="129"/>
      <c r="E295" s="130"/>
    </row>
    <row r="296" spans="2:5">
      <c r="B296" s="129"/>
      <c r="C296" s="129"/>
      <c r="D296" s="129"/>
      <c r="E296" s="130"/>
    </row>
    <row r="297" spans="2:5">
      <c r="B297" s="129"/>
      <c r="C297" s="129"/>
      <c r="D297" s="129"/>
      <c r="E297" s="130"/>
    </row>
    <row r="298" spans="2:5">
      <c r="B298" s="129"/>
      <c r="C298" s="129"/>
      <c r="D298" s="129"/>
      <c r="E298" s="130"/>
    </row>
    <row r="299" spans="2:5">
      <c r="B299" s="129"/>
      <c r="C299" s="129"/>
      <c r="D299" s="129"/>
      <c r="E299" s="130"/>
    </row>
    <row r="300" spans="2:5">
      <c r="B300" s="129"/>
      <c r="C300" s="129"/>
      <c r="D300" s="129"/>
      <c r="E300" s="130"/>
    </row>
    <row r="301" spans="2:5">
      <c r="B301" s="129"/>
      <c r="C301" s="129"/>
      <c r="D301" s="129"/>
      <c r="E301" s="130"/>
    </row>
    <row r="302" spans="2:5">
      <c r="B302" s="129"/>
      <c r="C302" s="129"/>
      <c r="D302" s="129"/>
      <c r="E302" s="130"/>
    </row>
    <row r="303" spans="2:5">
      <c r="B303" s="129"/>
      <c r="C303" s="129"/>
      <c r="D303" s="129"/>
      <c r="E303" s="130"/>
    </row>
    <row r="304" spans="2:5">
      <c r="B304" s="129"/>
      <c r="C304" s="129"/>
      <c r="D304" s="129"/>
      <c r="E304" s="130"/>
    </row>
    <row r="305" spans="2:5">
      <c r="B305" s="129"/>
      <c r="C305" s="129"/>
      <c r="D305" s="129"/>
      <c r="E305" s="130"/>
    </row>
    <row r="306" spans="2:5">
      <c r="B306" s="129"/>
      <c r="C306" s="129"/>
      <c r="D306" s="129"/>
      <c r="E306" s="130"/>
    </row>
    <row r="307" spans="2:5">
      <c r="B307" s="129"/>
      <c r="C307" s="129"/>
      <c r="D307" s="129"/>
      <c r="E307" s="130"/>
    </row>
    <row r="308" spans="2:5">
      <c r="B308" s="129"/>
      <c r="C308" s="129"/>
      <c r="D308" s="129"/>
      <c r="E308" s="130"/>
    </row>
    <row r="309" spans="2:5">
      <c r="B309" s="129"/>
      <c r="C309" s="129"/>
      <c r="D309" s="129"/>
      <c r="E309" s="130"/>
    </row>
    <row r="310" spans="2:5">
      <c r="B310" s="129"/>
      <c r="C310" s="129"/>
      <c r="D310" s="129"/>
      <c r="E310" s="130"/>
    </row>
    <row r="311" spans="2:5">
      <c r="B311" s="129"/>
      <c r="C311" s="129"/>
      <c r="D311" s="129"/>
      <c r="E311" s="130"/>
    </row>
    <row r="312" spans="2:5">
      <c r="B312" s="129"/>
      <c r="C312" s="129"/>
      <c r="D312" s="129"/>
      <c r="E312" s="130"/>
    </row>
    <row r="313" spans="2:5">
      <c r="B313" s="129"/>
      <c r="C313" s="129"/>
      <c r="D313" s="129"/>
      <c r="E313" s="130"/>
    </row>
    <row r="314" spans="2:5">
      <c r="B314" s="129"/>
      <c r="C314" s="129"/>
      <c r="D314" s="129"/>
      <c r="E314" s="130"/>
    </row>
    <row r="315" spans="2:5">
      <c r="B315" s="129"/>
      <c r="C315" s="129"/>
      <c r="D315" s="129"/>
      <c r="E315" s="130"/>
    </row>
    <row r="316" spans="2:5">
      <c r="B316" s="129"/>
      <c r="C316" s="129"/>
      <c r="D316" s="129"/>
      <c r="E316" s="130"/>
    </row>
    <row r="317" spans="2:5">
      <c r="B317" s="129"/>
      <c r="C317" s="129"/>
      <c r="D317" s="129"/>
      <c r="E317" s="130"/>
    </row>
    <row r="318" spans="2:5">
      <c r="B318" s="129"/>
      <c r="C318" s="129"/>
      <c r="D318" s="129"/>
      <c r="E318" s="130"/>
    </row>
    <row r="319" spans="2:5">
      <c r="B319" s="129"/>
      <c r="C319" s="129"/>
      <c r="D319" s="129"/>
      <c r="E319" s="130"/>
    </row>
    <row r="320" spans="2:5">
      <c r="B320" s="129"/>
      <c r="C320" s="129"/>
      <c r="D320" s="129"/>
      <c r="E320" s="130"/>
    </row>
    <row r="321" spans="2:5">
      <c r="B321" s="129"/>
      <c r="C321" s="129"/>
      <c r="D321" s="129"/>
      <c r="E321" s="130"/>
    </row>
    <row r="322" spans="2:5">
      <c r="B322" s="129"/>
      <c r="C322" s="129"/>
      <c r="D322" s="129"/>
      <c r="E322" s="130"/>
    </row>
    <row r="323" spans="2:5">
      <c r="B323" s="129"/>
      <c r="C323" s="129"/>
      <c r="D323" s="129"/>
      <c r="E323" s="130"/>
    </row>
    <row r="324" spans="2:5">
      <c r="B324" s="129"/>
      <c r="C324" s="129"/>
      <c r="D324" s="129"/>
      <c r="E324" s="130"/>
    </row>
    <row r="325" spans="2:5">
      <c r="B325" s="129"/>
      <c r="C325" s="129"/>
      <c r="D325" s="129"/>
      <c r="E325" s="130"/>
    </row>
    <row r="326" spans="2:5">
      <c r="B326" s="129"/>
      <c r="C326" s="129"/>
      <c r="D326" s="129"/>
      <c r="E326" s="130"/>
    </row>
    <row r="327" spans="2:5">
      <c r="B327" s="129"/>
      <c r="C327" s="129"/>
      <c r="D327" s="129"/>
      <c r="E327" s="130"/>
    </row>
    <row r="328" spans="2:5">
      <c r="B328" s="129"/>
      <c r="C328" s="129"/>
      <c r="D328" s="129"/>
      <c r="E328" s="130"/>
    </row>
    <row r="329" spans="2:5">
      <c r="B329" s="129"/>
      <c r="C329" s="129"/>
      <c r="D329" s="129"/>
      <c r="E329" s="130"/>
    </row>
    <row r="330" spans="2:5">
      <c r="B330" s="129"/>
      <c r="C330" s="129"/>
      <c r="D330" s="129"/>
      <c r="E330" s="130"/>
    </row>
    <row r="331" spans="2:5">
      <c r="B331" s="129"/>
      <c r="C331" s="129"/>
      <c r="D331" s="129"/>
      <c r="E331" s="130"/>
    </row>
    <row r="332" spans="2:5">
      <c r="B332" s="129"/>
      <c r="C332" s="129"/>
      <c r="D332" s="129"/>
      <c r="E332" s="130"/>
    </row>
    <row r="333" spans="2:5">
      <c r="B333" s="129"/>
      <c r="C333" s="129"/>
      <c r="D333" s="129"/>
      <c r="E333" s="130"/>
    </row>
    <row r="334" spans="2:5">
      <c r="B334" s="129"/>
      <c r="C334" s="129"/>
      <c r="D334" s="129"/>
      <c r="E334" s="130"/>
    </row>
    <row r="335" spans="2:5">
      <c r="B335" s="129"/>
      <c r="C335" s="129"/>
      <c r="D335" s="129"/>
      <c r="E335" s="130"/>
    </row>
    <row r="336" spans="2:5">
      <c r="B336" s="129"/>
      <c r="C336" s="129"/>
      <c r="D336" s="129"/>
      <c r="E336" s="130"/>
    </row>
    <row r="337" spans="2:5">
      <c r="B337" s="129"/>
      <c r="C337" s="129"/>
      <c r="D337" s="129"/>
      <c r="E337" s="130"/>
    </row>
    <row r="338" spans="2:5">
      <c r="B338" s="129"/>
      <c r="C338" s="129"/>
      <c r="D338" s="129"/>
      <c r="E338" s="130"/>
    </row>
    <row r="339" spans="2:5">
      <c r="B339" s="129"/>
      <c r="C339" s="129"/>
      <c r="D339" s="129"/>
      <c r="E339" s="130"/>
    </row>
    <row r="340" spans="2:5">
      <c r="B340" s="129"/>
      <c r="C340" s="129"/>
      <c r="D340" s="129"/>
      <c r="E340" s="130"/>
    </row>
    <row r="341" spans="2:5">
      <c r="B341" s="129"/>
      <c r="C341" s="129"/>
      <c r="D341" s="129"/>
      <c r="E341" s="130"/>
    </row>
    <row r="342" spans="2:5">
      <c r="B342" s="129"/>
      <c r="C342" s="129"/>
      <c r="D342" s="129"/>
      <c r="E342" s="130"/>
    </row>
    <row r="343" spans="2:5">
      <c r="B343" s="129"/>
      <c r="C343" s="129"/>
      <c r="D343" s="129"/>
      <c r="E343" s="130"/>
    </row>
    <row r="344" spans="2:5">
      <c r="B344" s="129"/>
      <c r="C344" s="129"/>
      <c r="D344" s="129"/>
      <c r="E344" s="130"/>
    </row>
    <row r="345" spans="2:5">
      <c r="B345" s="129"/>
      <c r="C345" s="129"/>
      <c r="D345" s="129"/>
      <c r="E345" s="130"/>
    </row>
    <row r="346" spans="2:5">
      <c r="B346" s="129"/>
      <c r="C346" s="129"/>
      <c r="D346" s="129"/>
      <c r="E346" s="130"/>
    </row>
    <row r="347" spans="2:5">
      <c r="B347" s="129"/>
      <c r="C347" s="129"/>
      <c r="D347" s="129"/>
      <c r="E347" s="130"/>
    </row>
    <row r="348" spans="2:5">
      <c r="B348" s="129"/>
      <c r="C348" s="129"/>
      <c r="D348" s="129"/>
      <c r="E348" s="130"/>
    </row>
    <row r="349" spans="2:5">
      <c r="B349" s="129"/>
      <c r="C349" s="129"/>
      <c r="D349" s="129"/>
      <c r="E349" s="130"/>
    </row>
    <row r="350" spans="2:5">
      <c r="B350" s="129"/>
      <c r="C350" s="129"/>
      <c r="D350" s="129"/>
      <c r="E350" s="130"/>
    </row>
    <row r="351" spans="2:5">
      <c r="B351" s="129"/>
      <c r="C351" s="129"/>
      <c r="D351" s="129"/>
      <c r="E351" s="130"/>
    </row>
    <row r="352" spans="2:5">
      <c r="B352" s="129"/>
      <c r="C352" s="129"/>
      <c r="D352" s="129"/>
      <c r="E352" s="130"/>
    </row>
    <row r="353" spans="2:5">
      <c r="B353" s="129"/>
      <c r="C353" s="129"/>
      <c r="D353" s="129"/>
      <c r="E353" s="130"/>
    </row>
    <row r="354" spans="2:5">
      <c r="B354" s="129"/>
      <c r="C354" s="129"/>
      <c r="D354" s="129"/>
      <c r="E354" s="130"/>
    </row>
    <row r="355" spans="2:5">
      <c r="B355" s="129"/>
      <c r="C355" s="129"/>
      <c r="D355" s="129"/>
      <c r="E355" s="130"/>
    </row>
    <row r="356" spans="2:5">
      <c r="B356" s="129"/>
      <c r="C356" s="129"/>
      <c r="D356" s="129"/>
      <c r="E356" s="130"/>
    </row>
    <row r="357" spans="2:5">
      <c r="B357" s="129"/>
      <c r="C357" s="129"/>
      <c r="D357" s="129"/>
      <c r="E357" s="130"/>
    </row>
    <row r="358" spans="2:5">
      <c r="B358" s="129"/>
      <c r="C358" s="129"/>
      <c r="D358" s="129"/>
      <c r="E358" s="130"/>
    </row>
    <row r="359" spans="2:5">
      <c r="B359" s="129"/>
      <c r="C359" s="129"/>
      <c r="D359" s="129"/>
      <c r="E359" s="130"/>
    </row>
    <row r="360" spans="2:5">
      <c r="B360" s="129"/>
      <c r="C360" s="129"/>
      <c r="D360" s="129"/>
      <c r="E360" s="130"/>
    </row>
    <row r="361" spans="2:5">
      <c r="B361" s="129"/>
      <c r="C361" s="129"/>
      <c r="D361" s="129"/>
      <c r="E361" s="130"/>
    </row>
    <row r="362" spans="2:5">
      <c r="B362" s="129"/>
      <c r="C362" s="129"/>
      <c r="D362" s="129"/>
      <c r="E362" s="130"/>
    </row>
    <row r="363" spans="2:5">
      <c r="B363" s="129"/>
      <c r="C363" s="129"/>
      <c r="D363" s="129"/>
      <c r="E363" s="130"/>
    </row>
    <row r="364" spans="2:5">
      <c r="B364" s="129"/>
      <c r="C364" s="129"/>
      <c r="D364" s="129"/>
      <c r="E364" s="130"/>
    </row>
    <row r="365" spans="2:5">
      <c r="B365" s="129"/>
      <c r="C365" s="129"/>
      <c r="D365" s="129"/>
      <c r="E365" s="130"/>
    </row>
    <row r="366" spans="2:5">
      <c r="B366" s="129"/>
      <c r="C366" s="129"/>
      <c r="D366" s="129"/>
      <c r="E366" s="130"/>
    </row>
    <row r="367" spans="2:5">
      <c r="B367" s="129"/>
      <c r="C367" s="129"/>
      <c r="D367" s="129"/>
      <c r="E367" s="130"/>
    </row>
    <row r="368" spans="2:5">
      <c r="B368" s="129"/>
      <c r="C368" s="129"/>
      <c r="D368" s="129"/>
      <c r="E368" s="130"/>
    </row>
    <row r="369" spans="2:5">
      <c r="B369" s="129"/>
      <c r="C369" s="129"/>
      <c r="D369" s="129"/>
      <c r="E369" s="130"/>
    </row>
    <row r="370" spans="2:5">
      <c r="B370" s="129"/>
      <c r="C370" s="129"/>
      <c r="D370" s="129"/>
      <c r="E370" s="130"/>
    </row>
    <row r="371" spans="2:5">
      <c r="B371" s="129"/>
      <c r="C371" s="129"/>
      <c r="D371" s="129"/>
      <c r="E371" s="130"/>
    </row>
    <row r="372" spans="2:5">
      <c r="B372" s="129"/>
      <c r="C372" s="129"/>
      <c r="D372" s="129"/>
      <c r="E372" s="130"/>
    </row>
    <row r="373" spans="2:5">
      <c r="B373" s="129"/>
      <c r="C373" s="129"/>
      <c r="D373" s="129"/>
      <c r="E373" s="130"/>
    </row>
    <row r="374" spans="2:5">
      <c r="B374" s="129"/>
      <c r="C374" s="129"/>
      <c r="D374" s="129"/>
      <c r="E374" s="130"/>
    </row>
    <row r="375" spans="2:5">
      <c r="B375" s="129"/>
      <c r="C375" s="129"/>
      <c r="D375" s="129"/>
      <c r="E375" s="130"/>
    </row>
    <row r="376" spans="2:5">
      <c r="B376" s="129"/>
      <c r="C376" s="129"/>
      <c r="D376" s="129"/>
      <c r="E376" s="130"/>
    </row>
    <row r="377" spans="2:5">
      <c r="B377" s="129"/>
      <c r="C377" s="129"/>
      <c r="D377" s="129"/>
      <c r="E377" s="130"/>
    </row>
    <row r="378" spans="2:5">
      <c r="B378" s="129"/>
      <c r="C378" s="129"/>
      <c r="D378" s="129"/>
      <c r="E378" s="130"/>
    </row>
    <row r="379" spans="2:5">
      <c r="B379" s="129"/>
      <c r="C379" s="129"/>
      <c r="D379" s="129"/>
      <c r="E379" s="130"/>
    </row>
    <row r="380" spans="2:5">
      <c r="B380" s="129"/>
      <c r="C380" s="129"/>
      <c r="D380" s="129"/>
      <c r="E380" s="130"/>
    </row>
    <row r="381" spans="2:5">
      <c r="B381" s="129"/>
      <c r="C381" s="129"/>
      <c r="D381" s="129"/>
      <c r="E381" s="130"/>
    </row>
    <row r="382" spans="2:5">
      <c r="B382" s="129"/>
      <c r="C382" s="129"/>
      <c r="D382" s="129"/>
      <c r="E382" s="130"/>
    </row>
    <row r="383" spans="2:5">
      <c r="B383" s="129"/>
      <c r="C383" s="129"/>
      <c r="D383" s="129"/>
      <c r="E383" s="130"/>
    </row>
    <row r="384" spans="2:5">
      <c r="B384" s="129"/>
      <c r="C384" s="129"/>
      <c r="D384" s="129"/>
      <c r="E384" s="130"/>
    </row>
    <row r="385" spans="2:5">
      <c r="B385" s="129"/>
      <c r="C385" s="129"/>
      <c r="D385" s="129"/>
      <c r="E385" s="130"/>
    </row>
    <row r="386" spans="2:5">
      <c r="B386" s="129"/>
      <c r="C386" s="129"/>
      <c r="D386" s="129"/>
      <c r="E386" s="130"/>
    </row>
    <row r="387" spans="2:5">
      <c r="B387" s="129"/>
      <c r="C387" s="129"/>
      <c r="D387" s="129"/>
      <c r="E387" s="130"/>
    </row>
    <row r="388" spans="2:5">
      <c r="B388" s="129"/>
      <c r="C388" s="129"/>
      <c r="D388" s="129"/>
      <c r="E388" s="130"/>
    </row>
    <row r="389" spans="2:5">
      <c r="B389" s="129"/>
      <c r="C389" s="129"/>
      <c r="D389" s="129"/>
      <c r="E389" s="130"/>
    </row>
    <row r="390" spans="2:5">
      <c r="B390" s="129"/>
      <c r="C390" s="129"/>
      <c r="D390" s="129"/>
      <c r="E390" s="130"/>
    </row>
    <row r="391" spans="2:5">
      <c r="B391" s="129"/>
      <c r="C391" s="129"/>
      <c r="D391" s="129"/>
      <c r="E391" s="130"/>
    </row>
    <row r="392" spans="2:5">
      <c r="B392" s="129"/>
      <c r="C392" s="129"/>
      <c r="D392" s="129"/>
      <c r="E392" s="130"/>
    </row>
    <row r="393" spans="2:5">
      <c r="B393" s="129"/>
      <c r="C393" s="129"/>
      <c r="D393" s="129"/>
      <c r="E393" s="130"/>
    </row>
    <row r="394" spans="2:5">
      <c r="B394" s="129"/>
      <c r="C394" s="129"/>
      <c r="D394" s="129"/>
      <c r="E394" s="130"/>
    </row>
    <row r="395" spans="2:5">
      <c r="B395" s="129"/>
      <c r="C395" s="129"/>
      <c r="D395" s="129"/>
      <c r="E395" s="130"/>
    </row>
    <row r="396" spans="2:5">
      <c r="B396" s="129"/>
      <c r="C396" s="129"/>
      <c r="D396" s="129"/>
      <c r="E396" s="130"/>
    </row>
    <row r="397" spans="2:5">
      <c r="B397" s="129"/>
      <c r="C397" s="129"/>
      <c r="D397" s="129"/>
      <c r="E397" s="130"/>
    </row>
    <row r="398" spans="2:5">
      <c r="B398" s="129"/>
      <c r="C398" s="129"/>
      <c r="D398" s="129"/>
      <c r="E398" s="130"/>
    </row>
    <row r="399" spans="2:5">
      <c r="B399" s="129"/>
      <c r="C399" s="129"/>
      <c r="D399" s="129"/>
      <c r="E399" s="130"/>
    </row>
    <row r="400" spans="2:5">
      <c r="B400" s="129"/>
      <c r="C400" s="129"/>
      <c r="D400" s="129"/>
      <c r="E400" s="130"/>
    </row>
    <row r="401" spans="2:5">
      <c r="B401" s="129"/>
      <c r="C401" s="129"/>
      <c r="D401" s="129"/>
      <c r="E401" s="130"/>
    </row>
    <row r="402" spans="2:5">
      <c r="B402" s="129"/>
      <c r="C402" s="129"/>
      <c r="D402" s="129"/>
      <c r="E402" s="130"/>
    </row>
    <row r="403" spans="2:5">
      <c r="B403" s="129"/>
      <c r="C403" s="129"/>
      <c r="D403" s="129"/>
      <c r="E403" s="130"/>
    </row>
    <row r="404" spans="2:5">
      <c r="B404" s="129"/>
      <c r="C404" s="129"/>
      <c r="D404" s="129"/>
      <c r="E404" s="130"/>
    </row>
    <row r="405" spans="2:5">
      <c r="B405" s="129"/>
      <c r="C405" s="129"/>
      <c r="D405" s="129"/>
      <c r="E405" s="130"/>
    </row>
    <row r="406" spans="2:5">
      <c r="B406" s="129"/>
      <c r="C406" s="129"/>
      <c r="D406" s="129"/>
      <c r="E406" s="130"/>
    </row>
    <row r="407" spans="2:5">
      <c r="B407" s="129"/>
      <c r="C407" s="129"/>
      <c r="D407" s="129"/>
      <c r="E407" s="130"/>
    </row>
    <row r="408" spans="2:5">
      <c r="B408" s="129"/>
      <c r="C408" s="129"/>
      <c r="D408" s="129"/>
      <c r="E408" s="130"/>
    </row>
    <row r="409" spans="2:5">
      <c r="B409" s="129"/>
      <c r="C409" s="129"/>
      <c r="D409" s="129"/>
      <c r="E409" s="130"/>
    </row>
    <row r="410" spans="2:5">
      <c r="B410" s="129"/>
      <c r="C410" s="129"/>
      <c r="D410" s="129"/>
      <c r="E410" s="130"/>
    </row>
    <row r="411" spans="2:5">
      <c r="B411" s="129"/>
      <c r="C411" s="129"/>
      <c r="D411" s="129"/>
      <c r="E411" s="130"/>
    </row>
    <row r="412" spans="2:5">
      <c r="B412" s="129"/>
      <c r="C412" s="129"/>
      <c r="D412" s="129"/>
      <c r="E412" s="130"/>
    </row>
    <row r="413" spans="2:5">
      <c r="B413" s="129"/>
      <c r="C413" s="129"/>
      <c r="D413" s="129"/>
      <c r="E413" s="130"/>
    </row>
    <row r="414" spans="2:5">
      <c r="B414" s="129"/>
      <c r="C414" s="129"/>
      <c r="D414" s="129"/>
      <c r="E414" s="130"/>
    </row>
    <row r="415" spans="2:5">
      <c r="B415" s="129"/>
      <c r="C415" s="129"/>
      <c r="D415" s="129"/>
      <c r="E415" s="130"/>
    </row>
    <row r="416" spans="2:5">
      <c r="B416" s="129"/>
      <c r="C416" s="129"/>
      <c r="D416" s="129"/>
      <c r="E416" s="130"/>
    </row>
    <row r="417" spans="2:5">
      <c r="B417" s="129"/>
      <c r="C417" s="129"/>
      <c r="D417" s="129"/>
      <c r="E417" s="130"/>
    </row>
    <row r="418" spans="2:5">
      <c r="B418" s="129"/>
      <c r="C418" s="129"/>
      <c r="D418" s="129"/>
      <c r="E418" s="130"/>
    </row>
    <row r="419" spans="2:5">
      <c r="B419" s="129"/>
      <c r="C419" s="129"/>
      <c r="D419" s="129"/>
      <c r="E419" s="130"/>
    </row>
    <row r="420" spans="2:5">
      <c r="B420" s="129"/>
      <c r="C420" s="129"/>
      <c r="D420" s="129"/>
      <c r="E420" s="130"/>
    </row>
    <row r="421" spans="2:5">
      <c r="B421" s="129"/>
      <c r="C421" s="129"/>
      <c r="D421" s="129"/>
      <c r="E421" s="130"/>
    </row>
    <row r="422" spans="2:5">
      <c r="B422" s="129"/>
      <c r="C422" s="129"/>
      <c r="D422" s="129"/>
      <c r="E422" s="130"/>
    </row>
    <row r="423" spans="2:5">
      <c r="B423" s="129"/>
      <c r="C423" s="129"/>
      <c r="D423" s="129"/>
      <c r="E423" s="130"/>
    </row>
    <row r="424" spans="2:5">
      <c r="B424" s="129"/>
      <c r="C424" s="129"/>
      <c r="D424" s="129"/>
      <c r="E424" s="130"/>
    </row>
    <row r="425" spans="2:5">
      <c r="B425" s="129"/>
      <c r="C425" s="129"/>
      <c r="D425" s="129"/>
      <c r="E425" s="130"/>
    </row>
    <row r="426" spans="2:5">
      <c r="B426" s="129"/>
      <c r="C426" s="129"/>
      <c r="D426" s="129"/>
      <c r="E426" s="130"/>
    </row>
    <row r="427" spans="2:5">
      <c r="B427" s="129"/>
      <c r="C427" s="129"/>
      <c r="D427" s="129"/>
      <c r="E427" s="130"/>
    </row>
    <row r="428" spans="2:5">
      <c r="B428" s="129"/>
      <c r="C428" s="129"/>
      <c r="D428" s="129"/>
      <c r="E428" s="130"/>
    </row>
    <row r="429" spans="2:5">
      <c r="B429" s="129"/>
      <c r="C429" s="129"/>
      <c r="D429" s="129"/>
      <c r="E429" s="130"/>
    </row>
    <row r="430" spans="2:5">
      <c r="B430" s="129"/>
      <c r="C430" s="129"/>
      <c r="D430" s="129"/>
      <c r="E430" s="130"/>
    </row>
    <row r="431" spans="2:5">
      <c r="B431" s="129"/>
      <c r="C431" s="129"/>
      <c r="D431" s="129"/>
      <c r="E431" s="130"/>
    </row>
    <row r="432" spans="2:5">
      <c r="B432" s="129"/>
      <c r="C432" s="129"/>
      <c r="D432" s="129"/>
      <c r="E432" s="130"/>
    </row>
    <row r="433" spans="2:5">
      <c r="B433" s="129"/>
      <c r="C433" s="129"/>
      <c r="D433" s="129"/>
      <c r="E433" s="130"/>
    </row>
    <row r="434" spans="2:5">
      <c r="B434" s="129"/>
      <c r="C434" s="129"/>
      <c r="D434" s="129"/>
      <c r="E434" s="130"/>
    </row>
    <row r="435" spans="2:5">
      <c r="B435" s="129"/>
      <c r="C435" s="129"/>
      <c r="D435" s="129"/>
      <c r="E435" s="130"/>
    </row>
    <row r="436" spans="2:5">
      <c r="B436" s="129"/>
      <c r="C436" s="129"/>
      <c r="D436" s="129"/>
      <c r="E436" s="130"/>
    </row>
    <row r="437" spans="2:5">
      <c r="B437" s="129"/>
      <c r="C437" s="129"/>
      <c r="D437" s="129"/>
      <c r="E437" s="130"/>
    </row>
    <row r="438" spans="2:5">
      <c r="B438" s="129"/>
      <c r="C438" s="129"/>
      <c r="D438" s="129"/>
      <c r="E438" s="130"/>
    </row>
    <row r="439" spans="2:5">
      <c r="B439" s="129"/>
      <c r="C439" s="129"/>
      <c r="D439" s="129"/>
      <c r="E439" s="130"/>
    </row>
    <row r="440" spans="2:5">
      <c r="B440" s="129"/>
      <c r="C440" s="129"/>
      <c r="D440" s="129"/>
      <c r="E440" s="130"/>
    </row>
    <row r="441" spans="2:5">
      <c r="B441" s="129"/>
      <c r="C441" s="129"/>
      <c r="D441" s="129"/>
      <c r="E441" s="130"/>
    </row>
    <row r="442" spans="2:5">
      <c r="B442" s="129"/>
      <c r="C442" s="129"/>
      <c r="D442" s="129"/>
      <c r="E442" s="130"/>
    </row>
    <row r="443" spans="2:5">
      <c r="B443" s="129"/>
      <c r="C443" s="129"/>
      <c r="D443" s="129"/>
      <c r="E443" s="130"/>
    </row>
    <row r="444" spans="2:5">
      <c r="B444" s="129"/>
      <c r="C444" s="129"/>
      <c r="D444" s="129"/>
      <c r="E444" s="130"/>
    </row>
    <row r="445" spans="2:5">
      <c r="B445" s="129"/>
      <c r="C445" s="129"/>
      <c r="D445" s="129"/>
      <c r="E445" s="130"/>
    </row>
    <row r="446" spans="2:5">
      <c r="B446" s="129"/>
      <c r="C446" s="129"/>
      <c r="D446" s="129"/>
      <c r="E446" s="130"/>
    </row>
    <row r="447" spans="2:5">
      <c r="B447" s="129"/>
      <c r="C447" s="129"/>
      <c r="D447" s="129"/>
      <c r="E447" s="130"/>
    </row>
    <row r="448" spans="2:5">
      <c r="B448" s="129"/>
      <c r="C448" s="129"/>
      <c r="D448" s="129"/>
      <c r="E448" s="130"/>
    </row>
    <row r="449" spans="2:5">
      <c r="B449" s="129"/>
      <c r="C449" s="129"/>
      <c r="D449" s="129"/>
      <c r="E449" s="130"/>
    </row>
    <row r="450" spans="2:5">
      <c r="B450" s="129"/>
      <c r="C450" s="129"/>
      <c r="D450" s="129"/>
      <c r="E450" s="130"/>
    </row>
    <row r="451" spans="2:5">
      <c r="B451" s="129"/>
      <c r="C451" s="129"/>
      <c r="D451" s="129"/>
      <c r="E451" s="130"/>
    </row>
    <row r="452" spans="2:5">
      <c r="B452" s="129"/>
      <c r="C452" s="129"/>
      <c r="D452" s="129"/>
      <c r="E452" s="130"/>
    </row>
    <row r="453" spans="2:5">
      <c r="B453" s="129"/>
      <c r="C453" s="129"/>
      <c r="D453" s="129"/>
      <c r="E453" s="130"/>
    </row>
    <row r="454" spans="2:5">
      <c r="B454" s="129"/>
      <c r="C454" s="129"/>
      <c r="D454" s="129"/>
      <c r="E454" s="130"/>
    </row>
    <row r="455" spans="2:5">
      <c r="B455" s="129"/>
      <c r="C455" s="129"/>
      <c r="D455" s="129"/>
      <c r="E455" s="130"/>
    </row>
    <row r="456" spans="2:5">
      <c r="B456" s="129"/>
      <c r="C456" s="129"/>
      <c r="D456" s="129"/>
      <c r="E456" s="130"/>
    </row>
    <row r="457" spans="2:5">
      <c r="B457" s="129"/>
      <c r="C457" s="129"/>
      <c r="D457" s="129"/>
      <c r="E457" s="130"/>
    </row>
    <row r="458" spans="2:5">
      <c r="B458" s="129"/>
      <c r="C458" s="129"/>
      <c r="D458" s="129"/>
      <c r="E458" s="130"/>
    </row>
    <row r="459" spans="2:5">
      <c r="B459" s="129"/>
      <c r="C459" s="129"/>
      <c r="D459" s="129"/>
      <c r="E459" s="130"/>
    </row>
    <row r="460" spans="2:5">
      <c r="B460" s="129"/>
      <c r="C460" s="129"/>
      <c r="D460" s="129"/>
      <c r="E460" s="130"/>
    </row>
    <row r="461" spans="2:5">
      <c r="B461" s="129"/>
      <c r="C461" s="129"/>
      <c r="D461" s="129"/>
      <c r="E461" s="130"/>
    </row>
    <row r="462" spans="2:5">
      <c r="B462" s="129"/>
      <c r="C462" s="129"/>
      <c r="D462" s="129"/>
      <c r="E462" s="130"/>
    </row>
    <row r="463" spans="2:5">
      <c r="B463" s="129"/>
      <c r="C463" s="129"/>
      <c r="D463" s="129"/>
      <c r="E463" s="130"/>
    </row>
    <row r="464" spans="2:5">
      <c r="B464" s="129"/>
      <c r="C464" s="129"/>
      <c r="D464" s="129"/>
      <c r="E464" s="130"/>
    </row>
    <row r="465" spans="2:5">
      <c r="B465" s="129"/>
      <c r="C465" s="129"/>
      <c r="D465" s="129"/>
      <c r="E465" s="130"/>
    </row>
    <row r="466" spans="2:5">
      <c r="B466" s="129"/>
      <c r="C466" s="129"/>
      <c r="D466" s="129"/>
      <c r="E466" s="130"/>
    </row>
    <row r="467" spans="2:5">
      <c r="B467" s="129"/>
      <c r="C467" s="129"/>
      <c r="D467" s="129"/>
      <c r="E467" s="130"/>
    </row>
    <row r="468" spans="2:5">
      <c r="B468" s="129"/>
      <c r="C468" s="129"/>
      <c r="D468" s="129"/>
      <c r="E468" s="130"/>
    </row>
    <row r="469" spans="2:5">
      <c r="B469" s="129"/>
      <c r="C469" s="129"/>
      <c r="D469" s="129"/>
      <c r="E469" s="130"/>
    </row>
    <row r="470" spans="2:5">
      <c r="B470" s="129"/>
      <c r="C470" s="129"/>
      <c r="D470" s="129"/>
      <c r="E470" s="130"/>
    </row>
    <row r="471" spans="2:5">
      <c r="B471" s="129"/>
      <c r="C471" s="129"/>
      <c r="D471" s="129"/>
      <c r="E471" s="130"/>
    </row>
    <row r="472" spans="2:5">
      <c r="B472" s="129"/>
      <c r="C472" s="129"/>
      <c r="D472" s="129"/>
      <c r="E472" s="130"/>
    </row>
    <row r="473" spans="2:5">
      <c r="B473" s="129"/>
      <c r="C473" s="129"/>
      <c r="D473" s="129"/>
      <c r="E473" s="130"/>
    </row>
    <row r="474" spans="2:5">
      <c r="B474" s="129"/>
      <c r="C474" s="129"/>
      <c r="D474" s="129"/>
      <c r="E474" s="130"/>
    </row>
    <row r="475" spans="2:5">
      <c r="B475" s="129"/>
      <c r="C475" s="129"/>
      <c r="D475" s="129"/>
      <c r="E475" s="130"/>
    </row>
    <row r="476" spans="2:5">
      <c r="B476" s="129"/>
      <c r="C476" s="129"/>
      <c r="D476" s="129"/>
      <c r="E476" s="130"/>
    </row>
    <row r="477" spans="2:5">
      <c r="B477" s="129"/>
      <c r="C477" s="129"/>
      <c r="D477" s="129"/>
      <c r="E477" s="130"/>
    </row>
    <row r="478" spans="2:5">
      <c r="B478" s="129"/>
      <c r="C478" s="129"/>
      <c r="D478" s="129"/>
      <c r="E478" s="130"/>
    </row>
    <row r="479" spans="2:5">
      <c r="B479" s="129"/>
      <c r="C479" s="129"/>
      <c r="D479" s="129"/>
      <c r="E479" s="130"/>
    </row>
    <row r="480" spans="2:5">
      <c r="B480" s="129"/>
      <c r="C480" s="129"/>
      <c r="D480" s="129"/>
      <c r="E480" s="130"/>
    </row>
    <row r="481" spans="2:5">
      <c r="B481" s="129"/>
      <c r="C481" s="129"/>
      <c r="D481" s="129"/>
      <c r="E481" s="130"/>
    </row>
    <row r="482" spans="2:5">
      <c r="B482" s="129"/>
      <c r="C482" s="129"/>
      <c r="D482" s="129"/>
      <c r="E482" s="130"/>
    </row>
    <row r="483" spans="2:5">
      <c r="B483" s="129"/>
      <c r="C483" s="129"/>
      <c r="D483" s="129"/>
      <c r="E483" s="130"/>
    </row>
    <row r="484" spans="2:5">
      <c r="B484" s="129"/>
      <c r="C484" s="129"/>
      <c r="D484" s="129"/>
      <c r="E484" s="130"/>
    </row>
    <row r="485" spans="2:5">
      <c r="B485" s="129"/>
      <c r="C485" s="129"/>
      <c r="D485" s="129"/>
      <c r="E485" s="130"/>
    </row>
    <row r="486" spans="2:5">
      <c r="B486" s="129"/>
      <c r="C486" s="129"/>
      <c r="D486" s="129"/>
      <c r="E486" s="130"/>
    </row>
    <row r="487" spans="2:5">
      <c r="B487" s="129"/>
      <c r="C487" s="129"/>
      <c r="D487" s="129"/>
      <c r="E487" s="130"/>
    </row>
    <row r="488" spans="2:5">
      <c r="B488" s="129"/>
      <c r="C488" s="129"/>
      <c r="D488" s="129"/>
      <c r="E488" s="130"/>
    </row>
    <row r="489" spans="2:5">
      <c r="B489" s="129"/>
      <c r="C489" s="129"/>
      <c r="D489" s="129"/>
      <c r="E489" s="130"/>
    </row>
    <row r="490" spans="2:5">
      <c r="B490" s="129"/>
      <c r="C490" s="129"/>
      <c r="D490" s="129"/>
      <c r="E490" s="130"/>
    </row>
    <row r="491" spans="2:5">
      <c r="B491" s="129"/>
      <c r="C491" s="129"/>
      <c r="D491" s="129"/>
      <c r="E491" s="130"/>
    </row>
    <row r="492" spans="2:5">
      <c r="B492" s="129"/>
      <c r="C492" s="129"/>
      <c r="D492" s="129"/>
      <c r="E492" s="130"/>
    </row>
    <row r="493" spans="2:5">
      <c r="B493" s="129"/>
      <c r="C493" s="129"/>
      <c r="D493" s="129"/>
      <c r="E493" s="130"/>
    </row>
    <row r="494" spans="2:5">
      <c r="B494" s="129"/>
      <c r="C494" s="129"/>
      <c r="D494" s="129"/>
      <c r="E494" s="130"/>
    </row>
    <row r="495" spans="2:5">
      <c r="B495" s="129"/>
      <c r="C495" s="129"/>
      <c r="D495" s="129"/>
      <c r="E495" s="130"/>
    </row>
    <row r="496" spans="2:5">
      <c r="B496" s="129"/>
      <c r="C496" s="129"/>
      <c r="D496" s="129"/>
      <c r="E496" s="130"/>
    </row>
    <row r="497" spans="2:5">
      <c r="B497" s="129"/>
      <c r="C497" s="129"/>
      <c r="D497" s="129"/>
      <c r="E497" s="130"/>
    </row>
    <row r="498" spans="2:5">
      <c r="B498" s="129"/>
      <c r="C498" s="129"/>
      <c r="D498" s="129"/>
      <c r="E498" s="130"/>
    </row>
    <row r="499" spans="2:5">
      <c r="B499" s="129"/>
      <c r="C499" s="129"/>
      <c r="D499" s="129"/>
      <c r="E499" s="130"/>
    </row>
    <row r="500" spans="2:5">
      <c r="B500" s="129"/>
      <c r="C500" s="129"/>
      <c r="D500" s="129"/>
      <c r="E500" s="130"/>
    </row>
    <row r="501" spans="2:5">
      <c r="B501" s="129"/>
      <c r="C501" s="129"/>
      <c r="D501" s="129"/>
      <c r="E501" s="130"/>
    </row>
    <row r="502" spans="2:5">
      <c r="B502" s="129"/>
      <c r="C502" s="129"/>
      <c r="D502" s="129"/>
      <c r="E502" s="130"/>
    </row>
    <row r="503" spans="2:5">
      <c r="B503" s="129"/>
      <c r="C503" s="129"/>
      <c r="D503" s="129"/>
      <c r="E503" s="130"/>
    </row>
    <row r="504" spans="2:5">
      <c r="B504" s="129"/>
      <c r="C504" s="129"/>
      <c r="D504" s="129"/>
      <c r="E504" s="130"/>
    </row>
    <row r="505" spans="2:5">
      <c r="B505" s="129"/>
      <c r="C505" s="129"/>
      <c r="D505" s="129"/>
      <c r="E505" s="130"/>
    </row>
    <row r="506" spans="2:5">
      <c r="B506" s="129"/>
      <c r="C506" s="129"/>
      <c r="D506" s="129"/>
      <c r="E506" s="130"/>
    </row>
    <row r="507" spans="2:5">
      <c r="B507" s="129"/>
      <c r="C507" s="129"/>
      <c r="D507" s="129"/>
      <c r="E507" s="130"/>
    </row>
    <row r="508" spans="2:5">
      <c r="B508" s="129"/>
      <c r="C508" s="129"/>
      <c r="D508" s="129"/>
      <c r="E508" s="130"/>
    </row>
    <row r="509" spans="2:5">
      <c r="B509" s="129"/>
      <c r="C509" s="129"/>
      <c r="D509" s="129"/>
      <c r="E509" s="130"/>
    </row>
    <row r="510" spans="2:5">
      <c r="B510" s="129"/>
      <c r="C510" s="129"/>
      <c r="D510" s="129"/>
      <c r="E510" s="130"/>
    </row>
    <row r="511" spans="2:5">
      <c r="B511" s="129"/>
      <c r="C511" s="129"/>
      <c r="D511" s="129"/>
      <c r="E511" s="130"/>
    </row>
    <row r="512" spans="2:5">
      <c r="B512" s="129"/>
      <c r="C512" s="129"/>
      <c r="D512" s="129"/>
      <c r="E512" s="130"/>
    </row>
    <row r="513" spans="2:5">
      <c r="B513" s="129"/>
      <c r="C513" s="129"/>
      <c r="D513" s="129"/>
      <c r="E513" s="130"/>
    </row>
    <row r="514" spans="2:5">
      <c r="B514" s="129"/>
      <c r="C514" s="129"/>
      <c r="D514" s="129"/>
      <c r="E514" s="130"/>
    </row>
    <row r="515" spans="2:5">
      <c r="B515" s="129"/>
      <c r="C515" s="129"/>
      <c r="D515" s="129"/>
      <c r="E515" s="130"/>
    </row>
    <row r="516" spans="2:5">
      <c r="B516" s="129"/>
      <c r="C516" s="129"/>
      <c r="D516" s="129"/>
      <c r="E516" s="130"/>
    </row>
    <row r="517" spans="2:5">
      <c r="B517" s="129"/>
      <c r="C517" s="129"/>
      <c r="D517" s="129"/>
      <c r="E517" s="130"/>
    </row>
    <row r="518" spans="2:5">
      <c r="B518" s="129"/>
      <c r="C518" s="129"/>
      <c r="D518" s="129"/>
      <c r="E518" s="130"/>
    </row>
    <row r="519" spans="2:5">
      <c r="B519" s="129"/>
      <c r="C519" s="129"/>
      <c r="D519" s="129"/>
      <c r="E519" s="130"/>
    </row>
    <row r="520" spans="2:5">
      <c r="B520" s="129"/>
      <c r="C520" s="129"/>
      <c r="D520" s="129"/>
      <c r="E520" s="130"/>
    </row>
    <row r="521" spans="2:5">
      <c r="B521" s="129"/>
      <c r="C521" s="129"/>
      <c r="D521" s="129"/>
      <c r="E521" s="130"/>
    </row>
    <row r="522" spans="2:5">
      <c r="B522" s="129"/>
      <c r="C522" s="129"/>
      <c r="D522" s="129"/>
      <c r="E522" s="130"/>
    </row>
    <row r="523" spans="2:5">
      <c r="B523" s="129"/>
      <c r="C523" s="129"/>
      <c r="D523" s="129"/>
      <c r="E523" s="130"/>
    </row>
    <row r="524" spans="2:5">
      <c r="B524" s="129"/>
      <c r="C524" s="129"/>
      <c r="D524" s="129"/>
      <c r="E524" s="130"/>
    </row>
    <row r="525" spans="2:5">
      <c r="B525" s="129"/>
      <c r="C525" s="129"/>
      <c r="D525" s="129"/>
      <c r="E525" s="130"/>
    </row>
    <row r="526" spans="2:5">
      <c r="B526" s="129"/>
      <c r="C526" s="129"/>
      <c r="D526" s="129"/>
      <c r="E526" s="130"/>
    </row>
    <row r="527" spans="2:5">
      <c r="B527" s="129"/>
      <c r="C527" s="129"/>
      <c r="D527" s="129"/>
      <c r="E527" s="130"/>
    </row>
    <row r="528" spans="2:5">
      <c r="B528" s="129"/>
      <c r="C528" s="129"/>
      <c r="D528" s="129"/>
      <c r="E528" s="130"/>
    </row>
    <row r="529" spans="2:5">
      <c r="B529" s="129"/>
      <c r="C529" s="129"/>
      <c r="D529" s="129"/>
      <c r="E529" s="130"/>
    </row>
    <row r="530" spans="2:5">
      <c r="B530" s="129"/>
      <c r="C530" s="129"/>
      <c r="D530" s="129"/>
      <c r="E530" s="130"/>
    </row>
    <row r="531" spans="2:5">
      <c r="B531" s="129"/>
      <c r="C531" s="129"/>
      <c r="D531" s="129"/>
      <c r="E531" s="130"/>
    </row>
    <row r="532" spans="2:5">
      <c r="B532" s="129"/>
      <c r="C532" s="129"/>
      <c r="D532" s="129"/>
      <c r="E532" s="130"/>
    </row>
    <row r="533" spans="2:5">
      <c r="B533" s="129"/>
      <c r="C533" s="129"/>
      <c r="D533" s="129"/>
      <c r="E533" s="130"/>
    </row>
    <row r="534" spans="2:5">
      <c r="B534" s="129"/>
      <c r="C534" s="129"/>
      <c r="D534" s="129"/>
      <c r="E534" s="130"/>
    </row>
    <row r="535" spans="2:5">
      <c r="B535" s="129"/>
      <c r="C535" s="129"/>
      <c r="D535" s="129"/>
      <c r="E535" s="130"/>
    </row>
    <row r="536" spans="2:5">
      <c r="B536" s="129"/>
      <c r="C536" s="129"/>
      <c r="D536" s="129"/>
      <c r="E536" s="130"/>
    </row>
    <row r="537" spans="2:5">
      <c r="B537" s="129"/>
      <c r="C537" s="129"/>
      <c r="D537" s="129"/>
      <c r="E537" s="130"/>
    </row>
    <row r="538" spans="2:5">
      <c r="B538" s="129"/>
      <c r="C538" s="129"/>
      <c r="D538" s="129"/>
      <c r="E538" s="130"/>
    </row>
    <row r="539" spans="2:5">
      <c r="B539" s="129"/>
      <c r="C539" s="129"/>
      <c r="D539" s="129"/>
      <c r="E539" s="130"/>
    </row>
    <row r="540" spans="2:5">
      <c r="B540" s="129"/>
      <c r="C540" s="129"/>
      <c r="D540" s="129"/>
      <c r="E540" s="130"/>
    </row>
    <row r="541" spans="2:5">
      <c r="B541" s="129"/>
      <c r="C541" s="129"/>
      <c r="D541" s="129"/>
      <c r="E541" s="130"/>
    </row>
    <row r="542" spans="2:5">
      <c r="B542" s="129"/>
      <c r="C542" s="129"/>
      <c r="D542" s="129"/>
      <c r="E542" s="130"/>
    </row>
    <row r="543" spans="2:5">
      <c r="B543" s="129"/>
      <c r="C543" s="129"/>
      <c r="D543" s="129"/>
      <c r="E543" s="130"/>
    </row>
    <row r="544" spans="2:5">
      <c r="B544" s="129"/>
      <c r="C544" s="129"/>
      <c r="D544" s="129"/>
      <c r="E544" s="130"/>
    </row>
    <row r="545" spans="2:5">
      <c r="B545" s="129"/>
      <c r="C545" s="129"/>
      <c r="D545" s="129"/>
      <c r="E545" s="130"/>
    </row>
    <row r="546" spans="2:5">
      <c r="B546" s="129"/>
      <c r="C546" s="129"/>
      <c r="D546" s="129"/>
      <c r="E546" s="130"/>
    </row>
    <row r="547" spans="2:5">
      <c r="B547" s="129"/>
      <c r="C547" s="129"/>
      <c r="D547" s="129"/>
      <c r="E547" s="130"/>
    </row>
    <row r="548" spans="2:5">
      <c r="B548" s="129"/>
      <c r="C548" s="129"/>
      <c r="D548" s="129"/>
      <c r="E548" s="130"/>
    </row>
    <row r="549" spans="2:5">
      <c r="B549" s="129"/>
      <c r="C549" s="129"/>
      <c r="D549" s="129"/>
      <c r="E549" s="130"/>
    </row>
    <row r="550" spans="2:5">
      <c r="B550" s="129"/>
      <c r="C550" s="129"/>
      <c r="D550" s="129"/>
      <c r="E550" s="130"/>
    </row>
    <row r="551" spans="2:5">
      <c r="B551" s="129"/>
      <c r="C551" s="129"/>
      <c r="D551" s="129"/>
      <c r="E551" s="130"/>
    </row>
    <row r="552" spans="2:5">
      <c r="B552" s="129"/>
      <c r="C552" s="129"/>
      <c r="D552" s="129"/>
      <c r="E552" s="130"/>
    </row>
    <row r="553" spans="2:5">
      <c r="B553" s="129"/>
      <c r="C553" s="129"/>
      <c r="D553" s="129"/>
      <c r="E553" s="130"/>
    </row>
    <row r="554" spans="2:5">
      <c r="B554" s="129"/>
      <c r="C554" s="129"/>
      <c r="D554" s="129"/>
      <c r="E554" s="130"/>
    </row>
    <row r="555" spans="2:5">
      <c r="B555" s="129"/>
      <c r="C555" s="129"/>
      <c r="D555" s="129"/>
      <c r="E555" s="130"/>
    </row>
    <row r="556" spans="2:5">
      <c r="B556" s="129"/>
      <c r="C556" s="129"/>
      <c r="D556" s="129"/>
      <c r="E556" s="130"/>
    </row>
    <row r="557" spans="2:5">
      <c r="B557" s="129"/>
      <c r="C557" s="129"/>
      <c r="D557" s="129"/>
      <c r="E557" s="130"/>
    </row>
    <row r="558" spans="2:5">
      <c r="B558" s="129"/>
      <c r="C558" s="129"/>
      <c r="D558" s="129"/>
      <c r="E558" s="130"/>
    </row>
    <row r="559" spans="2:5">
      <c r="B559" s="129"/>
      <c r="C559" s="129"/>
      <c r="D559" s="129"/>
      <c r="E559" s="130"/>
    </row>
    <row r="560" spans="2:5">
      <c r="B560" s="129"/>
      <c r="C560" s="129"/>
      <c r="D560" s="129"/>
      <c r="E560" s="130"/>
    </row>
    <row r="561" spans="2:5">
      <c r="B561" s="129"/>
      <c r="C561" s="129"/>
      <c r="D561" s="129"/>
      <c r="E561" s="130"/>
    </row>
    <row r="562" spans="2:5">
      <c r="B562" s="129"/>
      <c r="C562" s="129"/>
      <c r="D562" s="129"/>
      <c r="E562" s="130"/>
    </row>
    <row r="563" spans="2:5">
      <c r="B563" s="129"/>
      <c r="C563" s="129"/>
      <c r="D563" s="129"/>
      <c r="E563" s="130"/>
    </row>
    <row r="564" spans="2:5">
      <c r="B564" s="129"/>
      <c r="C564" s="129"/>
      <c r="D564" s="129"/>
      <c r="E564" s="130"/>
    </row>
    <row r="565" spans="2:5">
      <c r="B565" s="129"/>
      <c r="C565" s="129"/>
      <c r="D565" s="129"/>
      <c r="E565" s="130"/>
    </row>
    <row r="566" spans="2:5">
      <c r="B566" s="129"/>
      <c r="C566" s="129"/>
      <c r="D566" s="129"/>
      <c r="E566" s="130"/>
    </row>
    <row r="567" spans="2:5">
      <c r="B567" s="129"/>
      <c r="C567" s="129"/>
      <c r="D567" s="129"/>
      <c r="E567" s="130"/>
    </row>
    <row r="568" spans="2:5">
      <c r="B568" s="129"/>
      <c r="C568" s="129"/>
      <c r="D568" s="129"/>
      <c r="E568" s="130"/>
    </row>
    <row r="569" spans="2:5">
      <c r="B569" s="129"/>
      <c r="C569" s="129"/>
      <c r="D569" s="129"/>
      <c r="E569" s="130"/>
    </row>
    <row r="570" spans="2:5">
      <c r="B570" s="129"/>
      <c r="C570" s="129"/>
      <c r="D570" s="129"/>
      <c r="E570" s="130"/>
    </row>
    <row r="571" spans="2:5">
      <c r="B571" s="129"/>
      <c r="C571" s="129"/>
      <c r="D571" s="129"/>
      <c r="E571" s="130"/>
    </row>
    <row r="572" spans="2:5">
      <c r="B572" s="129"/>
      <c r="C572" s="129"/>
      <c r="D572" s="129"/>
      <c r="E572" s="130"/>
    </row>
    <row r="573" spans="2:5">
      <c r="B573" s="129"/>
      <c r="C573" s="129"/>
      <c r="D573" s="129"/>
      <c r="E573" s="130"/>
    </row>
    <row r="574" spans="2:5">
      <c r="B574" s="129"/>
      <c r="C574" s="129"/>
      <c r="D574" s="129"/>
      <c r="E574" s="130"/>
    </row>
    <row r="575" spans="2:5">
      <c r="B575" s="129"/>
      <c r="C575" s="129"/>
      <c r="D575" s="129"/>
      <c r="E575" s="130"/>
    </row>
    <row r="576" spans="2:5">
      <c r="B576" s="129"/>
      <c r="C576" s="129"/>
      <c r="D576" s="129"/>
      <c r="E576" s="130"/>
    </row>
    <row r="577" spans="2:5">
      <c r="B577" s="129"/>
      <c r="C577" s="129"/>
      <c r="D577" s="129"/>
      <c r="E577" s="130"/>
    </row>
    <row r="578" spans="2:5">
      <c r="B578" s="129"/>
      <c r="C578" s="129"/>
      <c r="D578" s="129"/>
      <c r="E578" s="130"/>
    </row>
    <row r="579" spans="2:5">
      <c r="B579" s="129"/>
      <c r="C579" s="129"/>
      <c r="D579" s="129"/>
      <c r="E579" s="130"/>
    </row>
    <row r="580" spans="2:5">
      <c r="B580" s="129"/>
      <c r="C580" s="129"/>
      <c r="D580" s="129"/>
      <c r="E580" s="130"/>
    </row>
    <row r="581" spans="2:5">
      <c r="B581" s="129"/>
      <c r="C581" s="129"/>
      <c r="D581" s="129"/>
      <c r="E581" s="130"/>
    </row>
    <row r="582" spans="2:5">
      <c r="B582" s="129"/>
      <c r="C582" s="129"/>
      <c r="D582" s="129"/>
      <c r="E582" s="130"/>
    </row>
    <row r="583" spans="2:5">
      <c r="B583" s="129"/>
      <c r="C583" s="129"/>
      <c r="D583" s="129"/>
      <c r="E583" s="130"/>
    </row>
    <row r="584" spans="2:5">
      <c r="B584" s="129"/>
      <c r="C584" s="129"/>
      <c r="D584" s="129"/>
      <c r="E584" s="130"/>
    </row>
    <row r="585" spans="2:5">
      <c r="B585" s="129"/>
      <c r="C585" s="129"/>
      <c r="D585" s="129"/>
      <c r="E585" s="130"/>
    </row>
    <row r="586" spans="2:5">
      <c r="B586" s="129"/>
      <c r="C586" s="129"/>
      <c r="D586" s="129"/>
      <c r="E586" s="130"/>
    </row>
    <row r="587" spans="2:5">
      <c r="B587" s="129"/>
      <c r="C587" s="129"/>
      <c r="D587" s="129"/>
      <c r="E587" s="130"/>
    </row>
    <row r="588" spans="2:5">
      <c r="B588" s="129"/>
      <c r="C588" s="129"/>
      <c r="D588" s="129"/>
      <c r="E588" s="130"/>
    </row>
    <row r="589" spans="2:5">
      <c r="B589" s="129"/>
      <c r="C589" s="129"/>
      <c r="D589" s="129"/>
      <c r="E589" s="130"/>
    </row>
    <row r="590" spans="2:5">
      <c r="B590" s="129"/>
      <c r="C590" s="129"/>
      <c r="D590" s="129"/>
      <c r="E590" s="130"/>
    </row>
    <row r="591" spans="2:5">
      <c r="B591" s="129"/>
      <c r="C591" s="129"/>
      <c r="D591" s="129"/>
      <c r="E591" s="130"/>
    </row>
    <row r="592" spans="2:5">
      <c r="B592" s="129"/>
      <c r="C592" s="129"/>
      <c r="D592" s="129"/>
      <c r="E592" s="130"/>
    </row>
    <row r="593" spans="2:5">
      <c r="B593" s="129"/>
      <c r="C593" s="129"/>
      <c r="D593" s="129"/>
      <c r="E593" s="130"/>
    </row>
    <row r="594" spans="2:5">
      <c r="B594" s="129"/>
      <c r="C594" s="129"/>
      <c r="D594" s="129"/>
      <c r="E594" s="130"/>
    </row>
    <row r="595" spans="2:5">
      <c r="B595" s="129"/>
      <c r="C595" s="129"/>
      <c r="D595" s="129"/>
      <c r="E595" s="130"/>
    </row>
    <row r="596" spans="2:5">
      <c r="B596" s="129"/>
      <c r="C596" s="129"/>
      <c r="D596" s="129"/>
      <c r="E596" s="130"/>
    </row>
    <row r="597" spans="2:5">
      <c r="B597" s="129"/>
      <c r="C597" s="129"/>
      <c r="D597" s="129"/>
      <c r="E597" s="130"/>
    </row>
    <row r="598" spans="2:5">
      <c r="B598" s="129"/>
      <c r="C598" s="129"/>
      <c r="D598" s="129"/>
      <c r="E598" s="130"/>
    </row>
    <row r="599" spans="2:5">
      <c r="B599" s="129"/>
      <c r="C599" s="129"/>
      <c r="D599" s="129"/>
      <c r="E599" s="130"/>
    </row>
    <row r="600" spans="2:5">
      <c r="B600" s="129"/>
      <c r="C600" s="129"/>
      <c r="D600" s="129"/>
      <c r="E600" s="130"/>
    </row>
    <row r="601" spans="2:5">
      <c r="B601" s="129"/>
      <c r="C601" s="129"/>
      <c r="D601" s="129"/>
      <c r="E601" s="130"/>
    </row>
    <row r="602" spans="2:5">
      <c r="B602" s="129"/>
      <c r="C602" s="129"/>
      <c r="D602" s="129"/>
      <c r="E602" s="130"/>
    </row>
    <row r="603" spans="2:5">
      <c r="B603" s="129"/>
      <c r="C603" s="129"/>
      <c r="D603" s="129"/>
      <c r="E603" s="130"/>
    </row>
    <row r="604" spans="2:5">
      <c r="B604" s="129"/>
      <c r="C604" s="129"/>
      <c r="D604" s="129"/>
      <c r="E604" s="130"/>
    </row>
    <row r="605" spans="2:5">
      <c r="B605" s="129"/>
      <c r="C605" s="129"/>
      <c r="D605" s="129"/>
      <c r="E605" s="130"/>
    </row>
    <row r="606" spans="2:5">
      <c r="B606" s="129"/>
      <c r="C606" s="129"/>
      <c r="D606" s="129"/>
      <c r="E606" s="130"/>
    </row>
    <row r="607" spans="2:5">
      <c r="B607" s="129"/>
      <c r="C607" s="129"/>
      <c r="D607" s="129"/>
      <c r="E607" s="130"/>
    </row>
    <row r="608" spans="2:5">
      <c r="B608" s="129"/>
      <c r="C608" s="129"/>
      <c r="D608" s="129"/>
      <c r="E608" s="130"/>
    </row>
    <row r="609" spans="2:5">
      <c r="B609" s="129"/>
      <c r="C609" s="129"/>
      <c r="D609" s="129"/>
      <c r="E609" s="130"/>
    </row>
    <row r="610" spans="2:5">
      <c r="B610" s="129"/>
      <c r="C610" s="129"/>
      <c r="D610" s="129"/>
      <c r="E610" s="130"/>
    </row>
    <row r="611" spans="2:5">
      <c r="B611" s="129"/>
      <c r="C611" s="129"/>
      <c r="D611" s="129"/>
      <c r="E611" s="130"/>
    </row>
    <row r="612" spans="2:5">
      <c r="B612" s="129"/>
      <c r="C612" s="129"/>
      <c r="D612" s="129"/>
      <c r="E612" s="130"/>
    </row>
    <row r="613" spans="2:5">
      <c r="B613" s="129"/>
      <c r="C613" s="129"/>
      <c r="D613" s="129"/>
      <c r="E613" s="130"/>
    </row>
    <row r="614" spans="2:5">
      <c r="B614" s="129"/>
      <c r="C614" s="129"/>
      <c r="D614" s="129"/>
      <c r="E614" s="130"/>
    </row>
    <row r="615" spans="2:5">
      <c r="B615" s="129"/>
      <c r="C615" s="129"/>
      <c r="D615" s="129"/>
      <c r="E615" s="130"/>
    </row>
    <row r="616" spans="2:5">
      <c r="B616" s="129"/>
      <c r="C616" s="129"/>
      <c r="D616" s="129"/>
      <c r="E616" s="130"/>
    </row>
    <row r="617" spans="2:5">
      <c r="B617" s="129"/>
      <c r="C617" s="129"/>
      <c r="D617" s="129"/>
      <c r="E617" s="130"/>
    </row>
    <row r="618" spans="2:5">
      <c r="B618" s="129"/>
      <c r="C618" s="129"/>
      <c r="D618" s="129"/>
      <c r="E618" s="130"/>
    </row>
    <row r="619" spans="2:5">
      <c r="B619" s="129"/>
      <c r="C619" s="129"/>
      <c r="D619" s="129"/>
      <c r="E619" s="130"/>
    </row>
    <row r="620" spans="2:5">
      <c r="B620" s="129"/>
      <c r="C620" s="129"/>
      <c r="D620" s="129"/>
      <c r="E620" s="130"/>
    </row>
    <row r="621" spans="2:5">
      <c r="B621" s="129"/>
      <c r="C621" s="129"/>
      <c r="D621" s="129"/>
      <c r="E621" s="130"/>
    </row>
    <row r="622" spans="2:5">
      <c r="B622" s="129"/>
      <c r="C622" s="129"/>
      <c r="D622" s="129"/>
      <c r="E622" s="130"/>
    </row>
    <row r="623" spans="2:5">
      <c r="B623" s="129"/>
      <c r="C623" s="129"/>
      <c r="D623" s="129"/>
      <c r="E623" s="130"/>
    </row>
    <row r="624" spans="2:5">
      <c r="B624" s="129"/>
      <c r="C624" s="129"/>
      <c r="D624" s="129"/>
      <c r="E624" s="130"/>
    </row>
    <row r="625" spans="2:5">
      <c r="B625" s="129"/>
      <c r="C625" s="129"/>
      <c r="D625" s="129"/>
      <c r="E625" s="130"/>
    </row>
    <row r="626" spans="2:5">
      <c r="B626" s="129"/>
      <c r="C626" s="129"/>
      <c r="D626" s="129"/>
      <c r="E626" s="130"/>
    </row>
    <row r="627" spans="2:5">
      <c r="B627" s="129"/>
      <c r="C627" s="129"/>
      <c r="D627" s="129"/>
      <c r="E627" s="130"/>
    </row>
    <row r="628" spans="2:5">
      <c r="B628" s="129"/>
      <c r="C628" s="129"/>
      <c r="D628" s="129"/>
      <c r="E628" s="130"/>
    </row>
    <row r="629" spans="2:5">
      <c r="B629" s="129"/>
      <c r="C629" s="129"/>
      <c r="D629" s="129"/>
      <c r="E629" s="130"/>
    </row>
    <row r="630" spans="2:5">
      <c r="B630" s="129"/>
      <c r="C630" s="129"/>
      <c r="D630" s="129"/>
      <c r="E630" s="130"/>
    </row>
    <row r="631" spans="2:5">
      <c r="B631" s="129"/>
      <c r="C631" s="129"/>
      <c r="D631" s="129"/>
      <c r="E631" s="130"/>
    </row>
    <row r="632" spans="2:5">
      <c r="B632" s="129"/>
      <c r="C632" s="129"/>
      <c r="D632" s="129"/>
      <c r="E632" s="130"/>
    </row>
    <row r="633" spans="2:5">
      <c r="B633" s="129"/>
      <c r="C633" s="129"/>
      <c r="D633" s="129"/>
      <c r="E633" s="130"/>
    </row>
    <row r="634" spans="2:5">
      <c r="B634" s="129"/>
      <c r="C634" s="129"/>
      <c r="D634" s="129"/>
      <c r="E634" s="130"/>
    </row>
    <row r="635" spans="2:5">
      <c r="B635" s="129"/>
      <c r="C635" s="129"/>
      <c r="D635" s="129"/>
      <c r="E635" s="130"/>
    </row>
    <row r="636" spans="2:5">
      <c r="B636" s="129"/>
      <c r="C636" s="129"/>
      <c r="D636" s="129"/>
      <c r="E636" s="130"/>
    </row>
    <row r="637" spans="2:5">
      <c r="B637" s="129"/>
      <c r="C637" s="129"/>
      <c r="D637" s="129"/>
      <c r="E637" s="130"/>
    </row>
    <row r="638" spans="2:5">
      <c r="B638" s="129"/>
      <c r="C638" s="129"/>
      <c r="D638" s="129"/>
      <c r="E638" s="130"/>
    </row>
    <row r="639" spans="2:5">
      <c r="B639" s="129"/>
      <c r="C639" s="129"/>
      <c r="D639" s="129"/>
      <c r="E639" s="130"/>
    </row>
    <row r="640" spans="2:5">
      <c r="B640" s="129"/>
      <c r="C640" s="129"/>
      <c r="D640" s="129"/>
      <c r="E640" s="130"/>
    </row>
    <row r="641" spans="2:5">
      <c r="B641" s="129"/>
      <c r="C641" s="129"/>
      <c r="D641" s="129"/>
      <c r="E641" s="130"/>
    </row>
    <row r="642" spans="2:5">
      <c r="B642" s="129"/>
      <c r="C642" s="129"/>
      <c r="D642" s="129"/>
      <c r="E642" s="130"/>
    </row>
    <row r="643" spans="2:5">
      <c r="B643" s="129"/>
      <c r="C643" s="129"/>
      <c r="D643" s="129"/>
      <c r="E643" s="130"/>
    </row>
    <row r="644" spans="2:5">
      <c r="B644" s="129"/>
      <c r="C644" s="129"/>
      <c r="D644" s="129"/>
      <c r="E644" s="130"/>
    </row>
    <row r="645" spans="2:5">
      <c r="B645" s="129"/>
      <c r="C645" s="129"/>
      <c r="D645" s="129"/>
      <c r="E645" s="130"/>
    </row>
    <row r="646" spans="2:5">
      <c r="B646" s="129"/>
      <c r="C646" s="129"/>
      <c r="D646" s="129"/>
      <c r="E646" s="130"/>
    </row>
    <row r="647" spans="2:5">
      <c r="B647" s="129"/>
      <c r="C647" s="129"/>
      <c r="D647" s="129"/>
      <c r="E647" s="130"/>
    </row>
    <row r="648" spans="2:5">
      <c r="B648" s="129"/>
      <c r="C648" s="129"/>
      <c r="D648" s="129"/>
      <c r="E648" s="130"/>
    </row>
    <row r="649" spans="2:5">
      <c r="B649" s="129"/>
      <c r="C649" s="129"/>
      <c r="D649" s="129"/>
      <c r="E649" s="130"/>
    </row>
    <row r="650" spans="2:5">
      <c r="B650" s="129"/>
      <c r="C650" s="129"/>
      <c r="D650" s="129"/>
      <c r="E650" s="130"/>
    </row>
    <row r="651" spans="2:5">
      <c r="B651" s="129"/>
      <c r="C651" s="129"/>
      <c r="D651" s="129"/>
      <c r="E651" s="130"/>
    </row>
    <row r="652" spans="2:5">
      <c r="B652" s="129"/>
      <c r="C652" s="129"/>
      <c r="D652" s="129"/>
      <c r="E652" s="130"/>
    </row>
    <row r="653" spans="2:5">
      <c r="B653" s="129"/>
      <c r="C653" s="129"/>
      <c r="D653" s="129"/>
      <c r="E653" s="130"/>
    </row>
    <row r="654" spans="2:5">
      <c r="B654" s="129"/>
      <c r="C654" s="129"/>
      <c r="D654" s="129"/>
      <c r="E654" s="130"/>
    </row>
    <row r="655" spans="2:5">
      <c r="B655" s="129"/>
      <c r="C655" s="129"/>
      <c r="D655" s="129"/>
      <c r="E655" s="130"/>
    </row>
    <row r="656" spans="2:5">
      <c r="B656" s="129"/>
      <c r="C656" s="129"/>
      <c r="D656" s="129"/>
      <c r="E656" s="130"/>
    </row>
    <row r="657" spans="2:5">
      <c r="B657" s="129"/>
      <c r="C657" s="129"/>
      <c r="D657" s="129"/>
      <c r="E657" s="130"/>
    </row>
    <row r="658" spans="2:5">
      <c r="B658" s="129"/>
      <c r="C658" s="129"/>
      <c r="D658" s="129"/>
      <c r="E658" s="130"/>
    </row>
    <row r="659" spans="2:5">
      <c r="B659" s="129"/>
      <c r="C659" s="129"/>
      <c r="D659" s="129"/>
      <c r="E659" s="130"/>
    </row>
    <row r="660" spans="2:5">
      <c r="B660" s="129"/>
      <c r="C660" s="129"/>
      <c r="D660" s="129"/>
      <c r="E660" s="130"/>
    </row>
    <row r="661" spans="2:5">
      <c r="B661" s="129"/>
      <c r="C661" s="129"/>
      <c r="D661" s="129"/>
      <c r="E661" s="130"/>
    </row>
    <row r="662" spans="2:5">
      <c r="B662" s="129"/>
      <c r="C662" s="129"/>
      <c r="D662" s="129"/>
      <c r="E662" s="130"/>
    </row>
    <row r="663" spans="2:5">
      <c r="B663" s="129"/>
      <c r="C663" s="129"/>
      <c r="D663" s="129"/>
      <c r="E663" s="130"/>
    </row>
    <row r="664" spans="2:5">
      <c r="B664" s="129"/>
      <c r="C664" s="129"/>
      <c r="D664" s="129"/>
      <c r="E664" s="130"/>
    </row>
    <row r="665" spans="2:5">
      <c r="B665" s="129"/>
      <c r="C665" s="129"/>
      <c r="D665" s="129"/>
      <c r="E665" s="130"/>
    </row>
    <row r="666" spans="2:5">
      <c r="B666" s="129"/>
      <c r="C666" s="129"/>
      <c r="D666" s="129"/>
      <c r="E666" s="130"/>
    </row>
    <row r="667" spans="2:5">
      <c r="B667" s="129"/>
      <c r="C667" s="129"/>
      <c r="D667" s="129"/>
      <c r="E667" s="130"/>
    </row>
    <row r="668" spans="2:5">
      <c r="B668" s="129"/>
      <c r="C668" s="129"/>
      <c r="D668" s="129"/>
      <c r="E668" s="130"/>
    </row>
    <row r="669" spans="2:5">
      <c r="B669" s="129"/>
      <c r="C669" s="129"/>
      <c r="D669" s="129"/>
      <c r="E669" s="130"/>
    </row>
    <row r="670" spans="2:5">
      <c r="B670" s="129"/>
      <c r="C670" s="129"/>
      <c r="D670" s="129"/>
      <c r="E670" s="130"/>
    </row>
    <row r="671" spans="2:5">
      <c r="B671" s="129"/>
      <c r="C671" s="129"/>
      <c r="D671" s="129"/>
      <c r="E671" s="130"/>
    </row>
    <row r="672" spans="2:5">
      <c r="B672" s="129"/>
      <c r="C672" s="129"/>
      <c r="D672" s="129"/>
      <c r="E672" s="130"/>
    </row>
    <row r="673" spans="2:5">
      <c r="B673" s="129"/>
      <c r="C673" s="129"/>
      <c r="D673" s="129"/>
      <c r="E673" s="130"/>
    </row>
    <row r="674" spans="2:5">
      <c r="B674" s="129"/>
      <c r="C674" s="129"/>
      <c r="D674" s="129"/>
      <c r="E674" s="130"/>
    </row>
    <row r="675" spans="2:5">
      <c r="B675" s="129"/>
      <c r="C675" s="129"/>
      <c r="D675" s="129"/>
      <c r="E675" s="130"/>
    </row>
    <row r="676" spans="2:5">
      <c r="B676" s="129"/>
      <c r="C676" s="129"/>
      <c r="D676" s="129"/>
      <c r="E676" s="130"/>
    </row>
    <row r="677" spans="2:5">
      <c r="B677" s="129"/>
      <c r="C677" s="129"/>
      <c r="D677" s="129"/>
      <c r="E677" s="130"/>
    </row>
    <row r="678" spans="2:5">
      <c r="B678" s="129"/>
      <c r="C678" s="129"/>
      <c r="D678" s="129"/>
      <c r="E678" s="130"/>
    </row>
    <row r="679" spans="2:5">
      <c r="B679" s="129"/>
      <c r="C679" s="129"/>
      <c r="D679" s="129"/>
      <c r="E679" s="130"/>
    </row>
    <row r="680" spans="2:5">
      <c r="B680" s="129"/>
      <c r="C680" s="129"/>
      <c r="D680" s="129"/>
      <c r="E680" s="130"/>
    </row>
    <row r="681" spans="2:5">
      <c r="B681" s="129"/>
      <c r="C681" s="129"/>
      <c r="D681" s="129"/>
      <c r="E681" s="130"/>
    </row>
    <row r="682" spans="2:5">
      <c r="B682" s="129"/>
      <c r="C682" s="129"/>
      <c r="D682" s="129"/>
      <c r="E682" s="130"/>
    </row>
    <row r="683" spans="2:5">
      <c r="B683" s="129"/>
      <c r="C683" s="129"/>
      <c r="D683" s="129"/>
      <c r="E683" s="130"/>
    </row>
    <row r="684" spans="2:5">
      <c r="B684" s="129"/>
      <c r="C684" s="129"/>
      <c r="D684" s="129"/>
      <c r="E684" s="130"/>
    </row>
    <row r="685" spans="2:5">
      <c r="B685" s="129"/>
      <c r="C685" s="129"/>
      <c r="D685" s="129"/>
      <c r="E685" s="130"/>
    </row>
    <row r="686" spans="2:5">
      <c r="B686" s="129"/>
      <c r="C686" s="129"/>
      <c r="D686" s="129"/>
      <c r="E686" s="130"/>
    </row>
    <row r="687" spans="2:5">
      <c r="B687" s="129"/>
      <c r="C687" s="129"/>
      <c r="D687" s="129"/>
      <c r="E687" s="130"/>
    </row>
    <row r="688" spans="2:5">
      <c r="B688" s="129"/>
      <c r="C688" s="129"/>
      <c r="D688" s="129"/>
      <c r="E688" s="130"/>
    </row>
    <row r="689" spans="2:5">
      <c r="B689" s="129"/>
      <c r="C689" s="129"/>
      <c r="D689" s="129"/>
      <c r="E689" s="130"/>
    </row>
    <row r="690" spans="2:5">
      <c r="B690" s="129"/>
      <c r="C690" s="129"/>
      <c r="D690" s="129"/>
      <c r="E690" s="130"/>
    </row>
    <row r="691" spans="2:5">
      <c r="B691" s="129"/>
      <c r="C691" s="129"/>
      <c r="D691" s="129"/>
      <c r="E691" s="130"/>
    </row>
    <row r="692" spans="2:5">
      <c r="B692" s="129"/>
      <c r="C692" s="129"/>
      <c r="D692" s="129"/>
      <c r="E692" s="130"/>
    </row>
    <row r="693" spans="2:5">
      <c r="B693" s="129"/>
      <c r="C693" s="129"/>
      <c r="D693" s="129"/>
      <c r="E693" s="130"/>
    </row>
    <row r="694" spans="2:5">
      <c r="B694" s="129"/>
      <c r="C694" s="129"/>
      <c r="D694" s="129"/>
      <c r="E694" s="130"/>
    </row>
    <row r="695" spans="2:5">
      <c r="B695" s="129"/>
      <c r="C695" s="129"/>
      <c r="D695" s="129"/>
      <c r="E695" s="130"/>
    </row>
    <row r="696" spans="2:5">
      <c r="B696" s="129"/>
      <c r="C696" s="129"/>
      <c r="D696" s="129"/>
      <c r="E696" s="130"/>
    </row>
    <row r="697" spans="2:5">
      <c r="B697" s="129"/>
      <c r="C697" s="129"/>
      <c r="D697" s="129"/>
      <c r="E697" s="130"/>
    </row>
    <row r="698" spans="2:5">
      <c r="B698" s="129"/>
      <c r="C698" s="129"/>
      <c r="D698" s="129"/>
      <c r="E698" s="130"/>
    </row>
    <row r="699" spans="2:5">
      <c r="B699" s="129"/>
      <c r="C699" s="129"/>
      <c r="D699" s="129"/>
      <c r="E699" s="130"/>
    </row>
    <row r="700" spans="2:5">
      <c r="B700" s="129"/>
      <c r="C700" s="129"/>
      <c r="D700" s="129"/>
      <c r="E700" s="130"/>
    </row>
    <row r="701" spans="2:5">
      <c r="B701" s="129"/>
      <c r="C701" s="129"/>
      <c r="D701" s="129"/>
      <c r="E701" s="130"/>
    </row>
    <row r="702" spans="2:5">
      <c r="B702" s="129"/>
      <c r="C702" s="129"/>
      <c r="D702" s="129"/>
      <c r="E702" s="130"/>
    </row>
    <row r="703" spans="2:5">
      <c r="B703" s="129"/>
      <c r="C703" s="129"/>
      <c r="D703" s="129"/>
      <c r="E703" s="130"/>
    </row>
    <row r="704" spans="2:5">
      <c r="B704" s="129"/>
      <c r="C704" s="129"/>
      <c r="D704" s="129"/>
      <c r="E704" s="130"/>
    </row>
    <row r="705" spans="2:5">
      <c r="B705" s="129"/>
      <c r="C705" s="129"/>
      <c r="D705" s="129"/>
      <c r="E705" s="130"/>
    </row>
    <row r="706" spans="2:5">
      <c r="B706" s="129"/>
      <c r="C706" s="129"/>
      <c r="D706" s="129"/>
      <c r="E706" s="130"/>
    </row>
    <row r="707" spans="2:5">
      <c r="B707" s="129"/>
      <c r="C707" s="129"/>
      <c r="D707" s="129"/>
      <c r="E707" s="130"/>
    </row>
    <row r="708" spans="2:5">
      <c r="B708" s="129"/>
      <c r="C708" s="129"/>
      <c r="D708" s="129"/>
      <c r="E708" s="130"/>
    </row>
    <row r="709" spans="2:5">
      <c r="B709" s="129"/>
      <c r="C709" s="129"/>
      <c r="D709" s="129"/>
      <c r="E709" s="130"/>
    </row>
    <row r="710" spans="2:5">
      <c r="B710" s="129"/>
      <c r="C710" s="129"/>
      <c r="D710" s="129"/>
      <c r="E710" s="130"/>
    </row>
    <row r="711" spans="2:5">
      <c r="B711" s="129"/>
      <c r="C711" s="129"/>
      <c r="D711" s="129"/>
      <c r="E711" s="130"/>
    </row>
    <row r="712" spans="2:5">
      <c r="B712" s="129"/>
      <c r="C712" s="129"/>
      <c r="D712" s="129"/>
      <c r="E712" s="130"/>
    </row>
    <row r="713" spans="2:5">
      <c r="B713" s="129"/>
      <c r="C713" s="129"/>
      <c r="D713" s="129"/>
      <c r="E713" s="130"/>
    </row>
    <row r="714" spans="2:5">
      <c r="B714" s="129"/>
      <c r="C714" s="129"/>
      <c r="D714" s="129"/>
      <c r="E714" s="130"/>
    </row>
    <row r="715" spans="2:5">
      <c r="B715" s="129"/>
      <c r="C715" s="129"/>
      <c r="D715" s="129"/>
      <c r="E715" s="130"/>
    </row>
    <row r="716" spans="2:5">
      <c r="B716" s="129"/>
      <c r="C716" s="129"/>
      <c r="D716" s="129"/>
      <c r="E716" s="130"/>
    </row>
    <row r="717" spans="2:5">
      <c r="B717" s="129"/>
      <c r="C717" s="129"/>
      <c r="D717" s="129"/>
      <c r="E717" s="130"/>
    </row>
    <row r="718" spans="2:5">
      <c r="B718" s="129"/>
      <c r="C718" s="129"/>
      <c r="D718" s="129"/>
      <c r="E718" s="130"/>
    </row>
    <row r="719" spans="2:5">
      <c r="B719" s="129"/>
      <c r="C719" s="129"/>
      <c r="D719" s="129"/>
      <c r="E719" s="130"/>
    </row>
    <row r="720" spans="2:5">
      <c r="B720" s="129"/>
      <c r="C720" s="129"/>
      <c r="D720" s="129"/>
      <c r="E720" s="130"/>
    </row>
    <row r="721" spans="2:5">
      <c r="B721" s="129"/>
      <c r="C721" s="129"/>
      <c r="D721" s="129"/>
      <c r="E721" s="130"/>
    </row>
    <row r="722" spans="2:5">
      <c r="B722" s="129"/>
      <c r="C722" s="129"/>
      <c r="D722" s="129"/>
      <c r="E722" s="130"/>
    </row>
    <row r="723" spans="2:5">
      <c r="B723" s="129"/>
      <c r="C723" s="129"/>
      <c r="D723" s="129"/>
      <c r="E723" s="130"/>
    </row>
    <row r="724" spans="2:5">
      <c r="B724" s="129"/>
      <c r="C724" s="129"/>
      <c r="D724" s="129"/>
      <c r="E724" s="130"/>
    </row>
    <row r="725" spans="2:5">
      <c r="B725" s="129"/>
      <c r="C725" s="129"/>
      <c r="D725" s="129"/>
      <c r="E725" s="130"/>
    </row>
    <row r="726" spans="2:5">
      <c r="B726" s="129"/>
      <c r="C726" s="129"/>
      <c r="D726" s="129"/>
      <c r="E726" s="130"/>
    </row>
    <row r="727" spans="2:5">
      <c r="B727" s="129"/>
      <c r="C727" s="129"/>
      <c r="D727" s="129"/>
      <c r="E727" s="130"/>
    </row>
    <row r="728" spans="2:5">
      <c r="B728" s="129"/>
      <c r="C728" s="129"/>
      <c r="D728" s="129"/>
      <c r="E728" s="130"/>
    </row>
    <row r="729" spans="2:5">
      <c r="B729" s="129"/>
      <c r="C729" s="129"/>
      <c r="D729" s="129"/>
      <c r="E729" s="130"/>
    </row>
    <row r="730" spans="2:5">
      <c r="B730" s="129"/>
      <c r="C730" s="129"/>
      <c r="D730" s="129"/>
      <c r="E730" s="130"/>
    </row>
    <row r="731" spans="2:5">
      <c r="B731" s="129"/>
      <c r="C731" s="129"/>
      <c r="D731" s="129"/>
      <c r="E731" s="130"/>
    </row>
    <row r="732" spans="2:5">
      <c r="B732" s="129"/>
      <c r="C732" s="129"/>
      <c r="D732" s="129"/>
      <c r="E732" s="130"/>
    </row>
    <row r="733" spans="2:5">
      <c r="B733" s="129"/>
      <c r="C733" s="129"/>
      <c r="D733" s="129"/>
      <c r="E733" s="130"/>
    </row>
    <row r="734" spans="2:5">
      <c r="B734" s="129"/>
      <c r="C734" s="129"/>
      <c r="D734" s="129"/>
      <c r="E734" s="130"/>
    </row>
    <row r="735" spans="2:5">
      <c r="B735" s="129"/>
      <c r="C735" s="129"/>
      <c r="D735" s="129"/>
      <c r="E735" s="130"/>
    </row>
    <row r="736" spans="2:5">
      <c r="B736" s="129"/>
      <c r="C736" s="129"/>
      <c r="D736" s="129"/>
      <c r="E736" s="130"/>
    </row>
    <row r="737" spans="2:5">
      <c r="B737" s="129"/>
      <c r="C737" s="129"/>
      <c r="D737" s="129"/>
      <c r="E737" s="130"/>
    </row>
    <row r="738" spans="2:5">
      <c r="B738" s="129"/>
      <c r="C738" s="129"/>
      <c r="D738" s="129"/>
      <c r="E738" s="130"/>
    </row>
    <row r="739" spans="2:5">
      <c r="B739" s="129"/>
      <c r="C739" s="129"/>
      <c r="D739" s="129"/>
      <c r="E739" s="130"/>
    </row>
    <row r="740" spans="2:5">
      <c r="B740" s="129"/>
      <c r="C740" s="129"/>
      <c r="D740" s="129"/>
      <c r="E740" s="130"/>
    </row>
    <row r="741" spans="2:5">
      <c r="B741" s="129"/>
      <c r="C741" s="129"/>
      <c r="D741" s="129"/>
      <c r="E741" s="130"/>
    </row>
    <row r="742" spans="2:5">
      <c r="B742" s="129"/>
      <c r="C742" s="129"/>
      <c r="D742" s="129"/>
      <c r="E742" s="130"/>
    </row>
    <row r="743" spans="2:5">
      <c r="B743" s="129"/>
      <c r="C743" s="129"/>
      <c r="D743" s="129"/>
      <c r="E743" s="130"/>
    </row>
    <row r="744" spans="2:5">
      <c r="B744" s="129"/>
      <c r="C744" s="129"/>
      <c r="D744" s="129"/>
      <c r="E744" s="130"/>
    </row>
    <row r="745" spans="2:5">
      <c r="B745" s="129"/>
      <c r="C745" s="129"/>
      <c r="D745" s="129"/>
      <c r="E745" s="130"/>
    </row>
    <row r="746" spans="2:5">
      <c r="B746" s="129"/>
      <c r="C746" s="129"/>
      <c r="D746" s="129"/>
      <c r="E746" s="130"/>
    </row>
    <row r="747" spans="2:5">
      <c r="B747" s="129"/>
      <c r="C747" s="129"/>
      <c r="D747" s="129"/>
      <c r="E747" s="130"/>
    </row>
    <row r="748" spans="2:5">
      <c r="B748" s="129"/>
      <c r="C748" s="129"/>
      <c r="D748" s="129"/>
      <c r="E748" s="130"/>
    </row>
    <row r="749" spans="2:5">
      <c r="B749" s="129"/>
      <c r="C749" s="129"/>
      <c r="D749" s="129"/>
      <c r="E749" s="130"/>
    </row>
    <row r="750" spans="2:5">
      <c r="B750" s="129"/>
      <c r="C750" s="129"/>
      <c r="D750" s="129"/>
      <c r="E750" s="130"/>
    </row>
    <row r="751" spans="2:5">
      <c r="B751" s="129"/>
      <c r="C751" s="129"/>
      <c r="D751" s="129"/>
      <c r="E751" s="130"/>
    </row>
    <row r="752" spans="2:5">
      <c r="B752" s="129"/>
      <c r="C752" s="129"/>
      <c r="D752" s="129"/>
      <c r="E752" s="130"/>
    </row>
    <row r="753" spans="2:5">
      <c r="B753" s="129"/>
      <c r="C753" s="129"/>
      <c r="D753" s="129"/>
      <c r="E753" s="130"/>
    </row>
    <row r="754" spans="2:5">
      <c r="B754" s="129"/>
      <c r="C754" s="129"/>
      <c r="D754" s="129"/>
      <c r="E754" s="130"/>
    </row>
    <row r="755" spans="2:5">
      <c r="B755" s="129"/>
      <c r="C755" s="129"/>
      <c r="D755" s="129"/>
      <c r="E755" s="130"/>
    </row>
    <row r="756" spans="2:5">
      <c r="B756" s="129"/>
      <c r="C756" s="129"/>
      <c r="D756" s="129"/>
      <c r="E756" s="130"/>
    </row>
    <row r="757" spans="2:5">
      <c r="B757" s="129"/>
      <c r="C757" s="129"/>
      <c r="D757" s="129"/>
      <c r="E757" s="130"/>
    </row>
    <row r="758" spans="2:5">
      <c r="B758" s="129"/>
      <c r="C758" s="129"/>
      <c r="D758" s="129"/>
      <c r="E758" s="130"/>
    </row>
    <row r="759" spans="2:5">
      <c r="B759" s="129"/>
      <c r="C759" s="129"/>
      <c r="D759" s="129"/>
      <c r="E759" s="130"/>
    </row>
    <row r="760" spans="2:5">
      <c r="B760" s="129"/>
      <c r="C760" s="129"/>
      <c r="D760" s="129"/>
      <c r="E760" s="130"/>
    </row>
    <row r="761" spans="2:5">
      <c r="B761" s="129"/>
      <c r="C761" s="129"/>
      <c r="D761" s="129"/>
      <c r="E761" s="130"/>
    </row>
    <row r="762" spans="2:5">
      <c r="B762" s="129"/>
      <c r="C762" s="129"/>
      <c r="D762" s="129"/>
      <c r="E762" s="130"/>
    </row>
    <row r="763" spans="2:5">
      <c r="B763" s="129"/>
      <c r="C763" s="129"/>
      <c r="D763" s="129"/>
      <c r="E763" s="130"/>
    </row>
    <row r="764" spans="2:5">
      <c r="B764" s="129"/>
      <c r="C764" s="129"/>
      <c r="D764" s="129"/>
      <c r="E764" s="130"/>
    </row>
    <row r="765" spans="2:5">
      <c r="B765" s="129"/>
      <c r="C765" s="129"/>
      <c r="D765" s="129"/>
      <c r="E765" s="130"/>
    </row>
    <row r="766" spans="2:5">
      <c r="B766" s="129"/>
      <c r="C766" s="129"/>
      <c r="D766" s="129"/>
      <c r="E766" s="130"/>
    </row>
    <row r="767" spans="2:5">
      <c r="B767" s="129"/>
      <c r="C767" s="129"/>
      <c r="D767" s="129"/>
      <c r="E767" s="130"/>
    </row>
    <row r="768" spans="2:5">
      <c r="B768" s="129"/>
      <c r="C768" s="129"/>
      <c r="D768" s="129"/>
      <c r="E768" s="130"/>
    </row>
    <row r="769" spans="2:5">
      <c r="B769" s="129"/>
      <c r="C769" s="129"/>
      <c r="D769" s="129"/>
      <c r="E769" s="130"/>
    </row>
    <row r="770" spans="2:5">
      <c r="B770" s="129"/>
      <c r="C770" s="129"/>
      <c r="D770" s="129"/>
      <c r="E770" s="130"/>
    </row>
    <row r="771" spans="2:5">
      <c r="B771" s="129"/>
      <c r="C771" s="129"/>
      <c r="D771" s="129"/>
      <c r="E771" s="130"/>
    </row>
    <row r="772" spans="2:5">
      <c r="B772" s="129"/>
      <c r="C772" s="129"/>
      <c r="D772" s="129"/>
      <c r="E772" s="130"/>
    </row>
    <row r="773" spans="2:5">
      <c r="B773" s="129"/>
      <c r="C773" s="129"/>
      <c r="D773" s="129"/>
      <c r="E773" s="130"/>
    </row>
    <row r="774" spans="2:5">
      <c r="B774" s="129"/>
      <c r="C774" s="129"/>
      <c r="D774" s="129"/>
      <c r="E774" s="130"/>
    </row>
    <row r="775" spans="2:5">
      <c r="B775" s="129"/>
      <c r="C775" s="129"/>
      <c r="D775" s="129"/>
      <c r="E775" s="130"/>
    </row>
    <row r="776" spans="2:5">
      <c r="B776" s="129"/>
      <c r="C776" s="129"/>
      <c r="D776" s="129"/>
      <c r="E776" s="130"/>
    </row>
    <row r="777" spans="2:5">
      <c r="B777" s="129"/>
      <c r="C777" s="129"/>
      <c r="D777" s="129"/>
      <c r="E777" s="130"/>
    </row>
    <row r="778" spans="2:5">
      <c r="B778" s="129"/>
      <c r="C778" s="129"/>
      <c r="D778" s="129"/>
      <c r="E778" s="130"/>
    </row>
    <row r="779" spans="2:5">
      <c r="B779" s="129"/>
      <c r="C779" s="129"/>
      <c r="D779" s="129"/>
      <c r="E779" s="130"/>
    </row>
    <row r="780" spans="2:5">
      <c r="B780" s="129"/>
      <c r="C780" s="129"/>
      <c r="D780" s="129"/>
      <c r="E780" s="130"/>
    </row>
    <row r="781" spans="2:5">
      <c r="B781" s="129"/>
      <c r="C781" s="129"/>
      <c r="D781" s="129"/>
      <c r="E781" s="130"/>
    </row>
    <row r="782" spans="2:5">
      <c r="B782" s="129"/>
      <c r="C782" s="129"/>
      <c r="D782" s="129"/>
      <c r="E782" s="130"/>
    </row>
    <row r="783" spans="2:5">
      <c r="B783" s="129"/>
      <c r="C783" s="129"/>
      <c r="D783" s="129"/>
      <c r="E783" s="130"/>
    </row>
    <row r="784" spans="2:5">
      <c r="B784" s="129"/>
      <c r="C784" s="129"/>
      <c r="D784" s="129"/>
      <c r="E784" s="130"/>
    </row>
    <row r="785" spans="2:5">
      <c r="B785" s="129"/>
      <c r="C785" s="129"/>
      <c r="D785" s="129"/>
      <c r="E785" s="130"/>
    </row>
    <row r="786" spans="2:5">
      <c r="B786" s="129"/>
      <c r="C786" s="129"/>
      <c r="D786" s="129"/>
      <c r="E786" s="130"/>
    </row>
    <row r="787" spans="2:5">
      <c r="B787" s="129"/>
      <c r="C787" s="129"/>
      <c r="D787" s="129"/>
      <c r="E787" s="130"/>
    </row>
    <row r="788" spans="2:5">
      <c r="B788" s="129"/>
      <c r="C788" s="129"/>
      <c r="D788" s="129"/>
      <c r="E788" s="130"/>
    </row>
    <row r="789" spans="2:5">
      <c r="B789" s="129"/>
      <c r="C789" s="129"/>
      <c r="D789" s="129"/>
      <c r="E789" s="130"/>
    </row>
    <row r="790" spans="2:5">
      <c r="B790" s="129"/>
      <c r="C790" s="129"/>
      <c r="D790" s="129"/>
      <c r="E790" s="130"/>
    </row>
    <row r="791" spans="2:5">
      <c r="B791" s="129"/>
      <c r="C791" s="129"/>
      <c r="D791" s="129"/>
      <c r="E791" s="130"/>
    </row>
    <row r="792" spans="2:5">
      <c r="B792" s="129"/>
      <c r="C792" s="129"/>
      <c r="D792" s="129"/>
      <c r="E792" s="130"/>
    </row>
    <row r="793" spans="2:5">
      <c r="B793" s="129"/>
      <c r="C793" s="129"/>
      <c r="D793" s="129"/>
      <c r="E793" s="130"/>
    </row>
    <row r="794" spans="2:5">
      <c r="B794" s="129"/>
      <c r="C794" s="129"/>
      <c r="D794" s="129"/>
      <c r="E794" s="130"/>
    </row>
    <row r="795" spans="2:5">
      <c r="B795" s="129"/>
      <c r="C795" s="129"/>
      <c r="D795" s="129"/>
      <c r="E795" s="130"/>
    </row>
    <row r="796" spans="2:5">
      <c r="B796" s="129"/>
      <c r="C796" s="129"/>
      <c r="D796" s="129"/>
      <c r="E796" s="130"/>
    </row>
    <row r="797" spans="2:5">
      <c r="B797" s="129"/>
      <c r="C797" s="129"/>
      <c r="D797" s="129"/>
      <c r="E797" s="130"/>
    </row>
    <row r="798" spans="2:5">
      <c r="B798" s="129"/>
      <c r="C798" s="129"/>
      <c r="D798" s="129"/>
      <c r="E798" s="130"/>
    </row>
    <row r="799" spans="2:5">
      <c r="B799" s="129"/>
      <c r="C799" s="129"/>
      <c r="D799" s="129"/>
      <c r="E799" s="130"/>
    </row>
    <row r="800" spans="2:5">
      <c r="B800" s="129"/>
      <c r="C800" s="129"/>
      <c r="D800" s="129"/>
      <c r="E800" s="130"/>
    </row>
    <row r="801" spans="2:5">
      <c r="B801" s="129"/>
      <c r="C801" s="129"/>
      <c r="D801" s="129"/>
      <c r="E801" s="130"/>
    </row>
    <row r="802" spans="2:5">
      <c r="B802" s="129"/>
      <c r="C802" s="129"/>
      <c r="D802" s="129"/>
      <c r="E802" s="130"/>
    </row>
    <row r="803" spans="2:5">
      <c r="B803" s="129"/>
      <c r="C803" s="129"/>
      <c r="D803" s="129"/>
      <c r="E803" s="130"/>
    </row>
    <row r="804" spans="2:5">
      <c r="B804" s="129"/>
      <c r="C804" s="129"/>
      <c r="D804" s="129"/>
      <c r="E804" s="130"/>
    </row>
    <row r="805" spans="2:5">
      <c r="B805" s="129"/>
      <c r="C805" s="129"/>
      <c r="D805" s="129"/>
      <c r="E805" s="130"/>
    </row>
    <row r="806" spans="2:5">
      <c r="B806" s="129"/>
      <c r="C806" s="129"/>
      <c r="D806" s="129"/>
      <c r="E806" s="130"/>
    </row>
    <row r="807" spans="2:5">
      <c r="B807" s="129"/>
      <c r="C807" s="129"/>
      <c r="D807" s="129"/>
      <c r="E807" s="130"/>
    </row>
    <row r="808" spans="2:5">
      <c r="B808" s="129"/>
      <c r="C808" s="129"/>
      <c r="D808" s="129"/>
      <c r="E808" s="130"/>
    </row>
    <row r="809" spans="2:5">
      <c r="B809" s="129"/>
      <c r="C809" s="129"/>
      <c r="D809" s="129"/>
      <c r="E809" s="130"/>
    </row>
    <row r="810" spans="2:5">
      <c r="B810" s="129"/>
      <c r="C810" s="129"/>
      <c r="D810" s="129"/>
      <c r="E810" s="130"/>
    </row>
    <row r="811" spans="2:5">
      <c r="B811" s="129"/>
      <c r="C811" s="129"/>
      <c r="D811" s="129"/>
      <c r="E811" s="130"/>
    </row>
    <row r="812" spans="2:5">
      <c r="B812" s="129"/>
      <c r="C812" s="129"/>
      <c r="D812" s="129"/>
      <c r="E812" s="130"/>
    </row>
    <row r="813" spans="2:5">
      <c r="B813" s="129"/>
      <c r="C813" s="129"/>
      <c r="D813" s="129"/>
      <c r="E813" s="130"/>
    </row>
    <row r="814" spans="2:5">
      <c r="B814" s="129"/>
      <c r="C814" s="129"/>
      <c r="D814" s="129"/>
      <c r="E814" s="130"/>
    </row>
    <row r="815" spans="2:5">
      <c r="B815" s="129"/>
      <c r="C815" s="129"/>
      <c r="D815" s="129"/>
      <c r="E815" s="130"/>
    </row>
    <row r="816" spans="2:5">
      <c r="B816" s="129"/>
      <c r="C816" s="129"/>
      <c r="D816" s="129"/>
      <c r="E816" s="130"/>
    </row>
    <row r="817" spans="2:5">
      <c r="B817" s="129"/>
      <c r="C817" s="129"/>
      <c r="D817" s="129"/>
      <c r="E817" s="130"/>
    </row>
    <row r="818" spans="2:5">
      <c r="B818" s="129"/>
      <c r="C818" s="129"/>
      <c r="D818" s="129"/>
      <c r="E818" s="130"/>
    </row>
    <row r="819" spans="2:5">
      <c r="B819" s="129"/>
      <c r="C819" s="129"/>
      <c r="D819" s="129"/>
      <c r="E819" s="130"/>
    </row>
    <row r="820" spans="2:5">
      <c r="B820" s="129"/>
      <c r="C820" s="129"/>
      <c r="D820" s="129"/>
      <c r="E820" s="130"/>
    </row>
    <row r="821" spans="2:5">
      <c r="B821" s="129"/>
      <c r="C821" s="129"/>
      <c r="D821" s="129"/>
      <c r="E821" s="130"/>
    </row>
    <row r="822" spans="2:5">
      <c r="B822" s="129"/>
      <c r="C822" s="129"/>
      <c r="D822" s="129"/>
      <c r="E822" s="130"/>
    </row>
    <row r="823" spans="2:5">
      <c r="B823" s="129"/>
      <c r="C823" s="129"/>
      <c r="D823" s="129"/>
      <c r="E823" s="130"/>
    </row>
    <row r="824" spans="2:5">
      <c r="B824" s="129"/>
      <c r="C824" s="129"/>
      <c r="D824" s="129"/>
      <c r="E824" s="130"/>
    </row>
    <row r="825" spans="2:5">
      <c r="B825" s="129"/>
      <c r="C825" s="129"/>
      <c r="D825" s="129"/>
      <c r="E825" s="130"/>
    </row>
    <row r="826" spans="2:5">
      <c r="B826" s="129"/>
      <c r="C826" s="129"/>
      <c r="D826" s="129"/>
      <c r="E826" s="130"/>
    </row>
    <row r="827" spans="2:5">
      <c r="B827" s="129"/>
      <c r="C827" s="129"/>
      <c r="D827" s="129"/>
      <c r="E827" s="130"/>
    </row>
    <row r="828" spans="2:5">
      <c r="B828" s="129"/>
      <c r="C828" s="129"/>
      <c r="D828" s="129"/>
      <c r="E828" s="130"/>
    </row>
    <row r="829" spans="2:5">
      <c r="B829" s="129"/>
      <c r="C829" s="129"/>
      <c r="D829" s="129"/>
      <c r="E829" s="130"/>
    </row>
    <row r="830" spans="2:5">
      <c r="B830" s="129"/>
      <c r="C830" s="129"/>
      <c r="D830" s="129"/>
      <c r="E830" s="130"/>
    </row>
    <row r="831" spans="2:5">
      <c r="B831" s="129"/>
      <c r="C831" s="129"/>
      <c r="D831" s="129"/>
      <c r="E831" s="130"/>
    </row>
    <row r="832" spans="2:5">
      <c r="B832" s="129"/>
      <c r="C832" s="129"/>
      <c r="D832" s="129"/>
      <c r="E832" s="130"/>
    </row>
    <row r="833" spans="2:5">
      <c r="B833" s="129"/>
      <c r="C833" s="129"/>
      <c r="D833" s="129"/>
      <c r="E833" s="130"/>
    </row>
    <row r="834" spans="2:5">
      <c r="B834" s="129"/>
      <c r="C834" s="129"/>
      <c r="D834" s="129"/>
      <c r="E834" s="130"/>
    </row>
    <row r="835" spans="2:5">
      <c r="B835" s="129"/>
      <c r="C835" s="129"/>
      <c r="D835" s="129"/>
      <c r="E835" s="130"/>
    </row>
    <row r="836" spans="2:5">
      <c r="B836" s="129"/>
      <c r="C836" s="129"/>
      <c r="D836" s="129"/>
      <c r="E836" s="130"/>
    </row>
    <row r="837" spans="2:5">
      <c r="B837" s="129"/>
      <c r="C837" s="129"/>
      <c r="D837" s="129"/>
      <c r="E837" s="130"/>
    </row>
    <row r="838" spans="2:5">
      <c r="B838" s="129"/>
      <c r="C838" s="129"/>
      <c r="D838" s="129"/>
      <c r="E838" s="130"/>
    </row>
    <row r="839" spans="2:5">
      <c r="B839" s="129"/>
      <c r="C839" s="129"/>
      <c r="D839" s="129"/>
      <c r="E839" s="130"/>
    </row>
    <row r="840" spans="2:5">
      <c r="B840" s="129"/>
      <c r="C840" s="129"/>
      <c r="D840" s="129"/>
      <c r="E840" s="130"/>
    </row>
    <row r="841" spans="2:5">
      <c r="B841" s="129"/>
      <c r="C841" s="129"/>
      <c r="D841" s="129"/>
      <c r="E841" s="130"/>
    </row>
    <row r="842" spans="2:5">
      <c r="B842" s="129"/>
      <c r="C842" s="129"/>
      <c r="D842" s="129"/>
      <c r="E842" s="130"/>
    </row>
    <row r="843" spans="2:5">
      <c r="B843" s="129"/>
      <c r="C843" s="129"/>
      <c r="D843" s="129"/>
      <c r="E843" s="130"/>
    </row>
    <row r="844" spans="2:5">
      <c r="B844" s="129"/>
      <c r="C844" s="129"/>
      <c r="D844" s="129"/>
      <c r="E844" s="130"/>
    </row>
    <row r="845" spans="2:5">
      <c r="B845" s="129"/>
      <c r="C845" s="129"/>
      <c r="D845" s="129"/>
      <c r="E845" s="130"/>
    </row>
    <row r="846" spans="2:5">
      <c r="B846" s="129"/>
      <c r="C846" s="129"/>
      <c r="D846" s="129"/>
      <c r="E846" s="130"/>
    </row>
    <row r="847" spans="2:5">
      <c r="B847" s="129"/>
      <c r="C847" s="129"/>
      <c r="D847" s="129"/>
      <c r="E847" s="130"/>
    </row>
    <row r="848" spans="2:5">
      <c r="B848" s="129"/>
      <c r="C848" s="129"/>
      <c r="D848" s="129"/>
      <c r="E848" s="130"/>
    </row>
    <row r="849" spans="2:5">
      <c r="B849" s="129"/>
      <c r="C849" s="129"/>
      <c r="D849" s="129"/>
      <c r="E849" s="130"/>
    </row>
    <row r="850" spans="2:5">
      <c r="B850" s="129"/>
      <c r="C850" s="129"/>
      <c r="D850" s="129"/>
      <c r="E850" s="130"/>
    </row>
    <row r="851" spans="2:5">
      <c r="B851" s="129"/>
      <c r="C851" s="129"/>
      <c r="D851" s="129"/>
      <c r="E851" s="130"/>
    </row>
    <row r="852" spans="2:5">
      <c r="B852" s="129"/>
      <c r="C852" s="129"/>
      <c r="D852" s="129"/>
      <c r="E852" s="130"/>
    </row>
    <row r="853" spans="2:5">
      <c r="B853" s="129"/>
      <c r="C853" s="129"/>
      <c r="D853" s="129"/>
      <c r="E853" s="130"/>
    </row>
    <row r="854" spans="2:5">
      <c r="B854" s="129"/>
      <c r="C854" s="129"/>
      <c r="D854" s="129"/>
      <c r="E854" s="130"/>
    </row>
    <row r="855" spans="2:5">
      <c r="B855" s="129"/>
      <c r="C855" s="129"/>
      <c r="D855" s="129"/>
      <c r="E855" s="130"/>
    </row>
    <row r="856" spans="2:5">
      <c r="B856" s="129"/>
      <c r="C856" s="129"/>
      <c r="D856" s="129"/>
      <c r="E856" s="130"/>
    </row>
    <row r="857" spans="2:5">
      <c r="B857" s="129"/>
      <c r="C857" s="129"/>
      <c r="D857" s="129"/>
      <c r="E857" s="130"/>
    </row>
    <row r="858" spans="2:5">
      <c r="B858" s="129"/>
      <c r="C858" s="129"/>
      <c r="D858" s="129"/>
      <c r="E858" s="130"/>
    </row>
    <row r="859" spans="2:5">
      <c r="B859" s="129"/>
      <c r="C859" s="129"/>
      <c r="D859" s="129"/>
      <c r="E859" s="130"/>
    </row>
    <row r="860" spans="2:5">
      <c r="B860" s="129"/>
      <c r="C860" s="129"/>
      <c r="D860" s="129"/>
      <c r="E860" s="130"/>
    </row>
    <row r="861" spans="2:5">
      <c r="B861" s="129"/>
      <c r="C861" s="129"/>
      <c r="D861" s="129"/>
      <c r="E861" s="130"/>
    </row>
    <row r="862" spans="2:5">
      <c r="B862" s="129"/>
      <c r="C862" s="129"/>
      <c r="D862" s="129"/>
      <c r="E862" s="130"/>
    </row>
    <row r="863" spans="2:5">
      <c r="B863" s="129"/>
      <c r="C863" s="129"/>
      <c r="D863" s="129"/>
      <c r="E863" s="130"/>
    </row>
    <row r="864" spans="2:5">
      <c r="B864" s="129"/>
      <c r="C864" s="129"/>
      <c r="D864" s="129"/>
      <c r="E864" s="130"/>
    </row>
    <row r="865" spans="2:5">
      <c r="B865" s="129"/>
      <c r="C865" s="129"/>
      <c r="D865" s="129"/>
      <c r="E865" s="130"/>
    </row>
    <row r="866" spans="2:5">
      <c r="B866" s="129"/>
      <c r="C866" s="129"/>
      <c r="D866" s="129"/>
      <c r="E866" s="130"/>
    </row>
    <row r="867" spans="2:5">
      <c r="B867" s="129"/>
      <c r="C867" s="129"/>
      <c r="D867" s="129"/>
      <c r="E867" s="130"/>
    </row>
    <row r="868" spans="2:5">
      <c r="B868" s="129"/>
      <c r="C868" s="129"/>
      <c r="D868" s="129"/>
      <c r="E868" s="130"/>
    </row>
    <row r="869" spans="2:5">
      <c r="B869" s="129"/>
      <c r="C869" s="129"/>
      <c r="D869" s="129"/>
      <c r="E869" s="130"/>
    </row>
    <row r="870" spans="2:5">
      <c r="B870" s="129"/>
      <c r="C870" s="129"/>
      <c r="D870" s="129"/>
      <c r="E870" s="130"/>
    </row>
    <row r="871" spans="2:5">
      <c r="B871" s="129"/>
      <c r="C871" s="129"/>
      <c r="D871" s="129"/>
      <c r="E871" s="130"/>
    </row>
    <row r="872" spans="2:5">
      <c r="B872" s="129"/>
      <c r="C872" s="129"/>
      <c r="D872" s="129"/>
      <c r="E872" s="130"/>
    </row>
    <row r="873" spans="2:5">
      <c r="B873" s="129"/>
      <c r="C873" s="129"/>
      <c r="D873" s="129"/>
      <c r="E873" s="130"/>
    </row>
    <row r="874" spans="2:5">
      <c r="B874" s="129"/>
      <c r="C874" s="129"/>
      <c r="D874" s="129"/>
      <c r="E874" s="130"/>
    </row>
    <row r="875" spans="2:5">
      <c r="B875" s="129"/>
      <c r="C875" s="129"/>
      <c r="D875" s="129"/>
      <c r="E875" s="130"/>
    </row>
    <row r="876" spans="2:5">
      <c r="B876" s="129"/>
      <c r="C876" s="129"/>
      <c r="D876" s="129"/>
      <c r="E876" s="130"/>
    </row>
    <row r="877" spans="2:5">
      <c r="B877" s="129"/>
      <c r="C877" s="129"/>
      <c r="D877" s="129"/>
      <c r="E877" s="130"/>
    </row>
    <row r="878" spans="2:5">
      <c r="B878" s="129"/>
      <c r="C878" s="129"/>
      <c r="D878" s="129"/>
      <c r="E878" s="130"/>
    </row>
    <row r="879" spans="2:5">
      <c r="B879" s="129"/>
      <c r="C879" s="129"/>
      <c r="D879" s="129"/>
      <c r="E879" s="130"/>
    </row>
    <row r="880" spans="2:5">
      <c r="B880" s="129"/>
      <c r="C880" s="129"/>
      <c r="D880" s="129"/>
      <c r="E880" s="130"/>
    </row>
    <row r="881" spans="2:5">
      <c r="B881" s="129"/>
      <c r="C881" s="129"/>
      <c r="D881" s="129"/>
      <c r="E881" s="130"/>
    </row>
    <row r="882" spans="2:5">
      <c r="B882" s="129"/>
      <c r="C882" s="129"/>
      <c r="D882" s="129"/>
      <c r="E882" s="130"/>
    </row>
    <row r="883" spans="2:5">
      <c r="B883" s="129"/>
      <c r="C883" s="129"/>
      <c r="D883" s="129"/>
      <c r="E883" s="130"/>
    </row>
    <row r="884" spans="2:5">
      <c r="B884" s="129"/>
      <c r="C884" s="129"/>
      <c r="D884" s="129"/>
      <c r="E884" s="130"/>
    </row>
    <row r="885" spans="2:5">
      <c r="B885" s="129"/>
      <c r="C885" s="129"/>
      <c r="D885" s="129"/>
      <c r="E885" s="130"/>
    </row>
    <row r="886" spans="2:5">
      <c r="B886" s="129"/>
      <c r="C886" s="129"/>
      <c r="D886" s="129"/>
      <c r="E886" s="130"/>
    </row>
    <row r="887" spans="2:5">
      <c r="B887" s="129"/>
      <c r="C887" s="129"/>
      <c r="D887" s="129"/>
      <c r="E887" s="130"/>
    </row>
    <row r="888" spans="2:5">
      <c r="B888" s="129"/>
      <c r="C888" s="129"/>
      <c r="D888" s="129"/>
      <c r="E888" s="130"/>
    </row>
    <row r="889" spans="2:5">
      <c r="B889" s="129"/>
      <c r="C889" s="129"/>
      <c r="D889" s="129"/>
      <c r="E889" s="130"/>
    </row>
    <row r="890" spans="2:5">
      <c r="B890" s="129"/>
      <c r="C890" s="129"/>
      <c r="D890" s="129"/>
      <c r="E890" s="130"/>
    </row>
    <row r="891" spans="2:5">
      <c r="B891" s="129"/>
      <c r="C891" s="129"/>
      <c r="D891" s="129"/>
      <c r="E891" s="130"/>
    </row>
    <row r="892" spans="2:5">
      <c r="B892" s="129"/>
      <c r="C892" s="129"/>
      <c r="D892" s="129"/>
      <c r="E892" s="130"/>
    </row>
    <row r="893" spans="2:5">
      <c r="B893" s="129"/>
      <c r="C893" s="129"/>
      <c r="D893" s="129"/>
      <c r="E893" s="130"/>
    </row>
    <row r="894" spans="2:5">
      <c r="B894" s="129"/>
      <c r="C894" s="129"/>
      <c r="D894" s="129"/>
      <c r="E894" s="130"/>
    </row>
    <row r="895" spans="2:5">
      <c r="B895" s="129"/>
      <c r="C895" s="129"/>
      <c r="D895" s="129"/>
      <c r="E895" s="130"/>
    </row>
    <row r="896" spans="2:5">
      <c r="B896" s="129"/>
      <c r="C896" s="129"/>
      <c r="D896" s="129"/>
      <c r="E896" s="130"/>
    </row>
    <row r="897" spans="2:5">
      <c r="B897" s="129"/>
      <c r="C897" s="129"/>
      <c r="D897" s="129"/>
      <c r="E897" s="130"/>
    </row>
    <row r="898" spans="2:5">
      <c r="B898" s="129"/>
      <c r="C898" s="129"/>
      <c r="D898" s="129"/>
      <c r="E898" s="130"/>
    </row>
    <row r="899" spans="2:5">
      <c r="B899" s="129"/>
      <c r="C899" s="129"/>
      <c r="D899" s="129"/>
      <c r="E899" s="130"/>
    </row>
    <row r="900" spans="2:5">
      <c r="B900" s="129"/>
      <c r="C900" s="129"/>
      <c r="D900" s="129"/>
      <c r="E900" s="130"/>
    </row>
    <row r="901" spans="2:5">
      <c r="B901" s="129"/>
      <c r="C901" s="129"/>
      <c r="D901" s="129"/>
      <c r="E901" s="130"/>
    </row>
    <row r="902" spans="2:5">
      <c r="B902" s="129"/>
      <c r="C902" s="129"/>
      <c r="D902" s="129"/>
      <c r="E902" s="130"/>
    </row>
    <row r="903" spans="2:5">
      <c r="B903" s="129"/>
      <c r="C903" s="129"/>
      <c r="D903" s="129"/>
      <c r="E903" s="130"/>
    </row>
    <row r="904" spans="2:5">
      <c r="B904" s="129"/>
      <c r="C904" s="129"/>
      <c r="D904" s="129"/>
      <c r="E904" s="130"/>
    </row>
    <row r="905" spans="2:5">
      <c r="B905" s="129"/>
      <c r="C905" s="129"/>
      <c r="D905" s="129"/>
      <c r="E905" s="130"/>
    </row>
    <row r="906" spans="2:5">
      <c r="B906" s="129"/>
      <c r="C906" s="129"/>
      <c r="D906" s="129"/>
      <c r="E906" s="130"/>
    </row>
    <row r="907" spans="2:5">
      <c r="B907" s="129"/>
      <c r="C907" s="129"/>
      <c r="D907" s="129"/>
      <c r="E907" s="130"/>
    </row>
    <row r="908" spans="2:5">
      <c r="B908" s="129"/>
      <c r="C908" s="129"/>
      <c r="D908" s="129"/>
      <c r="E908" s="130"/>
    </row>
    <row r="909" spans="2:5">
      <c r="B909" s="129"/>
      <c r="C909" s="129"/>
      <c r="D909" s="129"/>
      <c r="E909" s="130"/>
    </row>
    <row r="910" spans="2:5">
      <c r="B910" s="129"/>
      <c r="C910" s="129"/>
      <c r="D910" s="129"/>
      <c r="E910" s="130"/>
    </row>
    <row r="911" spans="2:5">
      <c r="B911" s="129"/>
      <c r="C911" s="129"/>
      <c r="D911" s="129"/>
      <c r="E911" s="130"/>
    </row>
    <row r="912" spans="2:5">
      <c r="B912" s="129"/>
      <c r="C912" s="129"/>
      <c r="D912" s="129"/>
      <c r="E912" s="130"/>
    </row>
    <row r="913" spans="2:5">
      <c r="B913" s="129"/>
      <c r="C913" s="129"/>
      <c r="D913" s="129"/>
      <c r="E913" s="130"/>
    </row>
    <row r="914" spans="2:5">
      <c r="B914" s="129"/>
      <c r="C914" s="129"/>
      <c r="D914" s="129"/>
      <c r="E914" s="130"/>
    </row>
    <row r="915" spans="2:5">
      <c r="B915" s="129"/>
      <c r="C915" s="129"/>
      <c r="D915" s="129"/>
      <c r="E915" s="130"/>
    </row>
    <row r="916" spans="2:5">
      <c r="B916" s="129"/>
      <c r="C916" s="129"/>
      <c r="D916" s="129"/>
      <c r="E916" s="130"/>
    </row>
    <row r="917" spans="2:5">
      <c r="B917" s="129"/>
      <c r="C917" s="129"/>
      <c r="D917" s="129"/>
      <c r="E917" s="130"/>
    </row>
    <row r="918" spans="2:5">
      <c r="B918" s="129"/>
      <c r="C918" s="129"/>
      <c r="D918" s="129"/>
      <c r="E918" s="130"/>
    </row>
    <row r="919" spans="2:5">
      <c r="B919" s="129"/>
      <c r="C919" s="129"/>
      <c r="D919" s="129"/>
      <c r="E919" s="130"/>
    </row>
    <row r="920" spans="2:5">
      <c r="B920" s="129"/>
      <c r="C920" s="129"/>
      <c r="D920" s="129"/>
      <c r="E920" s="130"/>
    </row>
    <row r="921" spans="2:5">
      <c r="B921" s="129"/>
      <c r="C921" s="129"/>
      <c r="D921" s="129"/>
      <c r="E921" s="130"/>
    </row>
    <row r="922" spans="2:5">
      <c r="B922" s="129"/>
      <c r="C922" s="129"/>
      <c r="D922" s="129"/>
      <c r="E922" s="130"/>
    </row>
    <row r="923" spans="2:5">
      <c r="B923" s="129"/>
      <c r="C923" s="129"/>
      <c r="D923" s="129"/>
      <c r="E923" s="130"/>
    </row>
    <row r="924" spans="2:5">
      <c r="B924" s="129"/>
      <c r="C924" s="129"/>
      <c r="D924" s="129"/>
      <c r="E924" s="130"/>
    </row>
    <row r="925" spans="2:5">
      <c r="B925" s="129"/>
      <c r="C925" s="129"/>
      <c r="D925" s="129"/>
      <c r="E925" s="130"/>
    </row>
    <row r="926" spans="2:5">
      <c r="B926" s="129"/>
      <c r="C926" s="129"/>
      <c r="D926" s="129"/>
      <c r="E926" s="130"/>
    </row>
    <row r="927" spans="2:5">
      <c r="B927" s="129"/>
      <c r="C927" s="129"/>
      <c r="D927" s="129"/>
      <c r="E927" s="130"/>
    </row>
    <row r="928" spans="2:5">
      <c r="B928" s="129"/>
      <c r="C928" s="129"/>
      <c r="D928" s="129"/>
      <c r="E928" s="130"/>
    </row>
    <row r="929" spans="2:5">
      <c r="B929" s="129"/>
      <c r="C929" s="129"/>
      <c r="D929" s="129"/>
      <c r="E929" s="130"/>
    </row>
    <row r="930" spans="2:5">
      <c r="B930" s="129"/>
      <c r="C930" s="129"/>
      <c r="D930" s="129"/>
      <c r="E930" s="130"/>
    </row>
    <row r="931" spans="2:5">
      <c r="B931" s="129"/>
      <c r="C931" s="129"/>
      <c r="D931" s="129"/>
      <c r="E931" s="130"/>
    </row>
    <row r="932" spans="2:5">
      <c r="B932" s="129"/>
      <c r="C932" s="129"/>
      <c r="D932" s="129"/>
      <c r="E932" s="130"/>
    </row>
    <row r="933" spans="2:5">
      <c r="B933" s="129"/>
      <c r="C933" s="129"/>
      <c r="D933" s="129"/>
      <c r="E933" s="130"/>
    </row>
    <row r="934" spans="2:5">
      <c r="B934" s="129"/>
      <c r="C934" s="129"/>
      <c r="D934" s="129"/>
      <c r="E934" s="130"/>
    </row>
    <row r="935" spans="2:5">
      <c r="B935" s="129"/>
      <c r="C935" s="129"/>
      <c r="D935" s="129"/>
      <c r="E935" s="130"/>
    </row>
    <row r="936" spans="2:5">
      <c r="B936" s="129"/>
      <c r="C936" s="129"/>
      <c r="D936" s="129"/>
      <c r="E936" s="130"/>
    </row>
    <row r="937" spans="2:5">
      <c r="B937" s="129"/>
      <c r="C937" s="129"/>
      <c r="D937" s="129"/>
      <c r="E937" s="130"/>
    </row>
    <row r="938" spans="2:5">
      <c r="B938" s="129"/>
      <c r="C938" s="129"/>
      <c r="D938" s="129"/>
      <c r="E938" s="130"/>
    </row>
    <row r="939" spans="2:5">
      <c r="B939" s="129"/>
      <c r="C939" s="129"/>
      <c r="D939" s="129"/>
      <c r="E939" s="130"/>
    </row>
    <row r="940" spans="2:5">
      <c r="B940" s="129"/>
      <c r="C940" s="129"/>
      <c r="D940" s="129"/>
      <c r="E940" s="130"/>
    </row>
    <row r="941" spans="2:5">
      <c r="B941" s="129"/>
      <c r="C941" s="129"/>
      <c r="D941" s="129"/>
      <c r="E941" s="130"/>
    </row>
    <row r="942" spans="2:5">
      <c r="B942" s="129"/>
      <c r="C942" s="129"/>
      <c r="D942" s="129"/>
      <c r="E942" s="130"/>
    </row>
    <row r="943" spans="2:5">
      <c r="B943" s="129"/>
      <c r="C943" s="129"/>
      <c r="D943" s="129"/>
      <c r="E943" s="130"/>
    </row>
    <row r="944" spans="2:5">
      <c r="B944" s="129"/>
      <c r="C944" s="129"/>
      <c r="D944" s="129"/>
      <c r="E944" s="130"/>
    </row>
    <row r="945" spans="2:5">
      <c r="B945" s="129"/>
      <c r="C945" s="129"/>
      <c r="D945" s="129"/>
      <c r="E945" s="130"/>
    </row>
    <row r="946" spans="2:5">
      <c r="B946" s="129"/>
      <c r="C946" s="129"/>
      <c r="D946" s="129"/>
      <c r="E946" s="130"/>
    </row>
    <row r="947" spans="2:5">
      <c r="B947" s="129"/>
      <c r="C947" s="129"/>
      <c r="D947" s="129"/>
      <c r="E947" s="130"/>
    </row>
    <row r="948" spans="2:5">
      <c r="B948" s="129"/>
      <c r="C948" s="129"/>
      <c r="D948" s="129"/>
      <c r="E948" s="130"/>
    </row>
    <row r="949" spans="2:5">
      <c r="B949" s="129"/>
      <c r="C949" s="129"/>
      <c r="D949" s="129"/>
      <c r="E949" s="130"/>
    </row>
    <row r="950" spans="2:5">
      <c r="B950" s="129"/>
      <c r="C950" s="129"/>
      <c r="D950" s="129"/>
      <c r="E950" s="130"/>
    </row>
    <row r="951" spans="2:5">
      <c r="B951" s="129"/>
      <c r="C951" s="129"/>
      <c r="D951" s="129"/>
      <c r="E951" s="130"/>
    </row>
    <row r="952" spans="2:5">
      <c r="B952" s="129"/>
      <c r="C952" s="129"/>
      <c r="D952" s="129"/>
      <c r="E952" s="130"/>
    </row>
    <row r="953" spans="2:5">
      <c r="B953" s="129"/>
      <c r="C953" s="129"/>
      <c r="D953" s="129"/>
      <c r="E953" s="130"/>
    </row>
    <row r="954" spans="2:5">
      <c r="B954" s="129"/>
      <c r="C954" s="129"/>
      <c r="D954" s="129"/>
      <c r="E954" s="130"/>
    </row>
    <row r="955" spans="2:5">
      <c r="B955" s="129"/>
      <c r="C955" s="129"/>
      <c r="D955" s="129"/>
      <c r="E955" s="130"/>
    </row>
    <row r="956" spans="2:5">
      <c r="B956" s="129"/>
      <c r="C956" s="129"/>
      <c r="D956" s="129"/>
      <c r="E956" s="130"/>
    </row>
    <row r="957" spans="2:5">
      <c r="B957" s="129"/>
      <c r="C957" s="129"/>
      <c r="D957" s="129"/>
      <c r="E957" s="130"/>
    </row>
    <row r="958" spans="2:5">
      <c r="B958" s="129"/>
      <c r="C958" s="129"/>
      <c r="D958" s="129"/>
      <c r="E958" s="130"/>
    </row>
    <row r="959" spans="2:5">
      <c r="B959" s="129"/>
      <c r="C959" s="129"/>
      <c r="D959" s="129"/>
      <c r="E959" s="130"/>
    </row>
    <row r="960" spans="2:5">
      <c r="B960" s="129"/>
      <c r="C960" s="129"/>
      <c r="D960" s="129"/>
      <c r="E960" s="130"/>
    </row>
    <row r="961" spans="2:5">
      <c r="B961" s="129"/>
      <c r="C961" s="129"/>
      <c r="D961" s="129"/>
      <c r="E961" s="130"/>
    </row>
    <row r="962" spans="2:5">
      <c r="B962" s="129"/>
      <c r="C962" s="129"/>
      <c r="D962" s="129"/>
      <c r="E962" s="130"/>
    </row>
    <row r="963" spans="2:5">
      <c r="B963" s="129"/>
      <c r="C963" s="129"/>
      <c r="D963" s="129"/>
      <c r="E963" s="130"/>
    </row>
    <row r="964" spans="2:5">
      <c r="B964" s="129"/>
      <c r="C964" s="129"/>
      <c r="D964" s="129"/>
      <c r="E964" s="130"/>
    </row>
    <row r="965" spans="2:5">
      <c r="B965" s="129"/>
      <c r="C965" s="129"/>
      <c r="D965" s="129"/>
      <c r="E965" s="130"/>
    </row>
    <row r="966" spans="2:5">
      <c r="B966" s="129"/>
      <c r="C966" s="129"/>
      <c r="D966" s="129"/>
      <c r="E966" s="130"/>
    </row>
    <row r="967" spans="2:5">
      <c r="B967" s="129"/>
      <c r="C967" s="129"/>
      <c r="D967" s="129"/>
      <c r="E967" s="130"/>
    </row>
    <row r="968" spans="2:5">
      <c r="B968" s="129"/>
      <c r="C968" s="129"/>
      <c r="D968" s="129"/>
      <c r="E968" s="130"/>
    </row>
    <row r="969" spans="2:5">
      <c r="B969" s="129"/>
      <c r="C969" s="129"/>
      <c r="D969" s="129"/>
      <c r="E969" s="130"/>
    </row>
    <row r="970" spans="2:5">
      <c r="B970" s="129"/>
      <c r="C970" s="129"/>
      <c r="D970" s="129"/>
      <c r="E970" s="130"/>
    </row>
    <row r="971" spans="2:5">
      <c r="B971" s="129"/>
      <c r="C971" s="129"/>
      <c r="D971" s="129"/>
      <c r="E971" s="130"/>
    </row>
    <row r="972" spans="2:5">
      <c r="B972" s="129"/>
      <c r="C972" s="129"/>
      <c r="D972" s="129"/>
      <c r="E972" s="130"/>
    </row>
    <row r="973" spans="2:5">
      <c r="B973" s="129"/>
      <c r="C973" s="129"/>
      <c r="D973" s="129"/>
      <c r="E973" s="130"/>
    </row>
    <row r="974" spans="2:5">
      <c r="B974" s="129"/>
      <c r="C974" s="129"/>
      <c r="D974" s="129"/>
      <c r="E974" s="130"/>
    </row>
    <row r="975" spans="2:5">
      <c r="B975" s="129"/>
      <c r="C975" s="129"/>
      <c r="D975" s="129"/>
      <c r="E975" s="130"/>
    </row>
    <row r="976" spans="2:5">
      <c r="B976" s="129"/>
      <c r="C976" s="129"/>
      <c r="D976" s="129"/>
      <c r="E976" s="130"/>
    </row>
    <row r="977" spans="2:5">
      <c r="B977" s="129"/>
      <c r="C977" s="129"/>
      <c r="D977" s="129"/>
      <c r="E977" s="130"/>
    </row>
    <row r="978" spans="2:5">
      <c r="B978" s="129"/>
      <c r="C978" s="129"/>
      <c r="D978" s="129"/>
      <c r="E978" s="130"/>
    </row>
    <row r="979" spans="2:5">
      <c r="B979" s="129"/>
      <c r="C979" s="129"/>
      <c r="D979" s="129"/>
      <c r="E979" s="130"/>
    </row>
  </sheetData>
  <autoFilter ref="B3:E3" xr:uid="{00000000-0009-0000-0000-000003000000}"/>
  <mergeCells count="1">
    <mergeCell ref="B2:E2"/>
  </mergeCells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984"/>
  <sheetViews>
    <sheetView zoomScale="140" zoomScaleNormal="140" workbookViewId="0">
      <selection activeCell="A7" sqref="A7:XFD7"/>
    </sheetView>
  </sheetViews>
  <sheetFormatPr defaultColWidth="9" defaultRowHeight="15"/>
  <cols>
    <col min="1" max="1" width="9" style="131"/>
    <col min="2" max="2" width="19" style="131" customWidth="1"/>
    <col min="3" max="3" width="35.625" style="139" customWidth="1"/>
    <col min="4" max="4" width="9.375" style="151" customWidth="1"/>
    <col min="5" max="16384" width="9" style="131"/>
  </cols>
  <sheetData>
    <row r="1" spans="2:6">
      <c r="B1" s="144"/>
      <c r="C1" s="144"/>
      <c r="D1" s="152"/>
    </row>
    <row r="2" spans="2:6">
      <c r="B2" s="443" t="s">
        <v>377</v>
      </c>
      <c r="C2" s="442"/>
      <c r="D2" s="442"/>
    </row>
    <row r="3" spans="2:6">
      <c r="B3" s="153" t="s">
        <v>341</v>
      </c>
      <c r="C3" s="154" t="s">
        <v>342</v>
      </c>
      <c r="D3" s="155" t="s">
        <v>13</v>
      </c>
    </row>
    <row r="4" spans="2:6" ht="75">
      <c r="B4" s="144" t="s">
        <v>378</v>
      </c>
      <c r="C4" s="156" t="s">
        <v>379</v>
      </c>
      <c r="D4" s="136">
        <v>0.85</v>
      </c>
    </row>
    <row r="5" spans="2:6" ht="30">
      <c r="B5" s="144" t="s">
        <v>380</v>
      </c>
      <c r="C5" s="144" t="s">
        <v>381</v>
      </c>
      <c r="D5" s="136">
        <v>0.11</v>
      </c>
    </row>
    <row r="6" spans="2:6" ht="30">
      <c r="B6" s="144" t="s">
        <v>382</v>
      </c>
      <c r="C6" s="144" t="s">
        <v>383</v>
      </c>
      <c r="D6" s="136">
        <v>0.13</v>
      </c>
    </row>
    <row r="7" spans="2:6" ht="30">
      <c r="B7" s="135" t="s">
        <v>348</v>
      </c>
      <c r="C7" s="135" t="s">
        <v>283</v>
      </c>
      <c r="D7" s="137" t="s">
        <v>349</v>
      </c>
      <c r="F7" s="139" t="s">
        <v>351</v>
      </c>
    </row>
    <row r="8" spans="2:6" ht="75">
      <c r="B8" s="147" t="s">
        <v>384</v>
      </c>
      <c r="C8" s="157" t="s">
        <v>357</v>
      </c>
      <c r="D8" s="158">
        <v>0.5</v>
      </c>
    </row>
    <row r="9" spans="2:6" ht="60">
      <c r="B9" s="157" t="s">
        <v>385</v>
      </c>
      <c r="C9" s="157" t="s">
        <v>386</v>
      </c>
      <c r="D9" s="159">
        <v>1</v>
      </c>
    </row>
    <row r="10" spans="2:6" ht="60">
      <c r="B10" s="157" t="s">
        <v>359</v>
      </c>
      <c r="C10" s="157" t="s">
        <v>387</v>
      </c>
      <c r="D10" s="159">
        <v>0.83</v>
      </c>
    </row>
    <row r="11" spans="2:6" ht="90">
      <c r="B11" s="157" t="s">
        <v>361</v>
      </c>
      <c r="C11" s="157" t="s">
        <v>362</v>
      </c>
      <c r="D11" s="159">
        <v>0.82</v>
      </c>
    </row>
    <row r="12" spans="2:6" ht="30">
      <c r="B12" s="145" t="s">
        <v>363</v>
      </c>
      <c r="C12" s="145" t="s">
        <v>364</v>
      </c>
      <c r="D12" s="146">
        <v>0.73</v>
      </c>
    </row>
    <row r="13" spans="2:6" ht="60">
      <c r="B13" s="145" t="s">
        <v>365</v>
      </c>
      <c r="C13" s="145" t="s">
        <v>366</v>
      </c>
      <c r="D13" s="150" t="s">
        <v>158</v>
      </c>
    </row>
    <row r="14" spans="2:6" ht="105">
      <c r="B14" s="145" t="s">
        <v>388</v>
      </c>
      <c r="C14" s="145" t="s">
        <v>389</v>
      </c>
      <c r="D14" s="146">
        <v>0.8</v>
      </c>
    </row>
    <row r="15" spans="2:6" ht="45">
      <c r="B15" s="145" t="s">
        <v>367</v>
      </c>
      <c r="C15" s="145" t="s">
        <v>368</v>
      </c>
      <c r="D15" s="146">
        <v>0.75</v>
      </c>
    </row>
    <row r="16" spans="2:6" ht="30">
      <c r="B16" s="145" t="s">
        <v>369</v>
      </c>
      <c r="C16" s="145" t="s">
        <v>370</v>
      </c>
      <c r="D16" s="146">
        <v>0.9</v>
      </c>
    </row>
    <row r="17" spans="2:4" ht="45">
      <c r="B17" s="157" t="s">
        <v>390</v>
      </c>
      <c r="C17" s="157" t="s">
        <v>391</v>
      </c>
      <c r="D17" s="160"/>
    </row>
    <row r="18" spans="2:4" ht="30">
      <c r="B18" s="157" t="s">
        <v>392</v>
      </c>
      <c r="C18" s="157" t="s">
        <v>393</v>
      </c>
      <c r="D18" s="159">
        <v>0.9</v>
      </c>
    </row>
    <row r="19" spans="2:4" ht="60">
      <c r="B19" s="145" t="s">
        <v>371</v>
      </c>
      <c r="C19" s="145" t="s">
        <v>372</v>
      </c>
      <c r="D19" s="150" t="s">
        <v>19</v>
      </c>
    </row>
    <row r="20" spans="2:4" ht="60">
      <c r="B20" s="145" t="s">
        <v>356</v>
      </c>
      <c r="C20" s="145" t="s">
        <v>357</v>
      </c>
      <c r="D20" s="146">
        <v>0.5</v>
      </c>
    </row>
    <row r="21" spans="2:4" ht="45">
      <c r="B21" s="147" t="s">
        <v>373</v>
      </c>
      <c r="C21" s="157" t="e">
        <f>VLOOKUP(B21,#REF!,2,0)</f>
        <v>#REF!</v>
      </c>
      <c r="D21" s="159" t="e">
        <f>VLOOKUP(B21,#REF!,3,0)</f>
        <v>#REF!</v>
      </c>
    </row>
    <row r="22" spans="2:4">
      <c r="B22" s="144"/>
      <c r="C22" s="144"/>
      <c r="D22" s="152"/>
    </row>
    <row r="23" spans="2:4">
      <c r="B23" s="144"/>
      <c r="C23" s="144"/>
      <c r="D23" s="152"/>
    </row>
    <row r="24" spans="2:4">
      <c r="B24" s="144"/>
      <c r="C24" s="144"/>
      <c r="D24" s="152"/>
    </row>
    <row r="25" spans="2:4">
      <c r="B25" s="144"/>
      <c r="C25" s="144"/>
      <c r="D25" s="152"/>
    </row>
    <row r="26" spans="2:4">
      <c r="B26" s="144"/>
      <c r="C26" s="144"/>
      <c r="D26" s="152"/>
    </row>
    <row r="27" spans="2:4">
      <c r="B27" s="144"/>
      <c r="C27" s="144"/>
      <c r="D27" s="152"/>
    </row>
    <row r="28" spans="2:4">
      <c r="B28" s="144"/>
      <c r="C28" s="144"/>
      <c r="D28" s="152"/>
    </row>
    <row r="29" spans="2:4">
      <c r="B29" s="144"/>
      <c r="C29" s="144"/>
      <c r="D29" s="152"/>
    </row>
    <row r="30" spans="2:4">
      <c r="B30" s="144"/>
      <c r="C30" s="144"/>
      <c r="D30" s="152"/>
    </row>
    <row r="31" spans="2:4">
      <c r="B31" s="144"/>
      <c r="C31" s="144"/>
      <c r="D31" s="152"/>
    </row>
    <row r="32" spans="2:4">
      <c r="B32" s="144"/>
      <c r="C32" s="144"/>
      <c r="D32" s="152"/>
    </row>
    <row r="33" spans="2:4">
      <c r="B33" s="144"/>
      <c r="C33" s="144"/>
      <c r="D33" s="152"/>
    </row>
    <row r="34" spans="2:4">
      <c r="B34" s="144"/>
      <c r="C34" s="144"/>
      <c r="D34" s="152"/>
    </row>
    <row r="35" spans="2:4">
      <c r="B35" s="144"/>
      <c r="C35" s="144"/>
      <c r="D35" s="152"/>
    </row>
    <row r="36" spans="2:4">
      <c r="B36" s="144"/>
      <c r="C36" s="144"/>
      <c r="D36" s="152"/>
    </row>
    <row r="37" spans="2:4">
      <c r="B37" s="144"/>
      <c r="C37" s="144"/>
      <c r="D37" s="152"/>
    </row>
    <row r="38" spans="2:4">
      <c r="B38" s="144"/>
      <c r="C38" s="144"/>
      <c r="D38" s="152"/>
    </row>
    <row r="39" spans="2:4">
      <c r="B39" s="144"/>
      <c r="C39" s="144"/>
      <c r="D39" s="152"/>
    </row>
    <row r="40" spans="2:4">
      <c r="B40" s="144"/>
      <c r="C40" s="144"/>
      <c r="D40" s="152"/>
    </row>
    <row r="41" spans="2:4">
      <c r="B41" s="144"/>
      <c r="C41" s="144"/>
      <c r="D41" s="152"/>
    </row>
    <row r="42" spans="2:4">
      <c r="B42" s="144"/>
      <c r="C42" s="144"/>
      <c r="D42" s="152"/>
    </row>
    <row r="43" spans="2:4">
      <c r="B43" s="144"/>
      <c r="C43" s="144"/>
      <c r="D43" s="152"/>
    </row>
    <row r="44" spans="2:4">
      <c r="B44" s="144"/>
      <c r="C44" s="144"/>
      <c r="D44" s="152"/>
    </row>
    <row r="45" spans="2:4">
      <c r="B45" s="144"/>
      <c r="C45" s="144"/>
      <c r="D45" s="152"/>
    </row>
    <row r="46" spans="2:4">
      <c r="B46" s="144"/>
      <c r="C46" s="144"/>
      <c r="D46" s="152"/>
    </row>
    <row r="47" spans="2:4">
      <c r="B47" s="144"/>
      <c r="C47" s="144"/>
      <c r="D47" s="152"/>
    </row>
    <row r="48" spans="2:4">
      <c r="B48" s="144"/>
      <c r="C48" s="144"/>
      <c r="D48" s="152"/>
    </row>
    <row r="49" spans="2:4">
      <c r="B49" s="144"/>
      <c r="C49" s="144"/>
      <c r="D49" s="152"/>
    </row>
    <row r="50" spans="2:4">
      <c r="B50" s="144"/>
      <c r="C50" s="144"/>
      <c r="D50" s="152"/>
    </row>
    <row r="51" spans="2:4">
      <c r="B51" s="144"/>
      <c r="C51" s="144"/>
      <c r="D51" s="152"/>
    </row>
    <row r="52" spans="2:4">
      <c r="B52" s="144"/>
      <c r="C52" s="144"/>
      <c r="D52" s="152"/>
    </row>
    <row r="53" spans="2:4">
      <c r="B53" s="144"/>
      <c r="C53" s="144"/>
      <c r="D53" s="152"/>
    </row>
    <row r="54" spans="2:4">
      <c r="B54" s="144"/>
      <c r="C54" s="144"/>
      <c r="D54" s="152"/>
    </row>
    <row r="55" spans="2:4">
      <c r="B55" s="144"/>
      <c r="C55" s="144"/>
      <c r="D55" s="152"/>
    </row>
    <row r="56" spans="2:4">
      <c r="B56" s="144"/>
      <c r="C56" s="144"/>
      <c r="D56" s="152"/>
    </row>
    <row r="57" spans="2:4">
      <c r="B57" s="144"/>
      <c r="C57" s="144"/>
      <c r="D57" s="152"/>
    </row>
    <row r="58" spans="2:4">
      <c r="B58" s="144"/>
      <c r="C58" s="144"/>
      <c r="D58" s="152"/>
    </row>
    <row r="59" spans="2:4">
      <c r="B59" s="144"/>
      <c r="C59" s="144"/>
      <c r="D59" s="152"/>
    </row>
    <row r="60" spans="2:4">
      <c r="B60" s="144"/>
      <c r="C60" s="144"/>
      <c r="D60" s="152"/>
    </row>
    <row r="61" spans="2:4">
      <c r="B61" s="144"/>
      <c r="C61" s="144"/>
      <c r="D61" s="152"/>
    </row>
    <row r="62" spans="2:4">
      <c r="B62" s="144"/>
      <c r="C62" s="144"/>
      <c r="D62" s="152"/>
    </row>
    <row r="63" spans="2:4">
      <c r="B63" s="144"/>
      <c r="C63" s="144"/>
      <c r="D63" s="152"/>
    </row>
    <row r="64" spans="2:4">
      <c r="B64" s="144"/>
      <c r="C64" s="144"/>
      <c r="D64" s="152"/>
    </row>
    <row r="65" spans="2:4">
      <c r="B65" s="144"/>
      <c r="C65" s="144"/>
      <c r="D65" s="152"/>
    </row>
    <row r="66" spans="2:4">
      <c r="B66" s="144"/>
      <c r="C66" s="144"/>
      <c r="D66" s="152"/>
    </row>
    <row r="67" spans="2:4">
      <c r="B67" s="144"/>
      <c r="C67" s="144"/>
      <c r="D67" s="152"/>
    </row>
    <row r="68" spans="2:4">
      <c r="B68" s="144"/>
      <c r="C68" s="144"/>
      <c r="D68" s="152"/>
    </row>
    <row r="69" spans="2:4">
      <c r="B69" s="144"/>
      <c r="C69" s="144"/>
      <c r="D69" s="152"/>
    </row>
    <row r="70" spans="2:4">
      <c r="B70" s="144"/>
      <c r="C70" s="144"/>
      <c r="D70" s="152"/>
    </row>
    <row r="71" spans="2:4">
      <c r="B71" s="144"/>
      <c r="C71" s="144"/>
      <c r="D71" s="152"/>
    </row>
    <row r="72" spans="2:4">
      <c r="B72" s="144"/>
      <c r="C72" s="144"/>
      <c r="D72" s="152"/>
    </row>
    <row r="73" spans="2:4">
      <c r="B73" s="144"/>
      <c r="C73" s="144"/>
      <c r="D73" s="152"/>
    </row>
    <row r="74" spans="2:4">
      <c r="B74" s="144"/>
      <c r="C74" s="144"/>
      <c r="D74" s="152"/>
    </row>
    <row r="75" spans="2:4">
      <c r="B75" s="144"/>
      <c r="C75" s="144"/>
      <c r="D75" s="152"/>
    </row>
    <row r="76" spans="2:4">
      <c r="B76" s="144"/>
      <c r="C76" s="144"/>
      <c r="D76" s="152"/>
    </row>
    <row r="77" spans="2:4">
      <c r="B77" s="144"/>
      <c r="C77" s="144"/>
      <c r="D77" s="152"/>
    </row>
    <row r="78" spans="2:4">
      <c r="B78" s="144"/>
      <c r="C78" s="144"/>
      <c r="D78" s="152"/>
    </row>
    <row r="79" spans="2:4">
      <c r="B79" s="144"/>
      <c r="C79" s="144"/>
      <c r="D79" s="152"/>
    </row>
    <row r="80" spans="2:4">
      <c r="B80" s="144"/>
      <c r="C80" s="144"/>
      <c r="D80" s="152"/>
    </row>
    <row r="81" spans="2:4">
      <c r="B81" s="144"/>
      <c r="C81" s="144"/>
      <c r="D81" s="152"/>
    </row>
    <row r="82" spans="2:4">
      <c r="B82" s="144"/>
      <c r="C82" s="144"/>
      <c r="D82" s="152"/>
    </row>
    <row r="83" spans="2:4">
      <c r="B83" s="144"/>
      <c r="C83" s="144"/>
      <c r="D83" s="152"/>
    </row>
    <row r="84" spans="2:4">
      <c r="B84" s="144"/>
      <c r="C84" s="144"/>
      <c r="D84" s="152"/>
    </row>
    <row r="85" spans="2:4">
      <c r="B85" s="144"/>
      <c r="C85" s="144"/>
      <c r="D85" s="152"/>
    </row>
    <row r="86" spans="2:4">
      <c r="B86" s="144"/>
      <c r="C86" s="144"/>
      <c r="D86" s="152"/>
    </row>
    <row r="87" spans="2:4">
      <c r="B87" s="144"/>
      <c r="C87" s="144"/>
      <c r="D87" s="152"/>
    </row>
    <row r="88" spans="2:4">
      <c r="B88" s="144"/>
      <c r="C88" s="144"/>
      <c r="D88" s="152"/>
    </row>
    <row r="89" spans="2:4">
      <c r="B89" s="144"/>
      <c r="C89" s="144"/>
      <c r="D89" s="152"/>
    </row>
    <row r="90" spans="2:4">
      <c r="B90" s="144"/>
      <c r="C90" s="144"/>
      <c r="D90" s="152"/>
    </row>
    <row r="91" spans="2:4">
      <c r="B91" s="144"/>
      <c r="C91" s="144"/>
      <c r="D91" s="152"/>
    </row>
    <row r="92" spans="2:4">
      <c r="B92" s="144"/>
      <c r="C92" s="144"/>
      <c r="D92" s="152"/>
    </row>
    <row r="93" spans="2:4">
      <c r="B93" s="144"/>
      <c r="C93" s="144"/>
      <c r="D93" s="152"/>
    </row>
    <row r="94" spans="2:4">
      <c r="B94" s="144"/>
      <c r="C94" s="144"/>
      <c r="D94" s="152"/>
    </row>
    <row r="95" spans="2:4">
      <c r="B95" s="144"/>
      <c r="C95" s="144"/>
      <c r="D95" s="152"/>
    </row>
    <row r="96" spans="2:4">
      <c r="B96" s="144"/>
      <c r="C96" s="144"/>
      <c r="D96" s="152"/>
    </row>
    <row r="97" spans="2:4">
      <c r="B97" s="144"/>
      <c r="C97" s="144"/>
      <c r="D97" s="152"/>
    </row>
    <row r="98" spans="2:4">
      <c r="B98" s="144"/>
      <c r="C98" s="144"/>
      <c r="D98" s="152"/>
    </row>
    <row r="99" spans="2:4">
      <c r="B99" s="144"/>
      <c r="C99" s="144"/>
      <c r="D99" s="152"/>
    </row>
    <row r="100" spans="2:4">
      <c r="B100" s="144"/>
      <c r="C100" s="144"/>
      <c r="D100" s="152"/>
    </row>
    <row r="101" spans="2:4">
      <c r="B101" s="144"/>
      <c r="C101" s="144"/>
      <c r="D101" s="152"/>
    </row>
    <row r="102" spans="2:4">
      <c r="B102" s="144"/>
      <c r="C102" s="144"/>
      <c r="D102" s="152"/>
    </row>
    <row r="103" spans="2:4">
      <c r="B103" s="144"/>
      <c r="C103" s="144"/>
      <c r="D103" s="152"/>
    </row>
    <row r="104" spans="2:4">
      <c r="B104" s="144"/>
      <c r="C104" s="144"/>
      <c r="D104" s="152"/>
    </row>
    <row r="105" spans="2:4">
      <c r="B105" s="144"/>
      <c r="C105" s="144"/>
      <c r="D105" s="152"/>
    </row>
    <row r="106" spans="2:4">
      <c r="B106" s="144"/>
      <c r="C106" s="144"/>
      <c r="D106" s="152"/>
    </row>
    <row r="107" spans="2:4">
      <c r="B107" s="144"/>
      <c r="C107" s="144"/>
      <c r="D107" s="152"/>
    </row>
    <row r="108" spans="2:4">
      <c r="B108" s="144"/>
      <c r="C108" s="144"/>
      <c r="D108" s="152"/>
    </row>
    <row r="109" spans="2:4">
      <c r="B109" s="144"/>
      <c r="C109" s="144"/>
      <c r="D109" s="152"/>
    </row>
    <row r="110" spans="2:4">
      <c r="B110" s="144"/>
      <c r="C110" s="144"/>
      <c r="D110" s="152"/>
    </row>
    <row r="111" spans="2:4">
      <c r="B111" s="144"/>
      <c r="C111" s="144"/>
      <c r="D111" s="152"/>
    </row>
    <row r="112" spans="2:4">
      <c r="B112" s="144"/>
      <c r="C112" s="144"/>
      <c r="D112" s="152"/>
    </row>
    <row r="113" spans="2:4">
      <c r="B113" s="144"/>
      <c r="C113" s="144"/>
      <c r="D113" s="152"/>
    </row>
    <row r="114" spans="2:4">
      <c r="B114" s="144"/>
      <c r="C114" s="144"/>
      <c r="D114" s="152"/>
    </row>
    <row r="115" spans="2:4">
      <c r="B115" s="144"/>
      <c r="C115" s="144"/>
      <c r="D115" s="152"/>
    </row>
    <row r="116" spans="2:4">
      <c r="B116" s="144"/>
      <c r="C116" s="144"/>
      <c r="D116" s="152"/>
    </row>
    <row r="117" spans="2:4">
      <c r="B117" s="144"/>
      <c r="C117" s="144"/>
      <c r="D117" s="152"/>
    </row>
    <row r="118" spans="2:4">
      <c r="B118" s="144"/>
      <c r="C118" s="144"/>
      <c r="D118" s="152"/>
    </row>
    <row r="119" spans="2:4">
      <c r="B119" s="144"/>
      <c r="C119" s="144"/>
      <c r="D119" s="152"/>
    </row>
    <row r="120" spans="2:4">
      <c r="B120" s="144"/>
      <c r="C120" s="144"/>
      <c r="D120" s="152"/>
    </row>
    <row r="121" spans="2:4">
      <c r="B121" s="144"/>
      <c r="C121" s="144"/>
      <c r="D121" s="152"/>
    </row>
    <row r="122" spans="2:4">
      <c r="B122" s="144"/>
      <c r="C122" s="144"/>
      <c r="D122" s="152"/>
    </row>
    <row r="123" spans="2:4">
      <c r="B123" s="144"/>
      <c r="C123" s="144"/>
      <c r="D123" s="152"/>
    </row>
    <row r="124" spans="2:4">
      <c r="B124" s="144"/>
      <c r="C124" s="144"/>
      <c r="D124" s="152"/>
    </row>
    <row r="125" spans="2:4">
      <c r="B125" s="144"/>
      <c r="C125" s="144"/>
      <c r="D125" s="152"/>
    </row>
    <row r="126" spans="2:4">
      <c r="B126" s="144"/>
      <c r="C126" s="144"/>
      <c r="D126" s="152"/>
    </row>
    <row r="127" spans="2:4">
      <c r="B127" s="144"/>
      <c r="C127" s="144"/>
      <c r="D127" s="152"/>
    </row>
    <row r="128" spans="2:4">
      <c r="B128" s="144"/>
      <c r="C128" s="144"/>
      <c r="D128" s="152"/>
    </row>
    <row r="129" spans="2:4">
      <c r="B129" s="144"/>
      <c r="C129" s="144"/>
      <c r="D129" s="152"/>
    </row>
    <row r="130" spans="2:4">
      <c r="B130" s="144"/>
      <c r="C130" s="144"/>
      <c r="D130" s="152"/>
    </row>
    <row r="131" spans="2:4">
      <c r="B131" s="144"/>
      <c r="C131" s="144"/>
      <c r="D131" s="152"/>
    </row>
    <row r="132" spans="2:4">
      <c r="B132" s="144"/>
      <c r="C132" s="144"/>
      <c r="D132" s="152"/>
    </row>
    <row r="133" spans="2:4">
      <c r="B133" s="144"/>
      <c r="C133" s="144"/>
      <c r="D133" s="152"/>
    </row>
    <row r="134" spans="2:4">
      <c r="B134" s="144"/>
      <c r="C134" s="144"/>
      <c r="D134" s="152"/>
    </row>
    <row r="135" spans="2:4">
      <c r="B135" s="144"/>
      <c r="C135" s="144"/>
      <c r="D135" s="152"/>
    </row>
    <row r="136" spans="2:4">
      <c r="B136" s="144"/>
      <c r="C136" s="144"/>
      <c r="D136" s="152"/>
    </row>
    <row r="137" spans="2:4">
      <c r="B137" s="144"/>
      <c r="C137" s="144"/>
      <c r="D137" s="152"/>
    </row>
    <row r="138" spans="2:4">
      <c r="B138" s="144"/>
      <c r="C138" s="144"/>
      <c r="D138" s="152"/>
    </row>
    <row r="139" spans="2:4">
      <c r="B139" s="144"/>
      <c r="C139" s="144"/>
      <c r="D139" s="152"/>
    </row>
    <row r="140" spans="2:4">
      <c r="B140" s="144"/>
      <c r="C140" s="144"/>
      <c r="D140" s="152"/>
    </row>
    <row r="141" spans="2:4">
      <c r="B141" s="144"/>
      <c r="C141" s="144"/>
      <c r="D141" s="152"/>
    </row>
    <row r="142" spans="2:4">
      <c r="B142" s="144"/>
      <c r="C142" s="144"/>
      <c r="D142" s="152"/>
    </row>
    <row r="143" spans="2:4">
      <c r="B143" s="144"/>
      <c r="C143" s="144"/>
      <c r="D143" s="152"/>
    </row>
    <row r="144" spans="2:4">
      <c r="B144" s="144"/>
      <c r="C144" s="144"/>
      <c r="D144" s="152"/>
    </row>
    <row r="145" spans="2:4">
      <c r="B145" s="144"/>
      <c r="C145" s="144"/>
      <c r="D145" s="152"/>
    </row>
    <row r="146" spans="2:4">
      <c r="B146" s="144"/>
      <c r="C146" s="144"/>
      <c r="D146" s="152"/>
    </row>
    <row r="147" spans="2:4">
      <c r="B147" s="144"/>
      <c r="C147" s="144"/>
      <c r="D147" s="152"/>
    </row>
    <row r="148" spans="2:4">
      <c r="B148" s="144"/>
      <c r="C148" s="144"/>
      <c r="D148" s="152"/>
    </row>
    <row r="149" spans="2:4">
      <c r="B149" s="144"/>
      <c r="C149" s="144"/>
      <c r="D149" s="152"/>
    </row>
    <row r="150" spans="2:4">
      <c r="B150" s="144"/>
      <c r="C150" s="144"/>
      <c r="D150" s="152"/>
    </row>
    <row r="151" spans="2:4">
      <c r="B151" s="144"/>
      <c r="C151" s="144"/>
      <c r="D151" s="152"/>
    </row>
    <row r="152" spans="2:4">
      <c r="B152" s="144"/>
      <c r="C152" s="144"/>
      <c r="D152" s="152"/>
    </row>
    <row r="153" spans="2:4">
      <c r="B153" s="144"/>
      <c r="C153" s="144"/>
      <c r="D153" s="152"/>
    </row>
    <row r="154" spans="2:4">
      <c r="B154" s="144"/>
      <c r="C154" s="144"/>
      <c r="D154" s="152"/>
    </row>
    <row r="155" spans="2:4">
      <c r="B155" s="144"/>
      <c r="C155" s="144"/>
      <c r="D155" s="152"/>
    </row>
    <row r="156" spans="2:4">
      <c r="B156" s="144"/>
      <c r="C156" s="144"/>
      <c r="D156" s="152"/>
    </row>
    <row r="157" spans="2:4">
      <c r="B157" s="144"/>
      <c r="C157" s="144"/>
      <c r="D157" s="152"/>
    </row>
    <row r="158" spans="2:4">
      <c r="B158" s="144"/>
      <c r="C158" s="144"/>
      <c r="D158" s="152"/>
    </row>
    <row r="159" spans="2:4">
      <c r="B159" s="144"/>
      <c r="C159" s="144"/>
      <c r="D159" s="152"/>
    </row>
    <row r="160" spans="2:4">
      <c r="B160" s="144"/>
      <c r="C160" s="144"/>
      <c r="D160" s="152"/>
    </row>
    <row r="161" spans="2:4">
      <c r="B161" s="144"/>
      <c r="C161" s="144"/>
      <c r="D161" s="152"/>
    </row>
    <row r="162" spans="2:4">
      <c r="B162" s="144"/>
      <c r="C162" s="144"/>
      <c r="D162" s="152"/>
    </row>
    <row r="163" spans="2:4">
      <c r="B163" s="144"/>
      <c r="C163" s="144"/>
      <c r="D163" s="152"/>
    </row>
    <row r="164" spans="2:4">
      <c r="B164" s="144"/>
      <c r="C164" s="144"/>
      <c r="D164" s="152"/>
    </row>
    <row r="165" spans="2:4">
      <c r="B165" s="144"/>
      <c r="C165" s="144"/>
      <c r="D165" s="152"/>
    </row>
    <row r="166" spans="2:4">
      <c r="B166" s="144"/>
      <c r="C166" s="144"/>
      <c r="D166" s="152"/>
    </row>
    <row r="167" spans="2:4">
      <c r="B167" s="144"/>
      <c r="C167" s="144"/>
      <c r="D167" s="152"/>
    </row>
    <row r="168" spans="2:4">
      <c r="B168" s="144"/>
      <c r="C168" s="144"/>
      <c r="D168" s="152"/>
    </row>
    <row r="169" spans="2:4">
      <c r="B169" s="144"/>
      <c r="C169" s="144"/>
      <c r="D169" s="152"/>
    </row>
    <row r="170" spans="2:4">
      <c r="B170" s="144"/>
      <c r="C170" s="144"/>
      <c r="D170" s="152"/>
    </row>
    <row r="171" spans="2:4">
      <c r="B171" s="144"/>
      <c r="C171" s="144"/>
      <c r="D171" s="152"/>
    </row>
    <row r="172" spans="2:4">
      <c r="B172" s="144"/>
      <c r="C172" s="144"/>
      <c r="D172" s="152"/>
    </row>
    <row r="173" spans="2:4">
      <c r="B173" s="144"/>
      <c r="C173" s="144"/>
      <c r="D173" s="152"/>
    </row>
    <row r="174" spans="2:4">
      <c r="B174" s="144"/>
      <c r="C174" s="144"/>
      <c r="D174" s="152"/>
    </row>
    <row r="175" spans="2:4">
      <c r="B175" s="144"/>
      <c r="C175" s="144"/>
      <c r="D175" s="152"/>
    </row>
    <row r="176" spans="2:4">
      <c r="B176" s="144"/>
      <c r="C176" s="144"/>
      <c r="D176" s="152"/>
    </row>
    <row r="177" spans="2:4">
      <c r="B177" s="144"/>
      <c r="C177" s="144"/>
      <c r="D177" s="152"/>
    </row>
    <row r="178" spans="2:4">
      <c r="B178" s="144"/>
      <c r="C178" s="144"/>
      <c r="D178" s="152"/>
    </row>
    <row r="179" spans="2:4">
      <c r="B179" s="144"/>
      <c r="C179" s="144"/>
      <c r="D179" s="152"/>
    </row>
    <row r="180" spans="2:4">
      <c r="B180" s="144"/>
      <c r="C180" s="144"/>
      <c r="D180" s="152"/>
    </row>
    <row r="181" spans="2:4">
      <c r="B181" s="144"/>
      <c r="C181" s="144"/>
      <c r="D181" s="152"/>
    </row>
    <row r="182" spans="2:4">
      <c r="B182" s="144"/>
      <c r="C182" s="144"/>
      <c r="D182" s="152"/>
    </row>
    <row r="183" spans="2:4">
      <c r="B183" s="144"/>
      <c r="C183" s="144"/>
      <c r="D183" s="152"/>
    </row>
    <row r="184" spans="2:4">
      <c r="B184" s="144"/>
      <c r="C184" s="144"/>
      <c r="D184" s="152"/>
    </row>
    <row r="185" spans="2:4">
      <c r="B185" s="144"/>
      <c r="C185" s="144"/>
      <c r="D185" s="152"/>
    </row>
    <row r="186" spans="2:4">
      <c r="B186" s="144"/>
      <c r="C186" s="144"/>
      <c r="D186" s="152"/>
    </row>
    <row r="187" spans="2:4">
      <c r="B187" s="144"/>
      <c r="C187" s="144"/>
      <c r="D187" s="152"/>
    </row>
    <row r="188" spans="2:4">
      <c r="B188" s="144"/>
      <c r="C188" s="144"/>
      <c r="D188" s="152"/>
    </row>
    <row r="189" spans="2:4">
      <c r="B189" s="144"/>
      <c r="C189" s="144"/>
      <c r="D189" s="152"/>
    </row>
    <row r="190" spans="2:4">
      <c r="B190" s="144"/>
      <c r="C190" s="144"/>
      <c r="D190" s="152"/>
    </row>
    <row r="191" spans="2:4">
      <c r="B191" s="144"/>
      <c r="C191" s="144"/>
      <c r="D191" s="152"/>
    </row>
    <row r="192" spans="2:4">
      <c r="B192" s="144"/>
      <c r="C192" s="144"/>
      <c r="D192" s="152"/>
    </row>
    <row r="193" spans="2:4">
      <c r="B193" s="144"/>
      <c r="C193" s="144"/>
      <c r="D193" s="152"/>
    </row>
    <row r="194" spans="2:4">
      <c r="B194" s="144"/>
      <c r="C194" s="144"/>
      <c r="D194" s="152"/>
    </row>
    <row r="195" spans="2:4">
      <c r="B195" s="144"/>
      <c r="C195" s="144"/>
      <c r="D195" s="152"/>
    </row>
    <row r="196" spans="2:4">
      <c r="B196" s="144"/>
      <c r="C196" s="144"/>
      <c r="D196" s="152"/>
    </row>
    <row r="197" spans="2:4">
      <c r="B197" s="144"/>
      <c r="C197" s="144"/>
      <c r="D197" s="152"/>
    </row>
    <row r="198" spans="2:4">
      <c r="B198" s="144"/>
      <c r="C198" s="144"/>
      <c r="D198" s="152"/>
    </row>
    <row r="199" spans="2:4">
      <c r="B199" s="144"/>
      <c r="C199" s="144"/>
      <c r="D199" s="152"/>
    </row>
    <row r="200" spans="2:4">
      <c r="B200" s="144"/>
      <c r="C200" s="144"/>
      <c r="D200" s="152"/>
    </row>
    <row r="201" spans="2:4">
      <c r="B201" s="144"/>
      <c r="C201" s="144"/>
      <c r="D201" s="152"/>
    </row>
    <row r="202" spans="2:4">
      <c r="B202" s="144"/>
      <c r="C202" s="144"/>
      <c r="D202" s="152"/>
    </row>
    <row r="203" spans="2:4">
      <c r="B203" s="144"/>
      <c r="C203" s="144"/>
      <c r="D203" s="152"/>
    </row>
    <row r="204" spans="2:4">
      <c r="B204" s="144"/>
      <c r="C204" s="144"/>
      <c r="D204" s="152"/>
    </row>
    <row r="205" spans="2:4">
      <c r="B205" s="144"/>
      <c r="C205" s="144"/>
      <c r="D205" s="152"/>
    </row>
    <row r="206" spans="2:4">
      <c r="B206" s="144"/>
      <c r="C206" s="144"/>
      <c r="D206" s="152"/>
    </row>
    <row r="207" spans="2:4">
      <c r="B207" s="144"/>
      <c r="C207" s="144"/>
      <c r="D207" s="152"/>
    </row>
    <row r="208" spans="2:4">
      <c r="B208" s="144"/>
      <c r="C208" s="144"/>
      <c r="D208" s="152"/>
    </row>
    <row r="209" spans="2:4">
      <c r="B209" s="144"/>
      <c r="C209" s="144"/>
      <c r="D209" s="152"/>
    </row>
    <row r="210" spans="2:4">
      <c r="B210" s="144"/>
      <c r="C210" s="144"/>
      <c r="D210" s="152"/>
    </row>
    <row r="211" spans="2:4">
      <c r="B211" s="144"/>
      <c r="C211" s="144"/>
      <c r="D211" s="152"/>
    </row>
    <row r="212" spans="2:4">
      <c r="B212" s="144"/>
      <c r="C212" s="144"/>
      <c r="D212" s="152"/>
    </row>
    <row r="213" spans="2:4">
      <c r="B213" s="144"/>
      <c r="C213" s="144"/>
      <c r="D213" s="152"/>
    </row>
    <row r="214" spans="2:4">
      <c r="B214" s="144"/>
      <c r="C214" s="144"/>
      <c r="D214" s="152"/>
    </row>
    <row r="215" spans="2:4">
      <c r="B215" s="144"/>
      <c r="C215" s="144"/>
      <c r="D215" s="152"/>
    </row>
    <row r="216" spans="2:4">
      <c r="B216" s="144"/>
      <c r="C216" s="144"/>
      <c r="D216" s="152"/>
    </row>
    <row r="217" spans="2:4">
      <c r="B217" s="144"/>
      <c r="C217" s="144"/>
      <c r="D217" s="152"/>
    </row>
    <row r="218" spans="2:4">
      <c r="B218" s="144"/>
      <c r="C218" s="144"/>
      <c r="D218" s="152"/>
    </row>
    <row r="219" spans="2:4">
      <c r="B219" s="144"/>
      <c r="C219" s="144"/>
      <c r="D219" s="152"/>
    </row>
    <row r="220" spans="2:4">
      <c r="B220" s="144"/>
      <c r="C220" s="144"/>
      <c r="D220" s="152"/>
    </row>
    <row r="221" spans="2:4">
      <c r="B221" s="144"/>
      <c r="C221" s="144"/>
      <c r="D221" s="152"/>
    </row>
    <row r="222" spans="2:4">
      <c r="B222" s="144"/>
      <c r="C222" s="144"/>
      <c r="D222" s="152"/>
    </row>
    <row r="223" spans="2:4">
      <c r="B223" s="144"/>
      <c r="C223" s="144"/>
      <c r="D223" s="152"/>
    </row>
    <row r="224" spans="2:4">
      <c r="B224" s="144"/>
      <c r="C224" s="144"/>
      <c r="D224" s="152"/>
    </row>
    <row r="225" spans="2:4">
      <c r="B225" s="144"/>
      <c r="C225" s="144"/>
      <c r="D225" s="152"/>
    </row>
    <row r="226" spans="2:4">
      <c r="B226" s="144"/>
      <c r="C226" s="144"/>
      <c r="D226" s="152"/>
    </row>
    <row r="227" spans="2:4">
      <c r="B227" s="144"/>
      <c r="C227" s="144"/>
      <c r="D227" s="152"/>
    </row>
    <row r="228" spans="2:4">
      <c r="B228" s="144"/>
      <c r="C228" s="144"/>
      <c r="D228" s="152"/>
    </row>
    <row r="229" spans="2:4">
      <c r="B229" s="144"/>
      <c r="C229" s="144"/>
      <c r="D229" s="152"/>
    </row>
    <row r="230" spans="2:4">
      <c r="B230" s="144"/>
      <c r="C230" s="144"/>
      <c r="D230" s="152"/>
    </row>
    <row r="231" spans="2:4">
      <c r="B231" s="144"/>
      <c r="C231" s="144"/>
      <c r="D231" s="152"/>
    </row>
    <row r="232" spans="2:4">
      <c r="B232" s="144"/>
      <c r="C232" s="144"/>
      <c r="D232" s="152"/>
    </row>
    <row r="233" spans="2:4">
      <c r="B233" s="144"/>
      <c r="C233" s="144"/>
      <c r="D233" s="152"/>
    </row>
    <row r="234" spans="2:4">
      <c r="B234" s="144"/>
      <c r="C234" s="144"/>
      <c r="D234" s="152"/>
    </row>
    <row r="235" spans="2:4">
      <c r="B235" s="144"/>
      <c r="C235" s="144"/>
      <c r="D235" s="152"/>
    </row>
    <row r="236" spans="2:4">
      <c r="B236" s="144"/>
      <c r="C236" s="144"/>
      <c r="D236" s="152"/>
    </row>
    <row r="237" spans="2:4">
      <c r="B237" s="144"/>
      <c r="C237" s="144"/>
      <c r="D237" s="152"/>
    </row>
    <row r="238" spans="2:4">
      <c r="B238" s="144"/>
      <c r="C238" s="144"/>
      <c r="D238" s="152"/>
    </row>
    <row r="239" spans="2:4">
      <c r="B239" s="144"/>
      <c r="C239" s="144"/>
      <c r="D239" s="152"/>
    </row>
    <row r="240" spans="2:4">
      <c r="B240" s="144"/>
      <c r="C240" s="144"/>
      <c r="D240" s="152"/>
    </row>
    <row r="241" spans="2:4">
      <c r="B241" s="144"/>
      <c r="C241" s="144"/>
      <c r="D241" s="152"/>
    </row>
    <row r="242" spans="2:4">
      <c r="B242" s="144"/>
      <c r="C242" s="144"/>
      <c r="D242" s="152"/>
    </row>
    <row r="243" spans="2:4">
      <c r="B243" s="144"/>
      <c r="C243" s="144"/>
      <c r="D243" s="152"/>
    </row>
    <row r="244" spans="2:4">
      <c r="B244" s="144"/>
      <c r="C244" s="144"/>
      <c r="D244" s="152"/>
    </row>
    <row r="245" spans="2:4">
      <c r="B245" s="144"/>
      <c r="C245" s="144"/>
      <c r="D245" s="152"/>
    </row>
    <row r="246" spans="2:4">
      <c r="B246" s="144"/>
      <c r="C246" s="144"/>
      <c r="D246" s="152"/>
    </row>
    <row r="247" spans="2:4">
      <c r="B247" s="144"/>
      <c r="C247" s="144"/>
      <c r="D247" s="152"/>
    </row>
    <row r="248" spans="2:4">
      <c r="B248" s="144"/>
      <c r="C248" s="144"/>
      <c r="D248" s="152"/>
    </row>
    <row r="249" spans="2:4">
      <c r="B249" s="144"/>
      <c r="C249" s="144"/>
      <c r="D249" s="152"/>
    </row>
    <row r="250" spans="2:4">
      <c r="B250" s="144"/>
      <c r="C250" s="144"/>
      <c r="D250" s="152"/>
    </row>
    <row r="251" spans="2:4">
      <c r="B251" s="144"/>
      <c r="C251" s="144"/>
      <c r="D251" s="152"/>
    </row>
    <row r="252" spans="2:4">
      <c r="B252" s="144"/>
      <c r="C252" s="144"/>
      <c r="D252" s="152"/>
    </row>
    <row r="253" spans="2:4">
      <c r="B253" s="144"/>
      <c r="C253" s="144"/>
      <c r="D253" s="152"/>
    </row>
    <row r="254" spans="2:4">
      <c r="B254" s="144"/>
      <c r="C254" s="144"/>
      <c r="D254" s="152"/>
    </row>
    <row r="255" spans="2:4">
      <c r="B255" s="144"/>
      <c r="C255" s="144"/>
      <c r="D255" s="152"/>
    </row>
    <row r="256" spans="2:4">
      <c r="B256" s="144"/>
      <c r="C256" s="144"/>
      <c r="D256" s="152"/>
    </row>
    <row r="257" spans="2:4">
      <c r="B257" s="144"/>
      <c r="C257" s="144"/>
      <c r="D257" s="152"/>
    </row>
    <row r="258" spans="2:4">
      <c r="B258" s="144"/>
      <c r="C258" s="144"/>
      <c r="D258" s="152"/>
    </row>
    <row r="259" spans="2:4">
      <c r="B259" s="144"/>
      <c r="C259" s="144"/>
      <c r="D259" s="152"/>
    </row>
    <row r="260" spans="2:4">
      <c r="B260" s="144"/>
      <c r="C260" s="144"/>
      <c r="D260" s="152"/>
    </row>
    <row r="261" spans="2:4">
      <c r="B261" s="144"/>
      <c r="C261" s="144"/>
      <c r="D261" s="152"/>
    </row>
    <row r="262" spans="2:4">
      <c r="B262" s="144"/>
      <c r="C262" s="144"/>
      <c r="D262" s="152"/>
    </row>
    <row r="263" spans="2:4">
      <c r="B263" s="144"/>
      <c r="C263" s="144"/>
      <c r="D263" s="152"/>
    </row>
    <row r="264" spans="2:4">
      <c r="B264" s="144"/>
      <c r="C264" s="144"/>
      <c r="D264" s="152"/>
    </row>
    <row r="265" spans="2:4">
      <c r="B265" s="144"/>
      <c r="C265" s="144"/>
      <c r="D265" s="152"/>
    </row>
    <row r="266" spans="2:4">
      <c r="B266" s="144"/>
      <c r="C266" s="144"/>
      <c r="D266" s="152"/>
    </row>
    <row r="267" spans="2:4">
      <c r="B267" s="144"/>
      <c r="C267" s="144"/>
      <c r="D267" s="152"/>
    </row>
    <row r="268" spans="2:4">
      <c r="B268" s="144"/>
      <c r="C268" s="144"/>
      <c r="D268" s="152"/>
    </row>
    <row r="269" spans="2:4">
      <c r="B269" s="144"/>
      <c r="C269" s="144"/>
      <c r="D269" s="152"/>
    </row>
    <row r="270" spans="2:4">
      <c r="B270" s="144"/>
      <c r="C270" s="144"/>
      <c r="D270" s="152"/>
    </row>
    <row r="271" spans="2:4">
      <c r="B271" s="144"/>
      <c r="C271" s="144"/>
      <c r="D271" s="152"/>
    </row>
    <row r="272" spans="2:4">
      <c r="B272" s="144"/>
      <c r="C272" s="144"/>
      <c r="D272" s="152"/>
    </row>
    <row r="273" spans="2:4">
      <c r="B273" s="144"/>
      <c r="C273" s="144"/>
      <c r="D273" s="152"/>
    </row>
    <row r="274" spans="2:4">
      <c r="B274" s="144"/>
      <c r="C274" s="144"/>
      <c r="D274" s="152"/>
    </row>
    <row r="275" spans="2:4">
      <c r="B275" s="144"/>
      <c r="C275" s="144"/>
      <c r="D275" s="152"/>
    </row>
    <row r="276" spans="2:4">
      <c r="B276" s="144"/>
      <c r="C276" s="144"/>
      <c r="D276" s="152"/>
    </row>
    <row r="277" spans="2:4">
      <c r="B277" s="144"/>
      <c r="C277" s="144"/>
      <c r="D277" s="152"/>
    </row>
    <row r="278" spans="2:4">
      <c r="B278" s="144"/>
      <c r="C278" s="144"/>
      <c r="D278" s="152"/>
    </row>
    <row r="279" spans="2:4">
      <c r="B279" s="144"/>
      <c r="C279" s="144"/>
      <c r="D279" s="152"/>
    </row>
    <row r="280" spans="2:4">
      <c r="B280" s="144"/>
      <c r="C280" s="144"/>
      <c r="D280" s="152"/>
    </row>
    <row r="281" spans="2:4">
      <c r="B281" s="144"/>
      <c r="C281" s="144"/>
      <c r="D281" s="152"/>
    </row>
    <row r="282" spans="2:4">
      <c r="B282" s="144"/>
      <c r="C282" s="144"/>
      <c r="D282" s="152"/>
    </row>
    <row r="283" spans="2:4">
      <c r="B283" s="144"/>
      <c r="C283" s="144"/>
      <c r="D283" s="152"/>
    </row>
    <row r="284" spans="2:4">
      <c r="B284" s="144"/>
      <c r="C284" s="144"/>
      <c r="D284" s="152"/>
    </row>
    <row r="285" spans="2:4">
      <c r="B285" s="144"/>
      <c r="C285" s="144"/>
      <c r="D285" s="152"/>
    </row>
    <row r="286" spans="2:4">
      <c r="B286" s="144"/>
      <c r="C286" s="144"/>
      <c r="D286" s="152"/>
    </row>
    <row r="287" spans="2:4">
      <c r="B287" s="144"/>
      <c r="C287" s="144"/>
      <c r="D287" s="152"/>
    </row>
    <row r="288" spans="2:4">
      <c r="B288" s="144"/>
      <c r="C288" s="144"/>
      <c r="D288" s="152"/>
    </row>
    <row r="289" spans="2:4">
      <c r="B289" s="144"/>
      <c r="C289" s="144"/>
      <c r="D289" s="152"/>
    </row>
    <row r="290" spans="2:4">
      <c r="B290" s="144"/>
      <c r="C290" s="144"/>
      <c r="D290" s="152"/>
    </row>
    <row r="291" spans="2:4">
      <c r="B291" s="144"/>
      <c r="C291" s="144"/>
      <c r="D291" s="152"/>
    </row>
    <row r="292" spans="2:4">
      <c r="B292" s="144"/>
      <c r="C292" s="144"/>
      <c r="D292" s="152"/>
    </row>
    <row r="293" spans="2:4">
      <c r="B293" s="144"/>
      <c r="C293" s="144"/>
      <c r="D293" s="152"/>
    </row>
    <row r="294" spans="2:4">
      <c r="B294" s="144"/>
      <c r="C294" s="144"/>
      <c r="D294" s="152"/>
    </row>
    <row r="295" spans="2:4">
      <c r="B295" s="144"/>
      <c r="C295" s="144"/>
      <c r="D295" s="152"/>
    </row>
    <row r="296" spans="2:4">
      <c r="B296" s="144"/>
      <c r="C296" s="144"/>
      <c r="D296" s="152"/>
    </row>
    <row r="297" spans="2:4">
      <c r="B297" s="144"/>
      <c r="C297" s="144"/>
      <c r="D297" s="152"/>
    </row>
    <row r="298" spans="2:4">
      <c r="B298" s="144"/>
      <c r="C298" s="144"/>
      <c r="D298" s="152"/>
    </row>
    <row r="299" spans="2:4">
      <c r="B299" s="144"/>
      <c r="C299" s="144"/>
      <c r="D299" s="152"/>
    </row>
    <row r="300" spans="2:4">
      <c r="B300" s="144"/>
      <c r="C300" s="144"/>
      <c r="D300" s="152"/>
    </row>
    <row r="301" spans="2:4">
      <c r="B301" s="144"/>
      <c r="C301" s="144"/>
      <c r="D301" s="152"/>
    </row>
    <row r="302" spans="2:4">
      <c r="B302" s="144"/>
      <c r="C302" s="144"/>
      <c r="D302" s="152"/>
    </row>
    <row r="303" spans="2:4">
      <c r="B303" s="144"/>
      <c r="C303" s="144"/>
      <c r="D303" s="152"/>
    </row>
    <row r="304" spans="2:4">
      <c r="B304" s="144"/>
      <c r="C304" s="144"/>
      <c r="D304" s="152"/>
    </row>
    <row r="305" spans="2:4">
      <c r="B305" s="144"/>
      <c r="C305" s="144"/>
      <c r="D305" s="152"/>
    </row>
    <row r="306" spans="2:4">
      <c r="B306" s="144"/>
      <c r="C306" s="144"/>
      <c r="D306" s="152"/>
    </row>
    <row r="307" spans="2:4">
      <c r="B307" s="144"/>
      <c r="C307" s="144"/>
      <c r="D307" s="152"/>
    </row>
    <row r="308" spans="2:4">
      <c r="B308" s="144"/>
      <c r="C308" s="144"/>
      <c r="D308" s="152"/>
    </row>
    <row r="309" spans="2:4">
      <c r="B309" s="144"/>
      <c r="C309" s="144"/>
      <c r="D309" s="152"/>
    </row>
    <row r="310" spans="2:4">
      <c r="B310" s="144"/>
      <c r="C310" s="144"/>
      <c r="D310" s="152"/>
    </row>
    <row r="311" spans="2:4">
      <c r="B311" s="144"/>
      <c r="C311" s="144"/>
      <c r="D311" s="152"/>
    </row>
    <row r="312" spans="2:4">
      <c r="B312" s="144"/>
      <c r="C312" s="144"/>
      <c r="D312" s="152"/>
    </row>
    <row r="313" spans="2:4">
      <c r="B313" s="144"/>
      <c r="C313" s="144"/>
      <c r="D313" s="152"/>
    </row>
    <row r="314" spans="2:4">
      <c r="B314" s="144"/>
      <c r="C314" s="144"/>
      <c r="D314" s="152"/>
    </row>
    <row r="315" spans="2:4">
      <c r="B315" s="144"/>
      <c r="C315" s="144"/>
      <c r="D315" s="152"/>
    </row>
    <row r="316" spans="2:4">
      <c r="B316" s="144"/>
      <c r="C316" s="144"/>
      <c r="D316" s="152"/>
    </row>
    <row r="317" spans="2:4">
      <c r="B317" s="144"/>
      <c r="C317" s="144"/>
      <c r="D317" s="152"/>
    </row>
    <row r="318" spans="2:4">
      <c r="B318" s="144"/>
      <c r="C318" s="144"/>
      <c r="D318" s="152"/>
    </row>
    <row r="319" spans="2:4">
      <c r="B319" s="144"/>
      <c r="C319" s="144"/>
      <c r="D319" s="152"/>
    </row>
    <row r="320" spans="2:4">
      <c r="B320" s="144"/>
      <c r="C320" s="144"/>
      <c r="D320" s="152"/>
    </row>
    <row r="321" spans="2:4">
      <c r="B321" s="144"/>
      <c r="C321" s="144"/>
      <c r="D321" s="152"/>
    </row>
    <row r="322" spans="2:4">
      <c r="B322" s="144"/>
      <c r="C322" s="144"/>
      <c r="D322" s="152"/>
    </row>
    <row r="323" spans="2:4">
      <c r="B323" s="144"/>
      <c r="C323" s="144"/>
      <c r="D323" s="152"/>
    </row>
    <row r="324" spans="2:4">
      <c r="B324" s="144"/>
      <c r="C324" s="144"/>
      <c r="D324" s="152"/>
    </row>
    <row r="325" spans="2:4">
      <c r="B325" s="144"/>
      <c r="C325" s="144"/>
      <c r="D325" s="152"/>
    </row>
    <row r="326" spans="2:4">
      <c r="B326" s="144"/>
      <c r="C326" s="144"/>
      <c r="D326" s="152"/>
    </row>
    <row r="327" spans="2:4">
      <c r="B327" s="144"/>
      <c r="C327" s="144"/>
      <c r="D327" s="152"/>
    </row>
    <row r="328" spans="2:4">
      <c r="B328" s="144"/>
      <c r="C328" s="144"/>
      <c r="D328" s="152"/>
    </row>
    <row r="329" spans="2:4">
      <c r="B329" s="144"/>
      <c r="C329" s="144"/>
      <c r="D329" s="152"/>
    </row>
    <row r="330" spans="2:4">
      <c r="B330" s="144"/>
      <c r="C330" s="144"/>
      <c r="D330" s="152"/>
    </row>
    <row r="331" spans="2:4">
      <c r="B331" s="144"/>
      <c r="C331" s="144"/>
      <c r="D331" s="152"/>
    </row>
    <row r="332" spans="2:4">
      <c r="B332" s="144"/>
      <c r="C332" s="144"/>
      <c r="D332" s="152"/>
    </row>
    <row r="333" spans="2:4">
      <c r="B333" s="144"/>
      <c r="C333" s="144"/>
      <c r="D333" s="152"/>
    </row>
    <row r="334" spans="2:4">
      <c r="B334" s="144"/>
      <c r="C334" s="144"/>
      <c r="D334" s="152"/>
    </row>
    <row r="335" spans="2:4">
      <c r="B335" s="144"/>
      <c r="C335" s="144"/>
      <c r="D335" s="152"/>
    </row>
    <row r="336" spans="2:4">
      <c r="B336" s="144"/>
      <c r="C336" s="144"/>
      <c r="D336" s="152"/>
    </row>
    <row r="337" spans="2:4">
      <c r="B337" s="144"/>
      <c r="C337" s="144"/>
      <c r="D337" s="152"/>
    </row>
    <row r="338" spans="2:4">
      <c r="B338" s="144"/>
      <c r="C338" s="144"/>
      <c r="D338" s="152"/>
    </row>
    <row r="339" spans="2:4">
      <c r="B339" s="144"/>
      <c r="C339" s="144"/>
      <c r="D339" s="152"/>
    </row>
    <row r="340" spans="2:4">
      <c r="B340" s="144"/>
      <c r="C340" s="144"/>
      <c r="D340" s="152"/>
    </row>
    <row r="341" spans="2:4">
      <c r="B341" s="144"/>
      <c r="C341" s="144"/>
      <c r="D341" s="152"/>
    </row>
    <row r="342" spans="2:4">
      <c r="B342" s="144"/>
      <c r="C342" s="144"/>
      <c r="D342" s="152"/>
    </row>
    <row r="343" spans="2:4">
      <c r="B343" s="144"/>
      <c r="C343" s="144"/>
      <c r="D343" s="152"/>
    </row>
    <row r="344" spans="2:4">
      <c r="B344" s="144"/>
      <c r="C344" s="144"/>
      <c r="D344" s="152"/>
    </row>
    <row r="345" spans="2:4">
      <c r="B345" s="144"/>
      <c r="C345" s="144"/>
      <c r="D345" s="152"/>
    </row>
    <row r="346" spans="2:4">
      <c r="B346" s="144"/>
      <c r="C346" s="144"/>
      <c r="D346" s="152"/>
    </row>
    <row r="347" spans="2:4">
      <c r="B347" s="144"/>
      <c r="C347" s="144"/>
      <c r="D347" s="152"/>
    </row>
    <row r="348" spans="2:4">
      <c r="B348" s="144"/>
      <c r="C348" s="144"/>
      <c r="D348" s="152"/>
    </row>
    <row r="349" spans="2:4">
      <c r="B349" s="144"/>
      <c r="C349" s="144"/>
      <c r="D349" s="152"/>
    </row>
    <row r="350" spans="2:4">
      <c r="B350" s="144"/>
      <c r="C350" s="144"/>
      <c r="D350" s="152"/>
    </row>
    <row r="351" spans="2:4">
      <c r="B351" s="144"/>
      <c r="C351" s="144"/>
      <c r="D351" s="152"/>
    </row>
    <row r="352" spans="2:4">
      <c r="B352" s="144"/>
      <c r="C352" s="144"/>
      <c r="D352" s="152"/>
    </row>
    <row r="353" spans="2:4">
      <c r="B353" s="144"/>
      <c r="C353" s="144"/>
      <c r="D353" s="152"/>
    </row>
    <row r="354" spans="2:4">
      <c r="B354" s="144"/>
      <c r="C354" s="144"/>
      <c r="D354" s="152"/>
    </row>
    <row r="355" spans="2:4">
      <c r="B355" s="144"/>
      <c r="C355" s="144"/>
      <c r="D355" s="152"/>
    </row>
    <row r="356" spans="2:4">
      <c r="B356" s="144"/>
      <c r="C356" s="144"/>
      <c r="D356" s="152"/>
    </row>
    <row r="357" spans="2:4">
      <c r="B357" s="144"/>
      <c r="C357" s="144"/>
      <c r="D357" s="152"/>
    </row>
    <row r="358" spans="2:4">
      <c r="B358" s="144"/>
      <c r="C358" s="144"/>
      <c r="D358" s="152"/>
    </row>
    <row r="359" spans="2:4">
      <c r="B359" s="144"/>
      <c r="C359" s="144"/>
      <c r="D359" s="152"/>
    </row>
    <row r="360" spans="2:4">
      <c r="B360" s="144"/>
      <c r="C360" s="144"/>
      <c r="D360" s="152"/>
    </row>
    <row r="361" spans="2:4">
      <c r="B361" s="144"/>
      <c r="C361" s="144"/>
      <c r="D361" s="152"/>
    </row>
    <row r="362" spans="2:4">
      <c r="B362" s="144"/>
      <c r="C362" s="144"/>
      <c r="D362" s="152"/>
    </row>
    <row r="363" spans="2:4">
      <c r="B363" s="144"/>
      <c r="C363" s="144"/>
      <c r="D363" s="152"/>
    </row>
    <row r="364" spans="2:4">
      <c r="B364" s="144"/>
      <c r="C364" s="144"/>
      <c r="D364" s="152"/>
    </row>
    <row r="365" spans="2:4">
      <c r="B365" s="144"/>
      <c r="C365" s="144"/>
      <c r="D365" s="152"/>
    </row>
    <row r="366" spans="2:4">
      <c r="B366" s="144"/>
      <c r="C366" s="144"/>
      <c r="D366" s="152"/>
    </row>
    <row r="367" spans="2:4">
      <c r="B367" s="144"/>
      <c r="C367" s="144"/>
      <c r="D367" s="152"/>
    </row>
    <row r="368" spans="2:4">
      <c r="B368" s="144"/>
      <c r="C368" s="144"/>
      <c r="D368" s="152"/>
    </row>
    <row r="369" spans="2:4">
      <c r="B369" s="144"/>
      <c r="C369" s="144"/>
      <c r="D369" s="152"/>
    </row>
    <row r="370" spans="2:4">
      <c r="B370" s="144"/>
      <c r="C370" s="144"/>
      <c r="D370" s="152"/>
    </row>
    <row r="371" spans="2:4">
      <c r="B371" s="144"/>
      <c r="C371" s="144"/>
      <c r="D371" s="152"/>
    </row>
    <row r="372" spans="2:4">
      <c r="B372" s="144"/>
      <c r="C372" s="144"/>
      <c r="D372" s="152"/>
    </row>
    <row r="373" spans="2:4">
      <c r="B373" s="144"/>
      <c r="C373" s="144"/>
      <c r="D373" s="152"/>
    </row>
    <row r="374" spans="2:4">
      <c r="B374" s="144"/>
      <c r="C374" s="144"/>
      <c r="D374" s="152"/>
    </row>
    <row r="375" spans="2:4">
      <c r="B375" s="144"/>
      <c r="C375" s="144"/>
      <c r="D375" s="152"/>
    </row>
    <row r="376" spans="2:4">
      <c r="B376" s="144"/>
      <c r="C376" s="144"/>
      <c r="D376" s="152"/>
    </row>
    <row r="377" spans="2:4">
      <c r="B377" s="144"/>
      <c r="C377" s="144"/>
      <c r="D377" s="152"/>
    </row>
    <row r="378" spans="2:4">
      <c r="B378" s="144"/>
      <c r="C378" s="144"/>
      <c r="D378" s="152"/>
    </row>
    <row r="379" spans="2:4">
      <c r="B379" s="144"/>
      <c r="C379" s="144"/>
      <c r="D379" s="152"/>
    </row>
    <row r="380" spans="2:4">
      <c r="B380" s="144"/>
      <c r="C380" s="144"/>
      <c r="D380" s="152"/>
    </row>
    <row r="381" spans="2:4">
      <c r="B381" s="144"/>
      <c r="C381" s="144"/>
      <c r="D381" s="152"/>
    </row>
    <row r="382" spans="2:4">
      <c r="B382" s="144"/>
      <c r="C382" s="144"/>
      <c r="D382" s="152"/>
    </row>
    <row r="383" spans="2:4">
      <c r="B383" s="144"/>
      <c r="C383" s="144"/>
      <c r="D383" s="152"/>
    </row>
    <row r="384" spans="2:4">
      <c r="B384" s="144"/>
      <c r="C384" s="144"/>
      <c r="D384" s="152"/>
    </row>
    <row r="385" spans="2:4">
      <c r="B385" s="144"/>
      <c r="C385" s="144"/>
      <c r="D385" s="152"/>
    </row>
    <row r="386" spans="2:4">
      <c r="B386" s="144"/>
      <c r="C386" s="144"/>
      <c r="D386" s="152"/>
    </row>
    <row r="387" spans="2:4">
      <c r="B387" s="144"/>
      <c r="C387" s="144"/>
      <c r="D387" s="152"/>
    </row>
    <row r="388" spans="2:4">
      <c r="B388" s="144"/>
      <c r="C388" s="144"/>
      <c r="D388" s="152"/>
    </row>
    <row r="389" spans="2:4">
      <c r="B389" s="144"/>
      <c r="C389" s="144"/>
      <c r="D389" s="152"/>
    </row>
    <row r="390" spans="2:4">
      <c r="B390" s="144"/>
      <c r="C390" s="144"/>
      <c r="D390" s="152"/>
    </row>
    <row r="391" spans="2:4">
      <c r="B391" s="144"/>
      <c r="C391" s="144"/>
      <c r="D391" s="152"/>
    </row>
    <row r="392" spans="2:4">
      <c r="B392" s="144"/>
      <c r="C392" s="144"/>
      <c r="D392" s="152"/>
    </row>
    <row r="393" spans="2:4">
      <c r="B393" s="144"/>
      <c r="C393" s="144"/>
      <c r="D393" s="152"/>
    </row>
    <row r="394" spans="2:4">
      <c r="B394" s="144"/>
      <c r="C394" s="144"/>
      <c r="D394" s="152"/>
    </row>
    <row r="395" spans="2:4">
      <c r="B395" s="144"/>
      <c r="C395" s="144"/>
      <c r="D395" s="152"/>
    </row>
    <row r="396" spans="2:4">
      <c r="B396" s="144"/>
      <c r="C396" s="144"/>
      <c r="D396" s="152"/>
    </row>
    <row r="397" spans="2:4">
      <c r="B397" s="144"/>
      <c r="C397" s="144"/>
      <c r="D397" s="152"/>
    </row>
    <row r="398" spans="2:4">
      <c r="B398" s="144"/>
      <c r="C398" s="144"/>
      <c r="D398" s="152"/>
    </row>
    <row r="399" spans="2:4">
      <c r="B399" s="144"/>
      <c r="C399" s="144"/>
      <c r="D399" s="152"/>
    </row>
    <row r="400" spans="2:4">
      <c r="B400" s="144"/>
      <c r="C400" s="144"/>
      <c r="D400" s="152"/>
    </row>
    <row r="401" spans="2:4">
      <c r="B401" s="144"/>
      <c r="C401" s="144"/>
      <c r="D401" s="152"/>
    </row>
    <row r="402" spans="2:4">
      <c r="B402" s="144"/>
      <c r="C402" s="144"/>
      <c r="D402" s="152"/>
    </row>
    <row r="403" spans="2:4">
      <c r="B403" s="144"/>
      <c r="C403" s="144"/>
      <c r="D403" s="152"/>
    </row>
    <row r="404" spans="2:4">
      <c r="B404" s="144"/>
      <c r="C404" s="144"/>
      <c r="D404" s="152"/>
    </row>
    <row r="405" spans="2:4">
      <c r="B405" s="144"/>
      <c r="C405" s="144"/>
      <c r="D405" s="152"/>
    </row>
    <row r="406" spans="2:4">
      <c r="B406" s="144"/>
      <c r="C406" s="144"/>
      <c r="D406" s="152"/>
    </row>
    <row r="407" spans="2:4">
      <c r="B407" s="144"/>
      <c r="C407" s="144"/>
      <c r="D407" s="152"/>
    </row>
    <row r="408" spans="2:4">
      <c r="B408" s="144"/>
      <c r="C408" s="144"/>
      <c r="D408" s="152"/>
    </row>
    <row r="409" spans="2:4">
      <c r="B409" s="144"/>
      <c r="C409" s="144"/>
      <c r="D409" s="152"/>
    </row>
    <row r="410" spans="2:4">
      <c r="B410" s="144"/>
      <c r="C410" s="144"/>
      <c r="D410" s="152"/>
    </row>
    <row r="411" spans="2:4">
      <c r="B411" s="144"/>
      <c r="C411" s="144"/>
      <c r="D411" s="152"/>
    </row>
    <row r="412" spans="2:4">
      <c r="B412" s="144"/>
      <c r="C412" s="144"/>
      <c r="D412" s="152"/>
    </row>
    <row r="413" spans="2:4">
      <c r="B413" s="144"/>
      <c r="C413" s="144"/>
      <c r="D413" s="152"/>
    </row>
    <row r="414" spans="2:4">
      <c r="B414" s="144"/>
      <c r="C414" s="144"/>
      <c r="D414" s="152"/>
    </row>
    <row r="415" spans="2:4">
      <c r="B415" s="144"/>
      <c r="C415" s="144"/>
      <c r="D415" s="152"/>
    </row>
    <row r="416" spans="2:4">
      <c r="B416" s="144"/>
      <c r="C416" s="144"/>
      <c r="D416" s="152"/>
    </row>
    <row r="417" spans="2:4">
      <c r="B417" s="144"/>
      <c r="C417" s="144"/>
      <c r="D417" s="152"/>
    </row>
    <row r="418" spans="2:4">
      <c r="B418" s="144"/>
      <c r="C418" s="144"/>
      <c r="D418" s="152"/>
    </row>
    <row r="419" spans="2:4">
      <c r="B419" s="144"/>
      <c r="C419" s="144"/>
      <c r="D419" s="152"/>
    </row>
    <row r="420" spans="2:4">
      <c r="B420" s="144"/>
      <c r="C420" s="144"/>
      <c r="D420" s="152"/>
    </row>
    <row r="421" spans="2:4">
      <c r="B421" s="144"/>
      <c r="C421" s="144"/>
      <c r="D421" s="152"/>
    </row>
    <row r="422" spans="2:4">
      <c r="B422" s="144"/>
      <c r="C422" s="144"/>
      <c r="D422" s="152"/>
    </row>
    <row r="423" spans="2:4">
      <c r="B423" s="144"/>
      <c r="C423" s="144"/>
      <c r="D423" s="152"/>
    </row>
    <row r="424" spans="2:4">
      <c r="B424" s="144"/>
      <c r="C424" s="144"/>
      <c r="D424" s="152"/>
    </row>
    <row r="425" spans="2:4">
      <c r="B425" s="144"/>
      <c r="C425" s="144"/>
      <c r="D425" s="152"/>
    </row>
    <row r="426" spans="2:4">
      <c r="B426" s="144"/>
      <c r="C426" s="144"/>
      <c r="D426" s="152"/>
    </row>
    <row r="427" spans="2:4">
      <c r="B427" s="144"/>
      <c r="C427" s="144"/>
      <c r="D427" s="152"/>
    </row>
    <row r="428" spans="2:4">
      <c r="B428" s="144"/>
      <c r="C428" s="144"/>
      <c r="D428" s="152"/>
    </row>
    <row r="429" spans="2:4">
      <c r="B429" s="144"/>
      <c r="C429" s="144"/>
      <c r="D429" s="152"/>
    </row>
    <row r="430" spans="2:4">
      <c r="B430" s="144"/>
      <c r="C430" s="144"/>
      <c r="D430" s="152"/>
    </row>
    <row r="431" spans="2:4">
      <c r="B431" s="144"/>
      <c r="C431" s="144"/>
      <c r="D431" s="152"/>
    </row>
    <row r="432" spans="2:4">
      <c r="B432" s="144"/>
      <c r="C432" s="144"/>
      <c r="D432" s="152"/>
    </row>
    <row r="433" spans="2:4">
      <c r="B433" s="144"/>
      <c r="C433" s="144"/>
      <c r="D433" s="152"/>
    </row>
    <row r="434" spans="2:4">
      <c r="B434" s="144"/>
      <c r="C434" s="144"/>
      <c r="D434" s="152"/>
    </row>
    <row r="435" spans="2:4">
      <c r="B435" s="144"/>
      <c r="C435" s="144"/>
      <c r="D435" s="152"/>
    </row>
    <row r="436" spans="2:4">
      <c r="B436" s="144"/>
      <c r="C436" s="144"/>
      <c r="D436" s="152"/>
    </row>
    <row r="437" spans="2:4">
      <c r="B437" s="144"/>
      <c r="C437" s="144"/>
      <c r="D437" s="152"/>
    </row>
    <row r="438" spans="2:4">
      <c r="B438" s="144"/>
      <c r="C438" s="144"/>
      <c r="D438" s="152"/>
    </row>
    <row r="439" spans="2:4">
      <c r="B439" s="144"/>
      <c r="C439" s="144"/>
      <c r="D439" s="152"/>
    </row>
    <row r="440" spans="2:4">
      <c r="B440" s="144"/>
      <c r="C440" s="144"/>
      <c r="D440" s="152"/>
    </row>
    <row r="441" spans="2:4">
      <c r="B441" s="144"/>
      <c r="C441" s="144"/>
      <c r="D441" s="152"/>
    </row>
    <row r="442" spans="2:4">
      <c r="B442" s="144"/>
      <c r="C442" s="144"/>
      <c r="D442" s="152"/>
    </row>
    <row r="443" spans="2:4">
      <c r="B443" s="144"/>
      <c r="C443" s="144"/>
      <c r="D443" s="152"/>
    </row>
    <row r="444" spans="2:4">
      <c r="B444" s="144"/>
      <c r="C444" s="144"/>
      <c r="D444" s="152"/>
    </row>
    <row r="445" spans="2:4">
      <c r="B445" s="144"/>
      <c r="C445" s="144"/>
      <c r="D445" s="152"/>
    </row>
    <row r="446" spans="2:4">
      <c r="B446" s="144"/>
      <c r="C446" s="144"/>
      <c r="D446" s="152"/>
    </row>
    <row r="447" spans="2:4">
      <c r="B447" s="144"/>
      <c r="C447" s="144"/>
      <c r="D447" s="152"/>
    </row>
    <row r="448" spans="2:4">
      <c r="B448" s="144"/>
      <c r="C448" s="144"/>
      <c r="D448" s="152"/>
    </row>
    <row r="449" spans="2:4">
      <c r="B449" s="144"/>
      <c r="C449" s="144"/>
      <c r="D449" s="152"/>
    </row>
    <row r="450" spans="2:4">
      <c r="B450" s="144"/>
      <c r="C450" s="144"/>
      <c r="D450" s="152"/>
    </row>
    <row r="451" spans="2:4">
      <c r="B451" s="144"/>
      <c r="C451" s="144"/>
      <c r="D451" s="152"/>
    </row>
    <row r="452" spans="2:4">
      <c r="B452" s="144"/>
      <c r="C452" s="144"/>
      <c r="D452" s="152"/>
    </row>
    <row r="453" spans="2:4">
      <c r="B453" s="144"/>
      <c r="C453" s="144"/>
      <c r="D453" s="152"/>
    </row>
    <row r="454" spans="2:4">
      <c r="B454" s="144"/>
      <c r="C454" s="144"/>
      <c r="D454" s="152"/>
    </row>
    <row r="455" spans="2:4">
      <c r="B455" s="144"/>
      <c r="C455" s="144"/>
      <c r="D455" s="152"/>
    </row>
    <row r="456" spans="2:4">
      <c r="B456" s="144"/>
      <c r="C456" s="144"/>
      <c r="D456" s="152"/>
    </row>
    <row r="457" spans="2:4">
      <c r="B457" s="144"/>
      <c r="C457" s="144"/>
      <c r="D457" s="152"/>
    </row>
    <row r="458" spans="2:4">
      <c r="B458" s="144"/>
      <c r="C458" s="144"/>
      <c r="D458" s="152"/>
    </row>
    <row r="459" spans="2:4">
      <c r="B459" s="144"/>
      <c r="C459" s="144"/>
      <c r="D459" s="152"/>
    </row>
    <row r="460" spans="2:4">
      <c r="B460" s="144"/>
      <c r="C460" s="144"/>
      <c r="D460" s="152"/>
    </row>
    <row r="461" spans="2:4">
      <c r="B461" s="144"/>
      <c r="C461" s="144"/>
      <c r="D461" s="152"/>
    </row>
    <row r="462" spans="2:4">
      <c r="B462" s="144"/>
      <c r="C462" s="144"/>
      <c r="D462" s="152"/>
    </row>
    <row r="463" spans="2:4">
      <c r="B463" s="144"/>
      <c r="C463" s="144"/>
      <c r="D463" s="152"/>
    </row>
    <row r="464" spans="2:4">
      <c r="B464" s="144"/>
      <c r="C464" s="144"/>
      <c r="D464" s="152"/>
    </row>
    <row r="465" spans="2:4">
      <c r="B465" s="144"/>
      <c r="C465" s="144"/>
      <c r="D465" s="152"/>
    </row>
    <row r="466" spans="2:4">
      <c r="B466" s="144"/>
      <c r="C466" s="144"/>
      <c r="D466" s="152"/>
    </row>
    <row r="467" spans="2:4">
      <c r="B467" s="144"/>
      <c r="C467" s="144"/>
      <c r="D467" s="152"/>
    </row>
    <row r="468" spans="2:4">
      <c r="B468" s="144"/>
      <c r="C468" s="144"/>
      <c r="D468" s="152"/>
    </row>
    <row r="469" spans="2:4">
      <c r="B469" s="144"/>
      <c r="C469" s="144"/>
      <c r="D469" s="152"/>
    </row>
    <row r="470" spans="2:4">
      <c r="B470" s="144"/>
      <c r="C470" s="144"/>
      <c r="D470" s="152"/>
    </row>
    <row r="471" spans="2:4">
      <c r="B471" s="144"/>
      <c r="C471" s="144"/>
      <c r="D471" s="152"/>
    </row>
    <row r="472" spans="2:4">
      <c r="B472" s="144"/>
      <c r="C472" s="144"/>
      <c r="D472" s="152"/>
    </row>
    <row r="473" spans="2:4">
      <c r="B473" s="144"/>
      <c r="C473" s="144"/>
      <c r="D473" s="152"/>
    </row>
    <row r="474" spans="2:4">
      <c r="B474" s="144"/>
      <c r="C474" s="144"/>
      <c r="D474" s="152"/>
    </row>
    <row r="475" spans="2:4">
      <c r="B475" s="144"/>
      <c r="C475" s="144"/>
      <c r="D475" s="152"/>
    </row>
    <row r="476" spans="2:4">
      <c r="B476" s="144"/>
      <c r="C476" s="144"/>
      <c r="D476" s="152"/>
    </row>
    <row r="477" spans="2:4">
      <c r="B477" s="144"/>
      <c r="C477" s="144"/>
      <c r="D477" s="152"/>
    </row>
    <row r="478" spans="2:4">
      <c r="B478" s="144"/>
      <c r="C478" s="144"/>
      <c r="D478" s="152"/>
    </row>
    <row r="479" spans="2:4">
      <c r="B479" s="144"/>
      <c r="C479" s="144"/>
      <c r="D479" s="152"/>
    </row>
    <row r="480" spans="2:4">
      <c r="B480" s="144"/>
      <c r="C480" s="144"/>
      <c r="D480" s="152"/>
    </row>
    <row r="481" spans="2:4">
      <c r="B481" s="144"/>
      <c r="C481" s="144"/>
      <c r="D481" s="152"/>
    </row>
    <row r="482" spans="2:4">
      <c r="B482" s="144"/>
      <c r="C482" s="144"/>
      <c r="D482" s="152"/>
    </row>
    <row r="483" spans="2:4">
      <c r="B483" s="144"/>
      <c r="C483" s="144"/>
      <c r="D483" s="152"/>
    </row>
    <row r="484" spans="2:4">
      <c r="B484" s="144"/>
      <c r="C484" s="144"/>
      <c r="D484" s="152"/>
    </row>
    <row r="485" spans="2:4">
      <c r="B485" s="144"/>
      <c r="C485" s="144"/>
      <c r="D485" s="152"/>
    </row>
    <row r="486" spans="2:4">
      <c r="B486" s="144"/>
      <c r="C486" s="144"/>
      <c r="D486" s="152"/>
    </row>
    <row r="487" spans="2:4">
      <c r="B487" s="144"/>
      <c r="C487" s="144"/>
      <c r="D487" s="152"/>
    </row>
    <row r="488" spans="2:4">
      <c r="B488" s="144"/>
      <c r="C488" s="144"/>
      <c r="D488" s="152"/>
    </row>
    <row r="489" spans="2:4">
      <c r="B489" s="144"/>
      <c r="C489" s="144"/>
      <c r="D489" s="152"/>
    </row>
    <row r="490" spans="2:4">
      <c r="B490" s="144"/>
      <c r="C490" s="144"/>
      <c r="D490" s="152"/>
    </row>
    <row r="491" spans="2:4">
      <c r="B491" s="144"/>
      <c r="C491" s="144"/>
      <c r="D491" s="152"/>
    </row>
    <row r="492" spans="2:4">
      <c r="B492" s="144"/>
      <c r="C492" s="144"/>
      <c r="D492" s="152"/>
    </row>
    <row r="493" spans="2:4">
      <c r="B493" s="144"/>
      <c r="C493" s="144"/>
      <c r="D493" s="152"/>
    </row>
    <row r="494" spans="2:4">
      <c r="B494" s="144"/>
      <c r="C494" s="144"/>
      <c r="D494" s="152"/>
    </row>
    <row r="495" spans="2:4">
      <c r="B495" s="144"/>
      <c r="C495" s="144"/>
      <c r="D495" s="152"/>
    </row>
    <row r="496" spans="2:4">
      <c r="B496" s="144"/>
      <c r="C496" s="144"/>
      <c r="D496" s="152"/>
    </row>
    <row r="497" spans="2:4">
      <c r="B497" s="144"/>
      <c r="C497" s="144"/>
      <c r="D497" s="152"/>
    </row>
    <row r="498" spans="2:4">
      <c r="B498" s="144"/>
      <c r="C498" s="144"/>
      <c r="D498" s="152"/>
    </row>
    <row r="499" spans="2:4">
      <c r="B499" s="144"/>
      <c r="C499" s="144"/>
      <c r="D499" s="152"/>
    </row>
    <row r="500" spans="2:4">
      <c r="B500" s="144"/>
      <c r="C500" s="144"/>
      <c r="D500" s="152"/>
    </row>
    <row r="501" spans="2:4">
      <c r="B501" s="144"/>
      <c r="C501" s="144"/>
      <c r="D501" s="152"/>
    </row>
    <row r="502" spans="2:4">
      <c r="B502" s="144"/>
      <c r="C502" s="144"/>
      <c r="D502" s="152"/>
    </row>
    <row r="503" spans="2:4">
      <c r="B503" s="144"/>
      <c r="C503" s="144"/>
      <c r="D503" s="152"/>
    </row>
    <row r="504" spans="2:4">
      <c r="B504" s="144"/>
      <c r="C504" s="144"/>
      <c r="D504" s="152"/>
    </row>
    <row r="505" spans="2:4">
      <c r="B505" s="144"/>
      <c r="C505" s="144"/>
      <c r="D505" s="152"/>
    </row>
    <row r="506" spans="2:4">
      <c r="B506" s="144"/>
      <c r="C506" s="144"/>
      <c r="D506" s="152"/>
    </row>
    <row r="507" spans="2:4">
      <c r="B507" s="144"/>
      <c r="C507" s="144"/>
      <c r="D507" s="152"/>
    </row>
    <row r="508" spans="2:4">
      <c r="B508" s="144"/>
      <c r="C508" s="144"/>
      <c r="D508" s="152"/>
    </row>
    <row r="509" spans="2:4">
      <c r="B509" s="144"/>
      <c r="C509" s="144"/>
      <c r="D509" s="152"/>
    </row>
    <row r="510" spans="2:4">
      <c r="B510" s="144"/>
      <c r="C510" s="144"/>
      <c r="D510" s="152"/>
    </row>
    <row r="511" spans="2:4">
      <c r="B511" s="144"/>
      <c r="C511" s="144"/>
      <c r="D511" s="152"/>
    </row>
    <row r="512" spans="2:4">
      <c r="B512" s="144"/>
      <c r="C512" s="144"/>
      <c r="D512" s="152"/>
    </row>
    <row r="513" spans="2:4">
      <c r="B513" s="144"/>
      <c r="C513" s="144"/>
      <c r="D513" s="152"/>
    </row>
    <row r="514" spans="2:4">
      <c r="B514" s="144"/>
      <c r="C514" s="144"/>
      <c r="D514" s="152"/>
    </row>
    <row r="515" spans="2:4">
      <c r="B515" s="144"/>
      <c r="C515" s="144"/>
      <c r="D515" s="152"/>
    </row>
    <row r="516" spans="2:4">
      <c r="B516" s="144"/>
      <c r="C516" s="144"/>
      <c r="D516" s="152"/>
    </row>
    <row r="517" spans="2:4">
      <c r="B517" s="144"/>
      <c r="C517" s="144"/>
      <c r="D517" s="152"/>
    </row>
    <row r="518" spans="2:4">
      <c r="B518" s="144"/>
      <c r="C518" s="144"/>
      <c r="D518" s="152"/>
    </row>
    <row r="519" spans="2:4">
      <c r="B519" s="144"/>
      <c r="C519" s="144"/>
      <c r="D519" s="152"/>
    </row>
    <row r="520" spans="2:4">
      <c r="B520" s="144"/>
      <c r="C520" s="144"/>
      <c r="D520" s="152"/>
    </row>
    <row r="521" spans="2:4">
      <c r="B521" s="144"/>
      <c r="C521" s="144"/>
      <c r="D521" s="152"/>
    </row>
    <row r="522" spans="2:4">
      <c r="B522" s="144"/>
      <c r="C522" s="144"/>
      <c r="D522" s="152"/>
    </row>
    <row r="523" spans="2:4">
      <c r="B523" s="144"/>
      <c r="C523" s="144"/>
      <c r="D523" s="152"/>
    </row>
    <row r="524" spans="2:4">
      <c r="B524" s="144"/>
      <c r="C524" s="144"/>
      <c r="D524" s="152"/>
    </row>
    <row r="525" spans="2:4">
      <c r="B525" s="144"/>
      <c r="C525" s="144"/>
      <c r="D525" s="152"/>
    </row>
    <row r="526" spans="2:4">
      <c r="B526" s="144"/>
      <c r="C526" s="144"/>
      <c r="D526" s="152"/>
    </row>
    <row r="527" spans="2:4">
      <c r="B527" s="144"/>
      <c r="C527" s="144"/>
      <c r="D527" s="152"/>
    </row>
    <row r="528" spans="2:4">
      <c r="B528" s="144"/>
      <c r="C528" s="144"/>
      <c r="D528" s="152"/>
    </row>
    <row r="529" spans="2:4">
      <c r="B529" s="144"/>
      <c r="C529" s="144"/>
      <c r="D529" s="152"/>
    </row>
    <row r="530" spans="2:4">
      <c r="B530" s="144"/>
      <c r="C530" s="144"/>
      <c r="D530" s="152"/>
    </row>
    <row r="531" spans="2:4">
      <c r="B531" s="144"/>
      <c r="C531" s="144"/>
      <c r="D531" s="152"/>
    </row>
    <row r="532" spans="2:4">
      <c r="B532" s="144"/>
      <c r="C532" s="144"/>
      <c r="D532" s="152"/>
    </row>
    <row r="533" spans="2:4">
      <c r="B533" s="144"/>
      <c r="C533" s="144"/>
      <c r="D533" s="152"/>
    </row>
    <row r="534" spans="2:4">
      <c r="B534" s="144"/>
      <c r="C534" s="144"/>
      <c r="D534" s="152"/>
    </row>
    <row r="535" spans="2:4">
      <c r="B535" s="144"/>
      <c r="C535" s="144"/>
      <c r="D535" s="152"/>
    </row>
    <row r="536" spans="2:4">
      <c r="B536" s="144"/>
      <c r="C536" s="144"/>
      <c r="D536" s="152"/>
    </row>
    <row r="537" spans="2:4">
      <c r="B537" s="144"/>
      <c r="C537" s="144"/>
      <c r="D537" s="152"/>
    </row>
    <row r="538" spans="2:4">
      <c r="B538" s="144"/>
      <c r="C538" s="144"/>
      <c r="D538" s="152"/>
    </row>
    <row r="539" spans="2:4">
      <c r="B539" s="144"/>
      <c r="C539" s="144"/>
      <c r="D539" s="152"/>
    </row>
    <row r="540" spans="2:4">
      <c r="B540" s="144"/>
      <c r="C540" s="144"/>
      <c r="D540" s="152"/>
    </row>
    <row r="541" spans="2:4">
      <c r="B541" s="144"/>
      <c r="C541" s="144"/>
      <c r="D541" s="152"/>
    </row>
    <row r="542" spans="2:4">
      <c r="B542" s="144"/>
      <c r="C542" s="144"/>
      <c r="D542" s="152"/>
    </row>
    <row r="543" spans="2:4">
      <c r="B543" s="144"/>
      <c r="C543" s="144"/>
      <c r="D543" s="152"/>
    </row>
    <row r="544" spans="2:4">
      <c r="B544" s="144"/>
      <c r="C544" s="144"/>
      <c r="D544" s="152"/>
    </row>
    <row r="545" spans="2:4">
      <c r="B545" s="144"/>
      <c r="C545" s="144"/>
      <c r="D545" s="152"/>
    </row>
    <row r="546" spans="2:4">
      <c r="B546" s="144"/>
      <c r="C546" s="144"/>
      <c r="D546" s="152"/>
    </row>
    <row r="547" spans="2:4">
      <c r="B547" s="144"/>
      <c r="C547" s="144"/>
      <c r="D547" s="152"/>
    </row>
    <row r="548" spans="2:4">
      <c r="B548" s="144"/>
      <c r="C548" s="144"/>
      <c r="D548" s="152"/>
    </row>
    <row r="549" spans="2:4">
      <c r="B549" s="144"/>
      <c r="C549" s="144"/>
      <c r="D549" s="152"/>
    </row>
    <row r="550" spans="2:4">
      <c r="B550" s="144"/>
      <c r="C550" s="144"/>
      <c r="D550" s="152"/>
    </row>
    <row r="551" spans="2:4">
      <c r="B551" s="144"/>
      <c r="C551" s="144"/>
      <c r="D551" s="152"/>
    </row>
    <row r="552" spans="2:4">
      <c r="B552" s="144"/>
      <c r="C552" s="144"/>
      <c r="D552" s="152"/>
    </row>
    <row r="553" spans="2:4">
      <c r="B553" s="144"/>
      <c r="C553" s="144"/>
      <c r="D553" s="152"/>
    </row>
    <row r="554" spans="2:4">
      <c r="B554" s="144"/>
      <c r="C554" s="144"/>
      <c r="D554" s="152"/>
    </row>
    <row r="555" spans="2:4">
      <c r="B555" s="144"/>
      <c r="C555" s="144"/>
      <c r="D555" s="152"/>
    </row>
    <row r="556" spans="2:4">
      <c r="B556" s="144"/>
      <c r="C556" s="144"/>
      <c r="D556" s="152"/>
    </row>
    <row r="557" spans="2:4">
      <c r="B557" s="144"/>
      <c r="C557" s="144"/>
      <c r="D557" s="152"/>
    </row>
    <row r="558" spans="2:4">
      <c r="B558" s="144"/>
      <c r="C558" s="144"/>
      <c r="D558" s="152"/>
    </row>
    <row r="559" spans="2:4">
      <c r="B559" s="144"/>
      <c r="C559" s="144"/>
      <c r="D559" s="152"/>
    </row>
    <row r="560" spans="2:4">
      <c r="B560" s="144"/>
      <c r="C560" s="144"/>
      <c r="D560" s="152"/>
    </row>
    <row r="561" spans="2:4">
      <c r="B561" s="144"/>
      <c r="C561" s="144"/>
      <c r="D561" s="152"/>
    </row>
    <row r="562" spans="2:4">
      <c r="B562" s="144"/>
      <c r="C562" s="144"/>
      <c r="D562" s="152"/>
    </row>
    <row r="563" spans="2:4">
      <c r="B563" s="144"/>
      <c r="C563" s="144"/>
      <c r="D563" s="152"/>
    </row>
    <row r="564" spans="2:4">
      <c r="B564" s="144"/>
      <c r="C564" s="144"/>
      <c r="D564" s="152"/>
    </row>
    <row r="565" spans="2:4">
      <c r="B565" s="144"/>
      <c r="C565" s="144"/>
      <c r="D565" s="152"/>
    </row>
    <row r="566" spans="2:4">
      <c r="B566" s="144"/>
      <c r="C566" s="144"/>
      <c r="D566" s="152"/>
    </row>
    <row r="567" spans="2:4">
      <c r="B567" s="144"/>
      <c r="C567" s="144"/>
      <c r="D567" s="152"/>
    </row>
    <row r="568" spans="2:4">
      <c r="B568" s="144"/>
      <c r="C568" s="144"/>
      <c r="D568" s="152"/>
    </row>
    <row r="569" spans="2:4">
      <c r="B569" s="144"/>
      <c r="C569" s="144"/>
      <c r="D569" s="152"/>
    </row>
    <row r="570" spans="2:4">
      <c r="B570" s="144"/>
      <c r="C570" s="144"/>
      <c r="D570" s="152"/>
    </row>
    <row r="571" spans="2:4">
      <c r="B571" s="144"/>
      <c r="C571" s="144"/>
      <c r="D571" s="152"/>
    </row>
    <row r="572" spans="2:4">
      <c r="B572" s="144"/>
      <c r="C572" s="144"/>
      <c r="D572" s="152"/>
    </row>
    <row r="573" spans="2:4">
      <c r="B573" s="144"/>
      <c r="C573" s="144"/>
      <c r="D573" s="152"/>
    </row>
    <row r="574" spans="2:4">
      <c r="B574" s="144"/>
      <c r="C574" s="144"/>
      <c r="D574" s="152"/>
    </row>
    <row r="575" spans="2:4">
      <c r="B575" s="144"/>
      <c r="C575" s="144"/>
      <c r="D575" s="152"/>
    </row>
    <row r="576" spans="2:4">
      <c r="B576" s="144"/>
      <c r="C576" s="144"/>
      <c r="D576" s="152"/>
    </row>
    <row r="577" spans="2:4">
      <c r="B577" s="144"/>
      <c r="C577" s="144"/>
      <c r="D577" s="152"/>
    </row>
    <row r="578" spans="2:4">
      <c r="B578" s="144"/>
      <c r="C578" s="144"/>
      <c r="D578" s="152"/>
    </row>
    <row r="579" spans="2:4">
      <c r="B579" s="144"/>
      <c r="C579" s="144"/>
      <c r="D579" s="152"/>
    </row>
    <row r="580" spans="2:4">
      <c r="B580" s="144"/>
      <c r="C580" s="144"/>
      <c r="D580" s="152"/>
    </row>
    <row r="581" spans="2:4">
      <c r="B581" s="144"/>
      <c r="C581" s="144"/>
      <c r="D581" s="152"/>
    </row>
    <row r="582" spans="2:4">
      <c r="B582" s="144"/>
      <c r="C582" s="144"/>
      <c r="D582" s="152"/>
    </row>
    <row r="583" spans="2:4">
      <c r="B583" s="144"/>
      <c r="C583" s="144"/>
      <c r="D583" s="152"/>
    </row>
    <row r="584" spans="2:4">
      <c r="B584" s="144"/>
      <c r="C584" s="144"/>
      <c r="D584" s="152"/>
    </row>
    <row r="585" spans="2:4">
      <c r="B585" s="144"/>
      <c r="C585" s="144"/>
      <c r="D585" s="152"/>
    </row>
    <row r="586" spans="2:4">
      <c r="B586" s="144"/>
      <c r="C586" s="144"/>
      <c r="D586" s="152"/>
    </row>
    <row r="587" spans="2:4">
      <c r="B587" s="144"/>
      <c r="C587" s="144"/>
      <c r="D587" s="152"/>
    </row>
    <row r="588" spans="2:4">
      <c r="B588" s="144"/>
      <c r="C588" s="144"/>
      <c r="D588" s="152"/>
    </row>
    <row r="589" spans="2:4">
      <c r="B589" s="144"/>
      <c r="C589" s="144"/>
      <c r="D589" s="152"/>
    </row>
    <row r="590" spans="2:4">
      <c r="B590" s="144"/>
      <c r="C590" s="144"/>
      <c r="D590" s="152"/>
    </row>
    <row r="591" spans="2:4">
      <c r="B591" s="144"/>
      <c r="C591" s="144"/>
      <c r="D591" s="152"/>
    </row>
    <row r="592" spans="2:4">
      <c r="B592" s="144"/>
      <c r="C592" s="144"/>
      <c r="D592" s="152"/>
    </row>
    <row r="593" spans="2:4">
      <c r="B593" s="144"/>
      <c r="C593" s="144"/>
      <c r="D593" s="152"/>
    </row>
    <row r="594" spans="2:4">
      <c r="B594" s="144"/>
      <c r="C594" s="144"/>
      <c r="D594" s="152"/>
    </row>
    <row r="595" spans="2:4">
      <c r="B595" s="144"/>
      <c r="C595" s="144"/>
      <c r="D595" s="152"/>
    </row>
    <row r="596" spans="2:4">
      <c r="B596" s="144"/>
      <c r="C596" s="144"/>
      <c r="D596" s="152"/>
    </row>
    <row r="597" spans="2:4">
      <c r="B597" s="144"/>
      <c r="C597" s="144"/>
      <c r="D597" s="152"/>
    </row>
    <row r="598" spans="2:4">
      <c r="B598" s="144"/>
      <c r="C598" s="144"/>
      <c r="D598" s="152"/>
    </row>
    <row r="599" spans="2:4">
      <c r="B599" s="144"/>
      <c r="C599" s="144"/>
      <c r="D599" s="152"/>
    </row>
    <row r="600" spans="2:4">
      <c r="B600" s="144"/>
      <c r="C600" s="144"/>
      <c r="D600" s="152"/>
    </row>
    <row r="601" spans="2:4">
      <c r="B601" s="144"/>
      <c r="C601" s="144"/>
      <c r="D601" s="152"/>
    </row>
    <row r="602" spans="2:4">
      <c r="B602" s="144"/>
      <c r="C602" s="144"/>
      <c r="D602" s="152"/>
    </row>
    <row r="603" spans="2:4">
      <c r="B603" s="144"/>
      <c r="C603" s="144"/>
      <c r="D603" s="152"/>
    </row>
    <row r="604" spans="2:4">
      <c r="B604" s="144"/>
      <c r="C604" s="144"/>
      <c r="D604" s="152"/>
    </row>
    <row r="605" spans="2:4">
      <c r="B605" s="144"/>
      <c r="C605" s="144"/>
      <c r="D605" s="152"/>
    </row>
    <row r="606" spans="2:4">
      <c r="B606" s="144"/>
      <c r="C606" s="144"/>
      <c r="D606" s="152"/>
    </row>
    <row r="607" spans="2:4">
      <c r="B607" s="144"/>
      <c r="C607" s="144"/>
      <c r="D607" s="152"/>
    </row>
    <row r="608" spans="2:4">
      <c r="B608" s="144"/>
      <c r="C608" s="144"/>
      <c r="D608" s="152"/>
    </row>
    <row r="609" spans="2:4">
      <c r="B609" s="144"/>
      <c r="C609" s="144"/>
      <c r="D609" s="152"/>
    </row>
    <row r="610" spans="2:4">
      <c r="B610" s="144"/>
      <c r="C610" s="144"/>
      <c r="D610" s="152"/>
    </row>
    <row r="611" spans="2:4">
      <c r="B611" s="144"/>
      <c r="C611" s="144"/>
      <c r="D611" s="152"/>
    </row>
    <row r="612" spans="2:4">
      <c r="B612" s="144"/>
      <c r="C612" s="144"/>
      <c r="D612" s="152"/>
    </row>
    <row r="613" spans="2:4">
      <c r="B613" s="144"/>
      <c r="C613" s="144"/>
      <c r="D613" s="152"/>
    </row>
    <row r="614" spans="2:4">
      <c r="B614" s="144"/>
      <c r="C614" s="144"/>
      <c r="D614" s="152"/>
    </row>
    <row r="615" spans="2:4">
      <c r="B615" s="144"/>
      <c r="C615" s="144"/>
      <c r="D615" s="152"/>
    </row>
    <row r="616" spans="2:4">
      <c r="B616" s="144"/>
      <c r="C616" s="144"/>
      <c r="D616" s="152"/>
    </row>
    <row r="617" spans="2:4">
      <c r="B617" s="144"/>
      <c r="C617" s="144"/>
      <c r="D617" s="152"/>
    </row>
    <row r="618" spans="2:4">
      <c r="B618" s="144"/>
      <c r="C618" s="144"/>
      <c r="D618" s="152"/>
    </row>
    <row r="619" spans="2:4">
      <c r="B619" s="144"/>
      <c r="C619" s="144"/>
      <c r="D619" s="152"/>
    </row>
    <row r="620" spans="2:4">
      <c r="B620" s="144"/>
      <c r="C620" s="144"/>
      <c r="D620" s="152"/>
    </row>
    <row r="621" spans="2:4">
      <c r="B621" s="144"/>
      <c r="C621" s="144"/>
      <c r="D621" s="152"/>
    </row>
    <row r="622" spans="2:4">
      <c r="B622" s="144"/>
      <c r="C622" s="144"/>
      <c r="D622" s="152"/>
    </row>
    <row r="623" spans="2:4">
      <c r="B623" s="144"/>
      <c r="C623" s="144"/>
      <c r="D623" s="152"/>
    </row>
    <row r="624" spans="2:4">
      <c r="B624" s="144"/>
      <c r="C624" s="144"/>
      <c r="D624" s="152"/>
    </row>
    <row r="625" spans="2:4">
      <c r="B625" s="144"/>
      <c r="C625" s="144"/>
      <c r="D625" s="152"/>
    </row>
    <row r="626" spans="2:4">
      <c r="B626" s="144"/>
      <c r="C626" s="144"/>
      <c r="D626" s="152"/>
    </row>
    <row r="627" spans="2:4">
      <c r="B627" s="144"/>
      <c r="C627" s="144"/>
      <c r="D627" s="152"/>
    </row>
    <row r="628" spans="2:4">
      <c r="B628" s="144"/>
      <c r="C628" s="144"/>
      <c r="D628" s="152"/>
    </row>
    <row r="629" spans="2:4">
      <c r="B629" s="144"/>
      <c r="C629" s="144"/>
      <c r="D629" s="152"/>
    </row>
    <row r="630" spans="2:4">
      <c r="B630" s="144"/>
      <c r="C630" s="144"/>
      <c r="D630" s="152"/>
    </row>
    <row r="631" spans="2:4">
      <c r="B631" s="144"/>
      <c r="C631" s="144"/>
      <c r="D631" s="152"/>
    </row>
    <row r="632" spans="2:4">
      <c r="B632" s="144"/>
      <c r="C632" s="144"/>
      <c r="D632" s="152"/>
    </row>
    <row r="633" spans="2:4">
      <c r="B633" s="144"/>
      <c r="C633" s="144"/>
      <c r="D633" s="152"/>
    </row>
    <row r="634" spans="2:4">
      <c r="B634" s="144"/>
      <c r="C634" s="144"/>
      <c r="D634" s="152"/>
    </row>
    <row r="635" spans="2:4">
      <c r="B635" s="144"/>
      <c r="C635" s="144"/>
      <c r="D635" s="152"/>
    </row>
    <row r="636" spans="2:4">
      <c r="B636" s="144"/>
      <c r="C636" s="144"/>
      <c r="D636" s="152"/>
    </row>
    <row r="637" spans="2:4">
      <c r="B637" s="144"/>
      <c r="C637" s="144"/>
      <c r="D637" s="152"/>
    </row>
    <row r="638" spans="2:4">
      <c r="B638" s="144"/>
      <c r="C638" s="144"/>
      <c r="D638" s="152"/>
    </row>
    <row r="639" spans="2:4">
      <c r="B639" s="144"/>
      <c r="C639" s="144"/>
      <c r="D639" s="152"/>
    </row>
    <row r="640" spans="2:4">
      <c r="B640" s="144"/>
      <c r="C640" s="144"/>
      <c r="D640" s="152"/>
    </row>
    <row r="641" spans="2:4">
      <c r="B641" s="144"/>
      <c r="C641" s="144"/>
      <c r="D641" s="152"/>
    </row>
    <row r="642" spans="2:4">
      <c r="B642" s="144"/>
      <c r="C642" s="144"/>
      <c r="D642" s="152"/>
    </row>
    <row r="643" spans="2:4">
      <c r="B643" s="144"/>
      <c r="C643" s="144"/>
      <c r="D643" s="152"/>
    </row>
    <row r="644" spans="2:4">
      <c r="B644" s="144"/>
      <c r="C644" s="144"/>
      <c r="D644" s="152"/>
    </row>
    <row r="645" spans="2:4">
      <c r="B645" s="144"/>
      <c r="C645" s="144"/>
      <c r="D645" s="152"/>
    </row>
    <row r="646" spans="2:4">
      <c r="B646" s="144"/>
      <c r="C646" s="144"/>
      <c r="D646" s="152"/>
    </row>
    <row r="647" spans="2:4">
      <c r="B647" s="144"/>
      <c r="C647" s="144"/>
      <c r="D647" s="152"/>
    </row>
    <row r="648" spans="2:4">
      <c r="B648" s="144"/>
      <c r="C648" s="144"/>
      <c r="D648" s="152"/>
    </row>
    <row r="649" spans="2:4">
      <c r="B649" s="144"/>
      <c r="C649" s="144"/>
      <c r="D649" s="152"/>
    </row>
    <row r="650" spans="2:4">
      <c r="B650" s="144"/>
      <c r="C650" s="144"/>
      <c r="D650" s="152"/>
    </row>
    <row r="651" spans="2:4">
      <c r="B651" s="144"/>
      <c r="C651" s="144"/>
      <c r="D651" s="152"/>
    </row>
    <row r="652" spans="2:4">
      <c r="B652" s="144"/>
      <c r="C652" s="144"/>
      <c r="D652" s="152"/>
    </row>
    <row r="653" spans="2:4">
      <c r="B653" s="144"/>
      <c r="C653" s="144"/>
      <c r="D653" s="152"/>
    </row>
    <row r="654" spans="2:4">
      <c r="B654" s="144"/>
      <c r="C654" s="144"/>
      <c r="D654" s="152"/>
    </row>
    <row r="655" spans="2:4">
      <c r="B655" s="144"/>
      <c r="C655" s="144"/>
      <c r="D655" s="152"/>
    </row>
    <row r="656" spans="2:4">
      <c r="B656" s="144"/>
      <c r="C656" s="144"/>
      <c r="D656" s="152"/>
    </row>
    <row r="657" spans="2:4">
      <c r="B657" s="144"/>
      <c r="C657" s="144"/>
      <c r="D657" s="152"/>
    </row>
    <row r="658" spans="2:4">
      <c r="B658" s="144"/>
      <c r="C658" s="144"/>
      <c r="D658" s="152"/>
    </row>
    <row r="659" spans="2:4">
      <c r="B659" s="144"/>
      <c r="C659" s="144"/>
      <c r="D659" s="152"/>
    </row>
    <row r="660" spans="2:4">
      <c r="B660" s="144"/>
      <c r="C660" s="144"/>
      <c r="D660" s="152"/>
    </row>
    <row r="661" spans="2:4">
      <c r="B661" s="144"/>
      <c r="C661" s="144"/>
      <c r="D661" s="152"/>
    </row>
    <row r="662" spans="2:4">
      <c r="B662" s="144"/>
      <c r="C662" s="144"/>
      <c r="D662" s="152"/>
    </row>
    <row r="663" spans="2:4">
      <c r="B663" s="144"/>
      <c r="C663" s="144"/>
      <c r="D663" s="152"/>
    </row>
    <row r="664" spans="2:4">
      <c r="B664" s="144"/>
      <c r="C664" s="144"/>
      <c r="D664" s="152"/>
    </row>
    <row r="665" spans="2:4">
      <c r="B665" s="144"/>
      <c r="C665" s="144"/>
      <c r="D665" s="152"/>
    </row>
    <row r="666" spans="2:4">
      <c r="B666" s="144"/>
      <c r="C666" s="144"/>
      <c r="D666" s="152"/>
    </row>
    <row r="667" spans="2:4">
      <c r="B667" s="144"/>
      <c r="C667" s="144"/>
      <c r="D667" s="152"/>
    </row>
    <row r="668" spans="2:4">
      <c r="B668" s="144"/>
      <c r="C668" s="144"/>
      <c r="D668" s="152"/>
    </row>
    <row r="669" spans="2:4">
      <c r="B669" s="144"/>
      <c r="C669" s="144"/>
      <c r="D669" s="152"/>
    </row>
    <row r="670" spans="2:4">
      <c r="B670" s="144"/>
      <c r="C670" s="144"/>
      <c r="D670" s="152"/>
    </row>
    <row r="671" spans="2:4">
      <c r="B671" s="144"/>
      <c r="C671" s="144"/>
      <c r="D671" s="152"/>
    </row>
    <row r="672" spans="2:4">
      <c r="B672" s="144"/>
      <c r="C672" s="144"/>
      <c r="D672" s="152"/>
    </row>
    <row r="673" spans="2:4">
      <c r="B673" s="144"/>
      <c r="C673" s="144"/>
      <c r="D673" s="152"/>
    </row>
    <row r="674" spans="2:4">
      <c r="B674" s="144"/>
      <c r="C674" s="144"/>
      <c r="D674" s="152"/>
    </row>
    <row r="675" spans="2:4">
      <c r="B675" s="144"/>
      <c r="C675" s="144"/>
      <c r="D675" s="152"/>
    </row>
    <row r="676" spans="2:4">
      <c r="B676" s="144"/>
      <c r="C676" s="144"/>
      <c r="D676" s="152"/>
    </row>
    <row r="677" spans="2:4">
      <c r="B677" s="144"/>
      <c r="C677" s="144"/>
      <c r="D677" s="152"/>
    </row>
    <row r="678" spans="2:4">
      <c r="B678" s="144"/>
      <c r="C678" s="144"/>
      <c r="D678" s="152"/>
    </row>
    <row r="679" spans="2:4">
      <c r="B679" s="144"/>
      <c r="C679" s="144"/>
      <c r="D679" s="152"/>
    </row>
    <row r="680" spans="2:4">
      <c r="B680" s="144"/>
      <c r="C680" s="144"/>
      <c r="D680" s="152"/>
    </row>
    <row r="681" spans="2:4">
      <c r="B681" s="144"/>
      <c r="C681" s="144"/>
      <c r="D681" s="152"/>
    </row>
    <row r="682" spans="2:4">
      <c r="B682" s="144"/>
      <c r="C682" s="144"/>
      <c r="D682" s="152"/>
    </row>
    <row r="683" spans="2:4">
      <c r="B683" s="144"/>
      <c r="C683" s="144"/>
      <c r="D683" s="152"/>
    </row>
    <row r="684" spans="2:4">
      <c r="B684" s="144"/>
      <c r="C684" s="144"/>
      <c r="D684" s="152"/>
    </row>
    <row r="685" spans="2:4">
      <c r="B685" s="144"/>
      <c r="C685" s="144"/>
      <c r="D685" s="152"/>
    </row>
    <row r="686" spans="2:4">
      <c r="B686" s="144"/>
      <c r="C686" s="144"/>
      <c r="D686" s="152"/>
    </row>
    <row r="687" spans="2:4">
      <c r="B687" s="144"/>
      <c r="C687" s="144"/>
      <c r="D687" s="152"/>
    </row>
    <row r="688" spans="2:4">
      <c r="B688" s="144"/>
      <c r="C688" s="144"/>
      <c r="D688" s="152"/>
    </row>
    <row r="689" spans="2:4">
      <c r="B689" s="144"/>
      <c r="C689" s="144"/>
      <c r="D689" s="152"/>
    </row>
    <row r="690" spans="2:4">
      <c r="B690" s="144"/>
      <c r="C690" s="144"/>
      <c r="D690" s="152"/>
    </row>
    <row r="691" spans="2:4">
      <c r="B691" s="144"/>
      <c r="C691" s="144"/>
      <c r="D691" s="152"/>
    </row>
    <row r="692" spans="2:4">
      <c r="B692" s="144"/>
      <c r="C692" s="144"/>
      <c r="D692" s="152"/>
    </row>
    <row r="693" spans="2:4">
      <c r="B693" s="144"/>
      <c r="C693" s="144"/>
      <c r="D693" s="152"/>
    </row>
    <row r="694" spans="2:4">
      <c r="B694" s="144"/>
      <c r="C694" s="144"/>
      <c r="D694" s="152"/>
    </row>
    <row r="695" spans="2:4">
      <c r="B695" s="144"/>
      <c r="C695" s="144"/>
      <c r="D695" s="152"/>
    </row>
    <row r="696" spans="2:4">
      <c r="B696" s="144"/>
      <c r="C696" s="144"/>
      <c r="D696" s="152"/>
    </row>
    <row r="697" spans="2:4">
      <c r="B697" s="144"/>
      <c r="C697" s="144"/>
      <c r="D697" s="152"/>
    </row>
    <row r="698" spans="2:4">
      <c r="B698" s="144"/>
      <c r="C698" s="144"/>
      <c r="D698" s="152"/>
    </row>
    <row r="699" spans="2:4">
      <c r="B699" s="144"/>
      <c r="C699" s="144"/>
      <c r="D699" s="152"/>
    </row>
    <row r="700" spans="2:4">
      <c r="B700" s="144"/>
      <c r="C700" s="144"/>
      <c r="D700" s="152"/>
    </row>
    <row r="701" spans="2:4">
      <c r="B701" s="144"/>
      <c r="C701" s="144"/>
      <c r="D701" s="152"/>
    </row>
    <row r="702" spans="2:4">
      <c r="B702" s="144"/>
      <c r="C702" s="144"/>
      <c r="D702" s="152"/>
    </row>
    <row r="703" spans="2:4">
      <c r="B703" s="144"/>
      <c r="C703" s="144"/>
      <c r="D703" s="152"/>
    </row>
    <row r="704" spans="2:4">
      <c r="B704" s="144"/>
      <c r="C704" s="144"/>
      <c r="D704" s="152"/>
    </row>
    <row r="705" spans="2:4">
      <c r="B705" s="144"/>
      <c r="C705" s="144"/>
      <c r="D705" s="152"/>
    </row>
    <row r="706" spans="2:4">
      <c r="B706" s="144"/>
      <c r="C706" s="144"/>
      <c r="D706" s="152"/>
    </row>
    <row r="707" spans="2:4">
      <c r="B707" s="144"/>
      <c r="C707" s="144"/>
      <c r="D707" s="152"/>
    </row>
    <row r="708" spans="2:4">
      <c r="B708" s="144"/>
      <c r="C708" s="144"/>
      <c r="D708" s="152"/>
    </row>
    <row r="709" spans="2:4">
      <c r="B709" s="144"/>
      <c r="C709" s="144"/>
      <c r="D709" s="152"/>
    </row>
    <row r="710" spans="2:4">
      <c r="B710" s="144"/>
      <c r="C710" s="144"/>
      <c r="D710" s="152"/>
    </row>
    <row r="711" spans="2:4">
      <c r="B711" s="144"/>
      <c r="C711" s="144"/>
      <c r="D711" s="152"/>
    </row>
    <row r="712" spans="2:4">
      <c r="B712" s="144"/>
      <c r="C712" s="144"/>
      <c r="D712" s="152"/>
    </row>
    <row r="713" spans="2:4">
      <c r="B713" s="144"/>
      <c r="C713" s="144"/>
      <c r="D713" s="152"/>
    </row>
    <row r="714" spans="2:4">
      <c r="B714" s="144"/>
      <c r="C714" s="144"/>
      <c r="D714" s="152"/>
    </row>
    <row r="715" spans="2:4">
      <c r="B715" s="144"/>
      <c r="C715" s="144"/>
      <c r="D715" s="152"/>
    </row>
    <row r="716" spans="2:4">
      <c r="B716" s="144"/>
      <c r="C716" s="144"/>
      <c r="D716" s="152"/>
    </row>
    <row r="717" spans="2:4">
      <c r="B717" s="144"/>
      <c r="C717" s="144"/>
      <c r="D717" s="152"/>
    </row>
    <row r="718" spans="2:4">
      <c r="B718" s="144"/>
      <c r="C718" s="144"/>
      <c r="D718" s="152"/>
    </row>
    <row r="719" spans="2:4">
      <c r="B719" s="144"/>
      <c r="C719" s="144"/>
      <c r="D719" s="152"/>
    </row>
    <row r="720" spans="2:4">
      <c r="B720" s="144"/>
      <c r="C720" s="144"/>
      <c r="D720" s="152"/>
    </row>
    <row r="721" spans="2:4">
      <c r="B721" s="144"/>
      <c r="C721" s="144"/>
      <c r="D721" s="152"/>
    </row>
    <row r="722" spans="2:4">
      <c r="B722" s="144"/>
      <c r="C722" s="144"/>
      <c r="D722" s="152"/>
    </row>
    <row r="723" spans="2:4">
      <c r="B723" s="144"/>
      <c r="C723" s="144"/>
      <c r="D723" s="152"/>
    </row>
    <row r="724" spans="2:4">
      <c r="B724" s="144"/>
      <c r="C724" s="144"/>
      <c r="D724" s="152"/>
    </row>
    <row r="725" spans="2:4">
      <c r="B725" s="144"/>
      <c r="C725" s="144"/>
      <c r="D725" s="152"/>
    </row>
    <row r="726" spans="2:4">
      <c r="B726" s="144"/>
      <c r="C726" s="144"/>
      <c r="D726" s="152"/>
    </row>
    <row r="727" spans="2:4">
      <c r="B727" s="144"/>
      <c r="C727" s="144"/>
      <c r="D727" s="152"/>
    </row>
    <row r="728" spans="2:4">
      <c r="B728" s="144"/>
      <c r="C728" s="144"/>
      <c r="D728" s="152"/>
    </row>
    <row r="729" spans="2:4">
      <c r="B729" s="144"/>
      <c r="C729" s="144"/>
      <c r="D729" s="152"/>
    </row>
    <row r="730" spans="2:4">
      <c r="B730" s="144"/>
      <c r="C730" s="144"/>
      <c r="D730" s="152"/>
    </row>
    <row r="731" spans="2:4">
      <c r="B731" s="144"/>
      <c r="C731" s="144"/>
      <c r="D731" s="152"/>
    </row>
    <row r="732" spans="2:4">
      <c r="B732" s="144"/>
      <c r="C732" s="144"/>
      <c r="D732" s="152"/>
    </row>
    <row r="733" spans="2:4">
      <c r="B733" s="144"/>
      <c r="C733" s="144"/>
      <c r="D733" s="152"/>
    </row>
    <row r="734" spans="2:4">
      <c r="B734" s="144"/>
      <c r="C734" s="144"/>
      <c r="D734" s="152"/>
    </row>
    <row r="735" spans="2:4">
      <c r="B735" s="144"/>
      <c r="C735" s="144"/>
      <c r="D735" s="152"/>
    </row>
    <row r="736" spans="2:4">
      <c r="B736" s="144"/>
      <c r="C736" s="144"/>
      <c r="D736" s="152"/>
    </row>
    <row r="737" spans="2:4">
      <c r="B737" s="144"/>
      <c r="C737" s="144"/>
      <c r="D737" s="152"/>
    </row>
    <row r="738" spans="2:4">
      <c r="B738" s="144"/>
      <c r="C738" s="144"/>
      <c r="D738" s="152"/>
    </row>
    <row r="739" spans="2:4">
      <c r="B739" s="144"/>
      <c r="C739" s="144"/>
      <c r="D739" s="152"/>
    </row>
    <row r="740" spans="2:4">
      <c r="B740" s="144"/>
      <c r="C740" s="144"/>
      <c r="D740" s="152"/>
    </row>
    <row r="741" spans="2:4">
      <c r="B741" s="144"/>
      <c r="C741" s="144"/>
      <c r="D741" s="152"/>
    </row>
    <row r="742" spans="2:4">
      <c r="B742" s="144"/>
      <c r="C742" s="144"/>
      <c r="D742" s="152"/>
    </row>
    <row r="743" spans="2:4">
      <c r="B743" s="144"/>
      <c r="C743" s="144"/>
      <c r="D743" s="152"/>
    </row>
    <row r="744" spans="2:4">
      <c r="B744" s="144"/>
      <c r="C744" s="144"/>
      <c r="D744" s="152"/>
    </row>
    <row r="745" spans="2:4">
      <c r="B745" s="144"/>
      <c r="C745" s="144"/>
      <c r="D745" s="152"/>
    </row>
    <row r="746" spans="2:4">
      <c r="B746" s="144"/>
      <c r="C746" s="144"/>
      <c r="D746" s="152"/>
    </row>
    <row r="747" spans="2:4">
      <c r="B747" s="144"/>
      <c r="C747" s="144"/>
      <c r="D747" s="152"/>
    </row>
    <row r="748" spans="2:4">
      <c r="B748" s="144"/>
      <c r="C748" s="144"/>
      <c r="D748" s="152"/>
    </row>
    <row r="749" spans="2:4">
      <c r="B749" s="144"/>
      <c r="C749" s="144"/>
      <c r="D749" s="152"/>
    </row>
    <row r="750" spans="2:4">
      <c r="B750" s="144"/>
      <c r="C750" s="144"/>
      <c r="D750" s="152"/>
    </row>
    <row r="751" spans="2:4">
      <c r="B751" s="144"/>
      <c r="C751" s="144"/>
      <c r="D751" s="152"/>
    </row>
    <row r="752" spans="2:4">
      <c r="B752" s="144"/>
      <c r="C752" s="144"/>
      <c r="D752" s="152"/>
    </row>
    <row r="753" spans="2:4">
      <c r="B753" s="144"/>
      <c r="C753" s="144"/>
      <c r="D753" s="152"/>
    </row>
    <row r="754" spans="2:4">
      <c r="B754" s="144"/>
      <c r="C754" s="144"/>
      <c r="D754" s="152"/>
    </row>
    <row r="755" spans="2:4">
      <c r="B755" s="144"/>
      <c r="C755" s="144"/>
      <c r="D755" s="152"/>
    </row>
    <row r="756" spans="2:4">
      <c r="B756" s="144"/>
      <c r="C756" s="144"/>
      <c r="D756" s="152"/>
    </row>
    <row r="757" spans="2:4">
      <c r="B757" s="144"/>
      <c r="C757" s="144"/>
      <c r="D757" s="152"/>
    </row>
    <row r="758" spans="2:4">
      <c r="B758" s="144"/>
      <c r="C758" s="144"/>
      <c r="D758" s="152"/>
    </row>
    <row r="759" spans="2:4">
      <c r="B759" s="144"/>
      <c r="C759" s="144"/>
      <c r="D759" s="152"/>
    </row>
    <row r="760" spans="2:4">
      <c r="B760" s="144"/>
      <c r="C760" s="144"/>
      <c r="D760" s="152"/>
    </row>
    <row r="761" spans="2:4">
      <c r="B761" s="144"/>
      <c r="C761" s="144"/>
      <c r="D761" s="152"/>
    </row>
    <row r="762" spans="2:4">
      <c r="B762" s="144"/>
      <c r="C762" s="144"/>
      <c r="D762" s="152"/>
    </row>
    <row r="763" spans="2:4">
      <c r="B763" s="144"/>
      <c r="C763" s="144"/>
      <c r="D763" s="152"/>
    </row>
    <row r="764" spans="2:4">
      <c r="B764" s="144"/>
      <c r="C764" s="144"/>
      <c r="D764" s="152"/>
    </row>
    <row r="765" spans="2:4">
      <c r="B765" s="144"/>
      <c r="C765" s="144"/>
      <c r="D765" s="152"/>
    </row>
    <row r="766" spans="2:4">
      <c r="B766" s="144"/>
      <c r="C766" s="144"/>
      <c r="D766" s="152"/>
    </row>
    <row r="767" spans="2:4">
      <c r="B767" s="144"/>
      <c r="C767" s="144"/>
      <c r="D767" s="152"/>
    </row>
    <row r="768" spans="2:4">
      <c r="B768" s="144"/>
      <c r="C768" s="144"/>
      <c r="D768" s="152"/>
    </row>
    <row r="769" spans="2:4">
      <c r="B769" s="144"/>
      <c r="C769" s="144"/>
      <c r="D769" s="152"/>
    </row>
    <row r="770" spans="2:4">
      <c r="B770" s="144"/>
      <c r="C770" s="144"/>
      <c r="D770" s="152"/>
    </row>
    <row r="771" spans="2:4">
      <c r="B771" s="144"/>
      <c r="C771" s="144"/>
      <c r="D771" s="152"/>
    </row>
    <row r="772" spans="2:4">
      <c r="B772" s="144"/>
      <c r="C772" s="144"/>
      <c r="D772" s="152"/>
    </row>
    <row r="773" spans="2:4">
      <c r="B773" s="144"/>
      <c r="C773" s="144"/>
      <c r="D773" s="152"/>
    </row>
    <row r="774" spans="2:4">
      <c r="B774" s="144"/>
      <c r="C774" s="144"/>
      <c r="D774" s="152"/>
    </row>
    <row r="775" spans="2:4">
      <c r="B775" s="144"/>
      <c r="C775" s="144"/>
      <c r="D775" s="152"/>
    </row>
    <row r="776" spans="2:4">
      <c r="B776" s="144"/>
      <c r="C776" s="144"/>
      <c r="D776" s="152"/>
    </row>
    <row r="777" spans="2:4">
      <c r="B777" s="144"/>
      <c r="C777" s="144"/>
      <c r="D777" s="152"/>
    </row>
    <row r="778" spans="2:4">
      <c r="B778" s="144"/>
      <c r="C778" s="144"/>
      <c r="D778" s="152"/>
    </row>
    <row r="779" spans="2:4">
      <c r="B779" s="144"/>
      <c r="C779" s="144"/>
      <c r="D779" s="152"/>
    </row>
    <row r="780" spans="2:4">
      <c r="B780" s="144"/>
      <c r="C780" s="144"/>
      <c r="D780" s="152"/>
    </row>
    <row r="781" spans="2:4">
      <c r="B781" s="144"/>
      <c r="C781" s="144"/>
      <c r="D781" s="152"/>
    </row>
    <row r="782" spans="2:4">
      <c r="B782" s="144"/>
      <c r="C782" s="144"/>
      <c r="D782" s="152"/>
    </row>
    <row r="783" spans="2:4">
      <c r="B783" s="144"/>
      <c r="C783" s="144"/>
      <c r="D783" s="152"/>
    </row>
    <row r="784" spans="2:4">
      <c r="B784" s="144"/>
      <c r="C784" s="144"/>
      <c r="D784" s="152"/>
    </row>
    <row r="785" spans="2:4">
      <c r="B785" s="144"/>
      <c r="C785" s="144"/>
      <c r="D785" s="152"/>
    </row>
    <row r="786" spans="2:4">
      <c r="B786" s="144"/>
      <c r="C786" s="144"/>
      <c r="D786" s="152"/>
    </row>
    <row r="787" spans="2:4">
      <c r="B787" s="144"/>
      <c r="C787" s="144"/>
      <c r="D787" s="152"/>
    </row>
    <row r="788" spans="2:4">
      <c r="B788" s="144"/>
      <c r="C788" s="144"/>
      <c r="D788" s="152"/>
    </row>
    <row r="789" spans="2:4">
      <c r="B789" s="144"/>
      <c r="C789" s="144"/>
      <c r="D789" s="152"/>
    </row>
    <row r="790" spans="2:4">
      <c r="B790" s="144"/>
      <c r="C790" s="144"/>
      <c r="D790" s="152"/>
    </row>
    <row r="791" spans="2:4">
      <c r="B791" s="144"/>
      <c r="C791" s="144"/>
      <c r="D791" s="152"/>
    </row>
    <row r="792" spans="2:4">
      <c r="B792" s="144"/>
      <c r="C792" s="144"/>
      <c r="D792" s="152"/>
    </row>
    <row r="793" spans="2:4">
      <c r="B793" s="144"/>
      <c r="C793" s="144"/>
      <c r="D793" s="152"/>
    </row>
    <row r="794" spans="2:4">
      <c r="B794" s="144"/>
      <c r="C794" s="144"/>
      <c r="D794" s="152"/>
    </row>
    <row r="795" spans="2:4">
      <c r="B795" s="144"/>
      <c r="C795" s="144"/>
      <c r="D795" s="152"/>
    </row>
    <row r="796" spans="2:4">
      <c r="B796" s="144"/>
      <c r="C796" s="144"/>
      <c r="D796" s="152"/>
    </row>
    <row r="797" spans="2:4">
      <c r="B797" s="144"/>
      <c r="C797" s="144"/>
      <c r="D797" s="152"/>
    </row>
    <row r="798" spans="2:4">
      <c r="B798" s="144"/>
      <c r="C798" s="144"/>
      <c r="D798" s="152"/>
    </row>
    <row r="799" spans="2:4">
      <c r="B799" s="144"/>
      <c r="C799" s="144"/>
      <c r="D799" s="152"/>
    </row>
    <row r="800" spans="2:4">
      <c r="B800" s="144"/>
      <c r="C800" s="144"/>
      <c r="D800" s="152"/>
    </row>
    <row r="801" spans="2:4">
      <c r="B801" s="144"/>
      <c r="C801" s="144"/>
      <c r="D801" s="152"/>
    </row>
    <row r="802" spans="2:4">
      <c r="B802" s="144"/>
      <c r="C802" s="144"/>
      <c r="D802" s="152"/>
    </row>
    <row r="803" spans="2:4">
      <c r="B803" s="144"/>
      <c r="C803" s="144"/>
      <c r="D803" s="152"/>
    </row>
    <row r="804" spans="2:4">
      <c r="B804" s="144"/>
      <c r="C804" s="144"/>
      <c r="D804" s="152"/>
    </row>
    <row r="805" spans="2:4">
      <c r="B805" s="144"/>
      <c r="C805" s="144"/>
      <c r="D805" s="152"/>
    </row>
    <row r="806" spans="2:4">
      <c r="B806" s="144"/>
      <c r="C806" s="144"/>
      <c r="D806" s="152"/>
    </row>
    <row r="807" spans="2:4">
      <c r="B807" s="144"/>
      <c r="C807" s="144"/>
      <c r="D807" s="152"/>
    </row>
    <row r="808" spans="2:4">
      <c r="B808" s="144"/>
      <c r="C808" s="144"/>
      <c r="D808" s="152"/>
    </row>
    <row r="809" spans="2:4">
      <c r="B809" s="144"/>
      <c r="C809" s="144"/>
      <c r="D809" s="152"/>
    </row>
    <row r="810" spans="2:4">
      <c r="B810" s="144"/>
      <c r="C810" s="144"/>
      <c r="D810" s="152"/>
    </row>
    <row r="811" spans="2:4">
      <c r="B811" s="144"/>
      <c r="C811" s="144"/>
      <c r="D811" s="152"/>
    </row>
    <row r="812" spans="2:4">
      <c r="B812" s="144"/>
      <c r="C812" s="144"/>
      <c r="D812" s="152"/>
    </row>
    <row r="813" spans="2:4">
      <c r="B813" s="144"/>
      <c r="C813" s="144"/>
      <c r="D813" s="152"/>
    </row>
    <row r="814" spans="2:4">
      <c r="B814" s="144"/>
      <c r="C814" s="144"/>
      <c r="D814" s="152"/>
    </row>
    <row r="815" spans="2:4">
      <c r="B815" s="144"/>
      <c r="C815" s="144"/>
      <c r="D815" s="152"/>
    </row>
    <row r="816" spans="2:4">
      <c r="B816" s="144"/>
      <c r="C816" s="144"/>
      <c r="D816" s="152"/>
    </row>
    <row r="817" spans="2:4">
      <c r="B817" s="144"/>
      <c r="C817" s="144"/>
      <c r="D817" s="152"/>
    </row>
    <row r="818" spans="2:4">
      <c r="B818" s="144"/>
      <c r="C818" s="144"/>
      <c r="D818" s="152"/>
    </row>
    <row r="819" spans="2:4">
      <c r="B819" s="144"/>
      <c r="C819" s="144"/>
      <c r="D819" s="152"/>
    </row>
    <row r="820" spans="2:4">
      <c r="B820" s="144"/>
      <c r="C820" s="144"/>
      <c r="D820" s="152"/>
    </row>
    <row r="821" spans="2:4">
      <c r="B821" s="144"/>
      <c r="C821" s="144"/>
      <c r="D821" s="152"/>
    </row>
    <row r="822" spans="2:4">
      <c r="B822" s="144"/>
      <c r="C822" s="144"/>
      <c r="D822" s="152"/>
    </row>
    <row r="823" spans="2:4">
      <c r="B823" s="144"/>
      <c r="C823" s="144"/>
      <c r="D823" s="152"/>
    </row>
    <row r="824" spans="2:4">
      <c r="B824" s="144"/>
      <c r="C824" s="144"/>
      <c r="D824" s="152"/>
    </row>
    <row r="825" spans="2:4">
      <c r="B825" s="144"/>
      <c r="C825" s="144"/>
      <c r="D825" s="152"/>
    </row>
    <row r="826" spans="2:4">
      <c r="B826" s="144"/>
      <c r="C826" s="144"/>
      <c r="D826" s="152"/>
    </row>
    <row r="827" spans="2:4">
      <c r="B827" s="144"/>
      <c r="C827" s="144"/>
      <c r="D827" s="152"/>
    </row>
    <row r="828" spans="2:4">
      <c r="B828" s="144"/>
      <c r="C828" s="144"/>
      <c r="D828" s="152"/>
    </row>
    <row r="829" spans="2:4">
      <c r="B829" s="144"/>
      <c r="C829" s="144"/>
      <c r="D829" s="152"/>
    </row>
    <row r="830" spans="2:4">
      <c r="B830" s="144"/>
      <c r="C830" s="144"/>
      <c r="D830" s="152"/>
    </row>
    <row r="831" spans="2:4">
      <c r="B831" s="144"/>
      <c r="C831" s="144"/>
      <c r="D831" s="152"/>
    </row>
    <row r="832" spans="2:4">
      <c r="B832" s="144"/>
      <c r="C832" s="144"/>
      <c r="D832" s="152"/>
    </row>
    <row r="833" spans="2:4">
      <c r="B833" s="144"/>
      <c r="C833" s="144"/>
      <c r="D833" s="152"/>
    </row>
    <row r="834" spans="2:4">
      <c r="B834" s="144"/>
      <c r="C834" s="144"/>
      <c r="D834" s="152"/>
    </row>
    <row r="835" spans="2:4">
      <c r="B835" s="144"/>
      <c r="C835" s="144"/>
      <c r="D835" s="152"/>
    </row>
    <row r="836" spans="2:4">
      <c r="B836" s="144"/>
      <c r="C836" s="144"/>
      <c r="D836" s="152"/>
    </row>
    <row r="837" spans="2:4">
      <c r="B837" s="144"/>
      <c r="C837" s="144"/>
      <c r="D837" s="152"/>
    </row>
    <row r="838" spans="2:4">
      <c r="B838" s="144"/>
      <c r="C838" s="144"/>
      <c r="D838" s="152"/>
    </row>
    <row r="839" spans="2:4">
      <c r="B839" s="144"/>
      <c r="C839" s="144"/>
      <c r="D839" s="152"/>
    </row>
    <row r="840" spans="2:4">
      <c r="B840" s="144"/>
      <c r="C840" s="144"/>
      <c r="D840" s="152"/>
    </row>
    <row r="841" spans="2:4">
      <c r="B841" s="144"/>
      <c r="C841" s="144"/>
      <c r="D841" s="152"/>
    </row>
    <row r="842" spans="2:4">
      <c r="B842" s="144"/>
      <c r="C842" s="144"/>
      <c r="D842" s="152"/>
    </row>
    <row r="843" spans="2:4">
      <c r="B843" s="144"/>
      <c r="C843" s="144"/>
      <c r="D843" s="152"/>
    </row>
    <row r="844" spans="2:4">
      <c r="B844" s="144"/>
      <c r="C844" s="144"/>
      <c r="D844" s="152"/>
    </row>
    <row r="845" spans="2:4">
      <c r="B845" s="144"/>
      <c r="C845" s="144"/>
      <c r="D845" s="152"/>
    </row>
    <row r="846" spans="2:4">
      <c r="B846" s="144"/>
      <c r="C846" s="144"/>
      <c r="D846" s="152"/>
    </row>
    <row r="847" spans="2:4">
      <c r="B847" s="144"/>
      <c r="C847" s="144"/>
      <c r="D847" s="152"/>
    </row>
    <row r="848" spans="2:4">
      <c r="B848" s="144"/>
      <c r="C848" s="144"/>
      <c r="D848" s="152"/>
    </row>
    <row r="849" spans="2:4">
      <c r="B849" s="144"/>
      <c r="C849" s="144"/>
      <c r="D849" s="152"/>
    </row>
    <row r="850" spans="2:4">
      <c r="B850" s="144"/>
      <c r="C850" s="144"/>
      <c r="D850" s="152"/>
    </row>
    <row r="851" spans="2:4">
      <c r="B851" s="144"/>
      <c r="C851" s="144"/>
      <c r="D851" s="152"/>
    </row>
    <row r="852" spans="2:4">
      <c r="B852" s="144"/>
      <c r="C852" s="144"/>
      <c r="D852" s="152"/>
    </row>
    <row r="853" spans="2:4">
      <c r="B853" s="144"/>
      <c r="C853" s="144"/>
      <c r="D853" s="152"/>
    </row>
    <row r="854" spans="2:4">
      <c r="B854" s="144"/>
      <c r="C854" s="144"/>
      <c r="D854" s="152"/>
    </row>
    <row r="855" spans="2:4">
      <c r="B855" s="144"/>
      <c r="C855" s="144"/>
      <c r="D855" s="152"/>
    </row>
    <row r="856" spans="2:4">
      <c r="B856" s="144"/>
      <c r="C856" s="144"/>
      <c r="D856" s="152"/>
    </row>
    <row r="857" spans="2:4">
      <c r="B857" s="144"/>
      <c r="C857" s="144"/>
      <c r="D857" s="152"/>
    </row>
    <row r="858" spans="2:4">
      <c r="B858" s="144"/>
      <c r="C858" s="144"/>
      <c r="D858" s="152"/>
    </row>
    <row r="859" spans="2:4">
      <c r="B859" s="144"/>
      <c r="C859" s="144"/>
      <c r="D859" s="152"/>
    </row>
    <row r="860" spans="2:4">
      <c r="B860" s="144"/>
      <c r="C860" s="144"/>
      <c r="D860" s="152"/>
    </row>
    <row r="861" spans="2:4">
      <c r="B861" s="144"/>
      <c r="C861" s="144"/>
      <c r="D861" s="152"/>
    </row>
    <row r="862" spans="2:4">
      <c r="B862" s="144"/>
      <c r="C862" s="144"/>
      <c r="D862" s="152"/>
    </row>
    <row r="863" spans="2:4">
      <c r="B863" s="144"/>
      <c r="C863" s="144"/>
      <c r="D863" s="152"/>
    </row>
    <row r="864" spans="2:4">
      <c r="B864" s="144"/>
      <c r="C864" s="144"/>
      <c r="D864" s="152"/>
    </row>
    <row r="865" spans="2:4">
      <c r="B865" s="144"/>
      <c r="C865" s="144"/>
      <c r="D865" s="152"/>
    </row>
    <row r="866" spans="2:4">
      <c r="B866" s="144"/>
      <c r="C866" s="144"/>
      <c r="D866" s="152"/>
    </row>
    <row r="867" spans="2:4">
      <c r="B867" s="144"/>
      <c r="C867" s="144"/>
      <c r="D867" s="152"/>
    </row>
    <row r="868" spans="2:4">
      <c r="B868" s="144"/>
      <c r="C868" s="144"/>
      <c r="D868" s="152"/>
    </row>
    <row r="869" spans="2:4">
      <c r="B869" s="144"/>
      <c r="C869" s="144"/>
      <c r="D869" s="152"/>
    </row>
    <row r="870" spans="2:4">
      <c r="B870" s="144"/>
      <c r="C870" s="144"/>
      <c r="D870" s="152"/>
    </row>
    <row r="871" spans="2:4">
      <c r="B871" s="144"/>
      <c r="C871" s="144"/>
      <c r="D871" s="152"/>
    </row>
    <row r="872" spans="2:4">
      <c r="B872" s="144"/>
      <c r="C872" s="144"/>
      <c r="D872" s="152"/>
    </row>
    <row r="873" spans="2:4">
      <c r="B873" s="144"/>
      <c r="C873" s="144"/>
      <c r="D873" s="152"/>
    </row>
    <row r="874" spans="2:4">
      <c r="B874" s="144"/>
      <c r="C874" s="144"/>
      <c r="D874" s="152"/>
    </row>
    <row r="875" spans="2:4">
      <c r="B875" s="144"/>
      <c r="C875" s="144"/>
      <c r="D875" s="152"/>
    </row>
    <row r="876" spans="2:4">
      <c r="B876" s="144"/>
      <c r="C876" s="144"/>
      <c r="D876" s="152"/>
    </row>
    <row r="877" spans="2:4">
      <c r="B877" s="144"/>
      <c r="C877" s="144"/>
      <c r="D877" s="152"/>
    </row>
    <row r="878" spans="2:4">
      <c r="B878" s="144"/>
      <c r="C878" s="144"/>
      <c r="D878" s="152"/>
    </row>
    <row r="879" spans="2:4">
      <c r="B879" s="144"/>
      <c r="C879" s="144"/>
      <c r="D879" s="152"/>
    </row>
    <row r="880" spans="2:4">
      <c r="B880" s="144"/>
      <c r="C880" s="144"/>
      <c r="D880" s="152"/>
    </row>
    <row r="881" spans="2:4">
      <c r="B881" s="144"/>
      <c r="C881" s="144"/>
      <c r="D881" s="152"/>
    </row>
    <row r="882" spans="2:4">
      <c r="B882" s="144"/>
      <c r="C882" s="144"/>
      <c r="D882" s="152"/>
    </row>
    <row r="883" spans="2:4">
      <c r="B883" s="144"/>
      <c r="C883" s="144"/>
      <c r="D883" s="152"/>
    </row>
    <row r="884" spans="2:4">
      <c r="B884" s="144"/>
      <c r="C884" s="144"/>
      <c r="D884" s="152"/>
    </row>
    <row r="885" spans="2:4">
      <c r="B885" s="144"/>
      <c r="C885" s="144"/>
      <c r="D885" s="152"/>
    </row>
    <row r="886" spans="2:4">
      <c r="B886" s="144"/>
      <c r="C886" s="144"/>
      <c r="D886" s="152"/>
    </row>
    <row r="887" spans="2:4">
      <c r="B887" s="144"/>
      <c r="C887" s="144"/>
      <c r="D887" s="152"/>
    </row>
    <row r="888" spans="2:4">
      <c r="B888" s="144"/>
      <c r="C888" s="144"/>
      <c r="D888" s="152"/>
    </row>
    <row r="889" spans="2:4">
      <c r="B889" s="144"/>
      <c r="C889" s="144"/>
      <c r="D889" s="152"/>
    </row>
    <row r="890" spans="2:4">
      <c r="B890" s="144"/>
      <c r="C890" s="144"/>
      <c r="D890" s="152"/>
    </row>
    <row r="891" spans="2:4">
      <c r="B891" s="144"/>
      <c r="C891" s="144"/>
      <c r="D891" s="152"/>
    </row>
    <row r="892" spans="2:4">
      <c r="B892" s="144"/>
      <c r="C892" s="144"/>
      <c r="D892" s="152"/>
    </row>
    <row r="893" spans="2:4">
      <c r="B893" s="144"/>
      <c r="C893" s="144"/>
      <c r="D893" s="152"/>
    </row>
    <row r="894" spans="2:4">
      <c r="B894" s="144"/>
      <c r="C894" s="144"/>
      <c r="D894" s="152"/>
    </row>
    <row r="895" spans="2:4">
      <c r="B895" s="144"/>
      <c r="C895" s="144"/>
      <c r="D895" s="152"/>
    </row>
    <row r="896" spans="2:4">
      <c r="B896" s="144"/>
      <c r="C896" s="144"/>
      <c r="D896" s="152"/>
    </row>
    <row r="897" spans="2:4">
      <c r="B897" s="144"/>
      <c r="C897" s="144"/>
      <c r="D897" s="152"/>
    </row>
    <row r="898" spans="2:4">
      <c r="B898" s="144"/>
      <c r="C898" s="144"/>
      <c r="D898" s="152"/>
    </row>
    <row r="899" spans="2:4">
      <c r="B899" s="144"/>
      <c r="C899" s="144"/>
      <c r="D899" s="152"/>
    </row>
    <row r="900" spans="2:4">
      <c r="B900" s="144"/>
      <c r="C900" s="144"/>
      <c r="D900" s="152"/>
    </row>
    <row r="901" spans="2:4">
      <c r="B901" s="144"/>
      <c r="C901" s="144"/>
      <c r="D901" s="152"/>
    </row>
    <row r="902" spans="2:4">
      <c r="B902" s="144"/>
      <c r="C902" s="144"/>
      <c r="D902" s="152"/>
    </row>
    <row r="903" spans="2:4">
      <c r="B903" s="144"/>
      <c r="C903" s="144"/>
      <c r="D903" s="152"/>
    </row>
    <row r="904" spans="2:4">
      <c r="B904" s="144"/>
      <c r="C904" s="144"/>
      <c r="D904" s="152"/>
    </row>
    <row r="905" spans="2:4">
      <c r="B905" s="144"/>
      <c r="C905" s="144"/>
      <c r="D905" s="152"/>
    </row>
    <row r="906" spans="2:4">
      <c r="B906" s="144"/>
      <c r="C906" s="144"/>
      <c r="D906" s="152"/>
    </row>
    <row r="907" spans="2:4">
      <c r="B907" s="144"/>
      <c r="C907" s="144"/>
      <c r="D907" s="152"/>
    </row>
    <row r="908" spans="2:4">
      <c r="B908" s="144"/>
      <c r="C908" s="144"/>
      <c r="D908" s="152"/>
    </row>
    <row r="909" spans="2:4">
      <c r="B909" s="144"/>
      <c r="C909" s="144"/>
      <c r="D909" s="152"/>
    </row>
    <row r="910" spans="2:4">
      <c r="B910" s="144"/>
      <c r="C910" s="144"/>
      <c r="D910" s="152"/>
    </row>
    <row r="911" spans="2:4">
      <c r="B911" s="144"/>
      <c r="C911" s="144"/>
      <c r="D911" s="152"/>
    </row>
    <row r="912" spans="2:4">
      <c r="B912" s="144"/>
      <c r="C912" s="144"/>
      <c r="D912" s="152"/>
    </row>
    <row r="913" spans="2:4">
      <c r="B913" s="144"/>
      <c r="C913" s="144"/>
      <c r="D913" s="152"/>
    </row>
    <row r="914" spans="2:4">
      <c r="B914" s="144"/>
      <c r="C914" s="144"/>
      <c r="D914" s="152"/>
    </row>
    <row r="915" spans="2:4">
      <c r="B915" s="144"/>
      <c r="C915" s="144"/>
      <c r="D915" s="152"/>
    </row>
    <row r="916" spans="2:4">
      <c r="B916" s="144"/>
      <c r="C916" s="144"/>
      <c r="D916" s="152"/>
    </row>
    <row r="917" spans="2:4">
      <c r="B917" s="144"/>
      <c r="C917" s="144"/>
      <c r="D917" s="152"/>
    </row>
    <row r="918" spans="2:4">
      <c r="B918" s="144"/>
      <c r="C918" s="144"/>
      <c r="D918" s="152"/>
    </row>
    <row r="919" spans="2:4">
      <c r="B919" s="144"/>
      <c r="C919" s="144"/>
      <c r="D919" s="152"/>
    </row>
    <row r="920" spans="2:4">
      <c r="B920" s="144"/>
      <c r="C920" s="144"/>
      <c r="D920" s="152"/>
    </row>
    <row r="921" spans="2:4">
      <c r="B921" s="144"/>
      <c r="C921" s="144"/>
      <c r="D921" s="152"/>
    </row>
    <row r="922" spans="2:4">
      <c r="B922" s="144"/>
      <c r="C922" s="144"/>
      <c r="D922" s="152"/>
    </row>
    <row r="923" spans="2:4">
      <c r="B923" s="144"/>
      <c r="C923" s="144"/>
      <c r="D923" s="152"/>
    </row>
    <row r="924" spans="2:4">
      <c r="B924" s="144"/>
      <c r="C924" s="144"/>
      <c r="D924" s="152"/>
    </row>
    <row r="925" spans="2:4">
      <c r="B925" s="144"/>
      <c r="C925" s="144"/>
      <c r="D925" s="152"/>
    </row>
    <row r="926" spans="2:4">
      <c r="B926" s="144"/>
      <c r="C926" s="144"/>
      <c r="D926" s="152"/>
    </row>
    <row r="927" spans="2:4">
      <c r="B927" s="144"/>
      <c r="C927" s="144"/>
      <c r="D927" s="152"/>
    </row>
    <row r="928" spans="2:4">
      <c r="B928" s="144"/>
      <c r="C928" s="144"/>
      <c r="D928" s="152"/>
    </row>
    <row r="929" spans="2:4">
      <c r="B929" s="144"/>
      <c r="C929" s="144"/>
      <c r="D929" s="152"/>
    </row>
    <row r="930" spans="2:4">
      <c r="B930" s="144"/>
      <c r="C930" s="144"/>
      <c r="D930" s="152"/>
    </row>
    <row r="931" spans="2:4">
      <c r="B931" s="144"/>
      <c r="C931" s="144"/>
      <c r="D931" s="152"/>
    </row>
    <row r="932" spans="2:4">
      <c r="B932" s="144"/>
      <c r="C932" s="144"/>
      <c r="D932" s="152"/>
    </row>
    <row r="933" spans="2:4">
      <c r="B933" s="144"/>
      <c r="C933" s="144"/>
      <c r="D933" s="152"/>
    </row>
    <row r="934" spans="2:4">
      <c r="B934" s="144"/>
      <c r="C934" s="144"/>
      <c r="D934" s="152"/>
    </row>
    <row r="935" spans="2:4">
      <c r="B935" s="144"/>
      <c r="C935" s="144"/>
      <c r="D935" s="152"/>
    </row>
    <row r="936" spans="2:4">
      <c r="B936" s="144"/>
      <c r="C936" s="144"/>
      <c r="D936" s="152"/>
    </row>
    <row r="937" spans="2:4">
      <c r="B937" s="144"/>
      <c r="C937" s="144"/>
      <c r="D937" s="152"/>
    </row>
    <row r="938" spans="2:4">
      <c r="B938" s="144"/>
      <c r="C938" s="144"/>
      <c r="D938" s="152"/>
    </row>
    <row r="939" spans="2:4">
      <c r="B939" s="144"/>
      <c r="C939" s="144"/>
      <c r="D939" s="152"/>
    </row>
    <row r="940" spans="2:4">
      <c r="B940" s="144"/>
      <c r="C940" s="144"/>
      <c r="D940" s="152"/>
    </row>
    <row r="941" spans="2:4">
      <c r="B941" s="144"/>
      <c r="C941" s="144"/>
      <c r="D941" s="152"/>
    </row>
    <row r="942" spans="2:4">
      <c r="B942" s="144"/>
      <c r="C942" s="144"/>
      <c r="D942" s="152"/>
    </row>
    <row r="943" spans="2:4">
      <c r="B943" s="144"/>
      <c r="C943" s="144"/>
      <c r="D943" s="152"/>
    </row>
    <row r="944" spans="2:4">
      <c r="B944" s="144"/>
      <c r="C944" s="144"/>
      <c r="D944" s="152"/>
    </row>
    <row r="945" spans="2:4">
      <c r="B945" s="144"/>
      <c r="C945" s="144"/>
      <c r="D945" s="152"/>
    </row>
    <row r="946" spans="2:4">
      <c r="B946" s="144"/>
      <c r="C946" s="144"/>
      <c r="D946" s="152"/>
    </row>
    <row r="947" spans="2:4">
      <c r="B947" s="144"/>
      <c r="C947" s="144"/>
      <c r="D947" s="152"/>
    </row>
    <row r="948" spans="2:4">
      <c r="B948" s="144"/>
      <c r="C948" s="144"/>
      <c r="D948" s="152"/>
    </row>
    <row r="949" spans="2:4">
      <c r="B949" s="144"/>
      <c r="C949" s="144"/>
      <c r="D949" s="152"/>
    </row>
    <row r="950" spans="2:4">
      <c r="B950" s="144"/>
      <c r="C950" s="144"/>
      <c r="D950" s="152"/>
    </row>
    <row r="951" spans="2:4">
      <c r="B951" s="144"/>
      <c r="C951" s="144"/>
      <c r="D951" s="152"/>
    </row>
    <row r="952" spans="2:4">
      <c r="B952" s="144"/>
      <c r="C952" s="144"/>
      <c r="D952" s="152"/>
    </row>
    <row r="953" spans="2:4">
      <c r="B953" s="144"/>
      <c r="C953" s="144"/>
      <c r="D953" s="152"/>
    </row>
    <row r="954" spans="2:4">
      <c r="B954" s="144"/>
      <c r="C954" s="144"/>
      <c r="D954" s="152"/>
    </row>
    <row r="955" spans="2:4">
      <c r="B955" s="144"/>
      <c r="C955" s="144"/>
      <c r="D955" s="152"/>
    </row>
    <row r="956" spans="2:4">
      <c r="B956" s="144"/>
      <c r="C956" s="144"/>
      <c r="D956" s="152"/>
    </row>
    <row r="957" spans="2:4">
      <c r="B957" s="144"/>
      <c r="C957" s="144"/>
      <c r="D957" s="152"/>
    </row>
    <row r="958" spans="2:4">
      <c r="B958" s="144"/>
      <c r="C958" s="144"/>
      <c r="D958" s="152"/>
    </row>
    <row r="959" spans="2:4">
      <c r="B959" s="144"/>
      <c r="C959" s="144"/>
      <c r="D959" s="152"/>
    </row>
    <row r="960" spans="2:4">
      <c r="B960" s="144"/>
      <c r="C960" s="144"/>
      <c r="D960" s="152"/>
    </row>
    <row r="961" spans="2:4">
      <c r="B961" s="144"/>
      <c r="C961" s="144"/>
      <c r="D961" s="152"/>
    </row>
    <row r="962" spans="2:4">
      <c r="B962" s="144"/>
      <c r="C962" s="144"/>
      <c r="D962" s="152"/>
    </row>
    <row r="963" spans="2:4">
      <c r="B963" s="144"/>
      <c r="C963" s="144"/>
      <c r="D963" s="152"/>
    </row>
    <row r="964" spans="2:4">
      <c r="B964" s="144"/>
      <c r="C964" s="144"/>
      <c r="D964" s="152"/>
    </row>
    <row r="965" spans="2:4">
      <c r="B965" s="144"/>
      <c r="C965" s="144"/>
      <c r="D965" s="152"/>
    </row>
    <row r="966" spans="2:4">
      <c r="B966" s="144"/>
      <c r="C966" s="144"/>
      <c r="D966" s="152"/>
    </row>
    <row r="967" spans="2:4">
      <c r="B967" s="144"/>
      <c r="C967" s="144"/>
      <c r="D967" s="152"/>
    </row>
    <row r="968" spans="2:4">
      <c r="B968" s="144"/>
      <c r="C968" s="144"/>
      <c r="D968" s="152"/>
    </row>
    <row r="969" spans="2:4">
      <c r="B969" s="144"/>
      <c r="C969" s="144"/>
      <c r="D969" s="152"/>
    </row>
    <row r="970" spans="2:4">
      <c r="B970" s="144"/>
      <c r="C970" s="144"/>
      <c r="D970" s="152"/>
    </row>
    <row r="971" spans="2:4">
      <c r="B971" s="144"/>
      <c r="C971" s="144"/>
      <c r="D971" s="152"/>
    </row>
    <row r="972" spans="2:4">
      <c r="B972" s="144"/>
      <c r="C972" s="144"/>
      <c r="D972" s="152"/>
    </row>
    <row r="973" spans="2:4">
      <c r="B973" s="144"/>
      <c r="C973" s="144"/>
      <c r="D973" s="152"/>
    </row>
    <row r="974" spans="2:4">
      <c r="B974" s="144"/>
      <c r="C974" s="144"/>
      <c r="D974" s="152"/>
    </row>
    <row r="975" spans="2:4">
      <c r="B975" s="144"/>
      <c r="C975" s="144"/>
      <c r="D975" s="152"/>
    </row>
    <row r="976" spans="2:4">
      <c r="B976" s="144"/>
      <c r="C976" s="144"/>
      <c r="D976" s="152"/>
    </row>
    <row r="977" spans="2:4">
      <c r="B977" s="144"/>
      <c r="C977" s="144"/>
      <c r="D977" s="152"/>
    </row>
    <row r="978" spans="2:4">
      <c r="B978" s="144"/>
      <c r="C978" s="144"/>
      <c r="D978" s="152"/>
    </row>
    <row r="979" spans="2:4">
      <c r="B979" s="144"/>
      <c r="C979" s="144"/>
      <c r="D979" s="152"/>
    </row>
    <row r="980" spans="2:4">
      <c r="B980" s="144"/>
      <c r="C980" s="144"/>
      <c r="D980" s="152"/>
    </row>
    <row r="981" spans="2:4">
      <c r="B981" s="144"/>
      <c r="C981" s="144"/>
      <c r="D981" s="152"/>
    </row>
    <row r="982" spans="2:4">
      <c r="B982" s="144"/>
      <c r="C982" s="144"/>
      <c r="D982" s="152"/>
    </row>
    <row r="983" spans="2:4">
      <c r="B983" s="144"/>
      <c r="C983" s="144"/>
      <c r="D983" s="152"/>
    </row>
    <row r="984" spans="2:4">
      <c r="B984" s="144"/>
      <c r="C984" s="144"/>
      <c r="D984" s="152"/>
    </row>
  </sheetData>
  <mergeCells count="1">
    <mergeCell ref="B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79"/>
  <sheetViews>
    <sheetView zoomScale="140" zoomScaleNormal="140" workbookViewId="0">
      <pane xSplit="3" ySplit="3" topLeftCell="D4" activePane="bottomRight" state="frozen"/>
      <selection pane="topRight" activeCell="B1" sqref="B1"/>
      <selection pane="bottomLeft" activeCell="A4" sqref="A4"/>
      <selection pane="bottomRight" activeCell="C4" sqref="C4"/>
    </sheetView>
  </sheetViews>
  <sheetFormatPr defaultColWidth="9" defaultRowHeight="15"/>
  <cols>
    <col min="1" max="1" width="11.375" style="139" customWidth="1"/>
    <col min="2" max="2" width="14.5" style="139" customWidth="1"/>
    <col min="3" max="3" width="19.375" style="139" customWidth="1"/>
    <col min="4" max="4" width="38.75" style="139" customWidth="1"/>
    <col min="5" max="5" width="10.625" style="139" customWidth="1"/>
    <col min="6" max="6" width="17" style="182" customWidth="1"/>
    <col min="7" max="16384" width="9" style="139"/>
  </cols>
  <sheetData>
    <row r="1" spans="1:6" ht="15.75" thickBot="1">
      <c r="C1" s="161"/>
      <c r="D1" s="161"/>
      <c r="F1" s="162"/>
    </row>
    <row r="2" spans="1:6" ht="15.75" thickBot="1">
      <c r="C2" s="163" t="s">
        <v>394</v>
      </c>
      <c r="D2" s="164"/>
      <c r="F2" s="165"/>
    </row>
    <row r="3" spans="1:6" ht="15.75" thickBot="1">
      <c r="A3" s="166" t="s">
        <v>395</v>
      </c>
      <c r="B3" s="167" t="s">
        <v>396</v>
      </c>
      <c r="C3" s="167" t="s">
        <v>397</v>
      </c>
      <c r="D3" s="168" t="s">
        <v>342</v>
      </c>
      <c r="E3" s="166" t="s">
        <v>152</v>
      </c>
      <c r="F3" s="169" t="s">
        <v>398</v>
      </c>
    </row>
    <row r="4" spans="1:6" ht="45.75" thickBot="1">
      <c r="C4" s="170" t="s">
        <v>399</v>
      </c>
      <c r="D4" s="170" t="s">
        <v>400</v>
      </c>
      <c r="F4" s="171" t="s">
        <v>401</v>
      </c>
    </row>
    <row r="5" spans="1:6" ht="60.75" thickBot="1">
      <c r="C5" s="170" t="s">
        <v>402</v>
      </c>
      <c r="D5" s="170" t="s">
        <v>403</v>
      </c>
      <c r="F5" s="172" t="s">
        <v>404</v>
      </c>
    </row>
    <row r="6" spans="1:6" ht="60.75" thickBot="1">
      <c r="C6" s="170" t="s">
        <v>405</v>
      </c>
      <c r="D6" s="170" t="s">
        <v>406</v>
      </c>
      <c r="F6" s="173">
        <v>1000000000</v>
      </c>
    </row>
    <row r="7" spans="1:6" s="174" customFormat="1" ht="60.75" thickBot="1">
      <c r="C7" s="175" t="s">
        <v>407</v>
      </c>
      <c r="D7" s="176" t="s">
        <v>357</v>
      </c>
      <c r="F7" s="177">
        <v>0.5</v>
      </c>
    </row>
    <row r="8" spans="1:6" s="174" customFormat="1" ht="45.75" thickBot="1">
      <c r="C8" s="175" t="s">
        <v>358</v>
      </c>
      <c r="D8" s="176" t="s">
        <v>408</v>
      </c>
      <c r="F8" s="178">
        <v>1</v>
      </c>
    </row>
    <row r="9" spans="1:6" s="174" customFormat="1" ht="45.75" thickBot="1">
      <c r="C9" s="176" t="s">
        <v>359</v>
      </c>
      <c r="D9" s="176" t="s">
        <v>360</v>
      </c>
      <c r="F9" s="178">
        <v>0.83</v>
      </c>
    </row>
    <row r="10" spans="1:6" s="174" customFormat="1" ht="30.75" thickBot="1">
      <c r="C10" s="175" t="s">
        <v>363</v>
      </c>
      <c r="D10" s="175" t="s">
        <v>364</v>
      </c>
      <c r="F10" s="179">
        <v>0.73</v>
      </c>
    </row>
    <row r="11" spans="1:6" s="174" customFormat="1" ht="60.75" thickBot="1">
      <c r="C11" s="175" t="s">
        <v>365</v>
      </c>
      <c r="D11" s="175" t="s">
        <v>170</v>
      </c>
      <c r="F11" s="180" t="s">
        <v>158</v>
      </c>
    </row>
    <row r="12" spans="1:6" s="174" customFormat="1" ht="45.75" thickBot="1">
      <c r="C12" s="176" t="s">
        <v>367</v>
      </c>
      <c r="D12" s="176" t="s">
        <v>368</v>
      </c>
      <c r="F12" s="179">
        <v>0.75</v>
      </c>
    </row>
    <row r="13" spans="1:6" s="174" customFormat="1" ht="15.75" thickBot="1">
      <c r="C13" s="176" t="s">
        <v>369</v>
      </c>
      <c r="D13" s="176" t="s">
        <v>370</v>
      </c>
      <c r="F13" s="179">
        <v>0.9</v>
      </c>
    </row>
    <row r="14" spans="1:6" s="174" customFormat="1" ht="60.75" thickBot="1">
      <c r="C14" s="176" t="s">
        <v>371</v>
      </c>
      <c r="D14" s="176" t="s">
        <v>372</v>
      </c>
      <c r="F14" s="181" t="s">
        <v>19</v>
      </c>
    </row>
    <row r="15" spans="1:6" s="174" customFormat="1" ht="60.75" thickBot="1">
      <c r="C15" s="175" t="s">
        <v>356</v>
      </c>
      <c r="D15" s="175" t="s">
        <v>357</v>
      </c>
      <c r="F15" s="179">
        <v>0.5</v>
      </c>
    </row>
    <row r="16" spans="1:6" s="174" customFormat="1" ht="75.75" thickBot="1">
      <c r="C16" s="175" t="s">
        <v>373</v>
      </c>
      <c r="D16" s="176" t="s">
        <v>164</v>
      </c>
      <c r="F16" s="178">
        <v>0.82</v>
      </c>
    </row>
    <row r="17" spans="3:6" ht="15.75" thickBot="1">
      <c r="C17" s="161"/>
      <c r="D17" s="161"/>
      <c r="F17" s="162"/>
    </row>
    <row r="18" spans="3:6" ht="15.75" thickBot="1">
      <c r="C18" s="161"/>
      <c r="D18" s="161"/>
      <c r="F18" s="162"/>
    </row>
    <row r="19" spans="3:6" ht="15.75" thickBot="1">
      <c r="C19" s="161"/>
      <c r="D19" s="161"/>
      <c r="F19" s="162"/>
    </row>
    <row r="20" spans="3:6" ht="15.75" thickBot="1">
      <c r="C20" s="161"/>
      <c r="D20" s="161"/>
      <c r="F20" s="162"/>
    </row>
    <row r="21" spans="3:6" ht="15.75" thickBot="1">
      <c r="C21" s="161"/>
      <c r="D21" s="161"/>
      <c r="F21" s="162"/>
    </row>
    <row r="22" spans="3:6" ht="15.75" thickBot="1">
      <c r="C22" s="161"/>
      <c r="D22" s="161"/>
      <c r="F22" s="162"/>
    </row>
    <row r="23" spans="3:6" ht="15.75" thickBot="1">
      <c r="C23" s="161"/>
      <c r="D23" s="161"/>
      <c r="F23" s="162"/>
    </row>
    <row r="24" spans="3:6" ht="15.75" thickBot="1">
      <c r="C24" s="161"/>
      <c r="D24" s="161"/>
      <c r="F24" s="162"/>
    </row>
    <row r="25" spans="3:6" ht="15.75" thickBot="1">
      <c r="C25" s="161"/>
      <c r="D25" s="161"/>
      <c r="F25" s="162"/>
    </row>
    <row r="26" spans="3:6" ht="15.75" thickBot="1">
      <c r="C26" s="161"/>
      <c r="D26" s="161"/>
      <c r="F26" s="162"/>
    </row>
    <row r="27" spans="3:6" ht="15.75" thickBot="1">
      <c r="C27" s="161"/>
      <c r="D27" s="161"/>
      <c r="F27" s="162"/>
    </row>
    <row r="28" spans="3:6" ht="15.75" thickBot="1">
      <c r="C28" s="161"/>
      <c r="D28" s="161"/>
      <c r="F28" s="162"/>
    </row>
    <row r="29" spans="3:6" ht="15.75" thickBot="1">
      <c r="C29" s="161"/>
      <c r="D29" s="161"/>
      <c r="F29" s="162"/>
    </row>
    <row r="30" spans="3:6" ht="15.75" thickBot="1">
      <c r="C30" s="161"/>
      <c r="D30" s="161"/>
      <c r="F30" s="162"/>
    </row>
    <row r="31" spans="3:6" ht="15.75" thickBot="1">
      <c r="C31" s="161"/>
      <c r="D31" s="161"/>
      <c r="F31" s="162"/>
    </row>
    <row r="32" spans="3:6" ht="15.75" thickBot="1">
      <c r="C32" s="161"/>
      <c r="D32" s="161"/>
      <c r="F32" s="162"/>
    </row>
    <row r="33" spans="3:6" ht="15.75" thickBot="1">
      <c r="C33" s="161"/>
      <c r="D33" s="161"/>
      <c r="F33" s="162"/>
    </row>
    <row r="34" spans="3:6" ht="15.75" thickBot="1">
      <c r="C34" s="161"/>
      <c r="D34" s="161"/>
      <c r="F34" s="162"/>
    </row>
    <row r="35" spans="3:6" ht="15.75" thickBot="1">
      <c r="C35" s="161"/>
      <c r="D35" s="161"/>
      <c r="F35" s="162"/>
    </row>
    <row r="36" spans="3:6" ht="15.75" thickBot="1">
      <c r="C36" s="161"/>
      <c r="D36" s="161"/>
      <c r="F36" s="162"/>
    </row>
    <row r="37" spans="3:6" ht="15.75" thickBot="1">
      <c r="C37" s="161"/>
      <c r="D37" s="161"/>
      <c r="F37" s="162"/>
    </row>
    <row r="38" spans="3:6" ht="15.75" thickBot="1">
      <c r="C38" s="161"/>
      <c r="D38" s="161"/>
      <c r="F38" s="162"/>
    </row>
    <row r="39" spans="3:6" ht="15.75" thickBot="1">
      <c r="C39" s="161"/>
      <c r="D39" s="161"/>
      <c r="F39" s="162"/>
    </row>
    <row r="40" spans="3:6" ht="15.75" thickBot="1">
      <c r="C40" s="161"/>
      <c r="D40" s="161"/>
      <c r="F40" s="162"/>
    </row>
    <row r="41" spans="3:6" ht="15.75" thickBot="1">
      <c r="C41" s="161"/>
      <c r="D41" s="161"/>
      <c r="F41" s="162"/>
    </row>
    <row r="42" spans="3:6" ht="15.75" thickBot="1">
      <c r="C42" s="161"/>
      <c r="D42" s="161"/>
      <c r="F42" s="162"/>
    </row>
    <row r="43" spans="3:6" ht="15.75" thickBot="1">
      <c r="C43" s="161"/>
      <c r="D43" s="161"/>
      <c r="F43" s="162"/>
    </row>
    <row r="44" spans="3:6" ht="15.75" thickBot="1">
      <c r="C44" s="161"/>
      <c r="D44" s="161"/>
      <c r="F44" s="162"/>
    </row>
    <row r="45" spans="3:6" ht="15.75" thickBot="1">
      <c r="C45" s="161"/>
      <c r="D45" s="161"/>
      <c r="F45" s="162"/>
    </row>
    <row r="46" spans="3:6" ht="15.75" thickBot="1">
      <c r="C46" s="161"/>
      <c r="D46" s="161"/>
      <c r="F46" s="162"/>
    </row>
    <row r="47" spans="3:6" ht="15.75" thickBot="1">
      <c r="C47" s="161"/>
      <c r="D47" s="161"/>
      <c r="F47" s="162"/>
    </row>
    <row r="48" spans="3:6" ht="15.75" thickBot="1">
      <c r="C48" s="161"/>
      <c r="D48" s="161"/>
      <c r="F48" s="162"/>
    </row>
    <row r="49" spans="3:6" ht="15.75" thickBot="1">
      <c r="C49" s="161"/>
      <c r="D49" s="161"/>
      <c r="F49" s="162"/>
    </row>
    <row r="50" spans="3:6" ht="15.75" thickBot="1">
      <c r="C50" s="161"/>
      <c r="D50" s="161"/>
      <c r="F50" s="162"/>
    </row>
    <row r="51" spans="3:6" ht="15.75" thickBot="1">
      <c r="C51" s="161"/>
      <c r="D51" s="161"/>
      <c r="F51" s="162"/>
    </row>
    <row r="52" spans="3:6" ht="15.75" thickBot="1">
      <c r="C52" s="161"/>
      <c r="D52" s="161"/>
      <c r="F52" s="162"/>
    </row>
    <row r="53" spans="3:6" ht="15.75" thickBot="1">
      <c r="C53" s="161"/>
      <c r="D53" s="161"/>
      <c r="F53" s="162"/>
    </row>
    <row r="54" spans="3:6" ht="15.75" thickBot="1">
      <c r="C54" s="161"/>
      <c r="D54" s="161"/>
      <c r="F54" s="162"/>
    </row>
    <row r="55" spans="3:6" ht="15.75" thickBot="1">
      <c r="C55" s="161"/>
      <c r="D55" s="161"/>
      <c r="F55" s="162"/>
    </row>
    <row r="56" spans="3:6" ht="15.75" thickBot="1">
      <c r="C56" s="161"/>
      <c r="D56" s="161"/>
      <c r="F56" s="162"/>
    </row>
    <row r="57" spans="3:6" ht="15.75" thickBot="1">
      <c r="C57" s="161"/>
      <c r="D57" s="161"/>
      <c r="F57" s="162"/>
    </row>
    <row r="58" spans="3:6" ht="15.75" thickBot="1">
      <c r="C58" s="161"/>
      <c r="D58" s="161"/>
      <c r="F58" s="162"/>
    </row>
    <row r="59" spans="3:6" ht="15.75" thickBot="1">
      <c r="C59" s="161"/>
      <c r="D59" s="161"/>
      <c r="F59" s="162"/>
    </row>
    <row r="60" spans="3:6" ht="15.75" thickBot="1">
      <c r="C60" s="161"/>
      <c r="D60" s="161"/>
      <c r="F60" s="162"/>
    </row>
    <row r="61" spans="3:6" ht="15.75" thickBot="1">
      <c r="C61" s="161"/>
      <c r="D61" s="161"/>
      <c r="F61" s="162"/>
    </row>
    <row r="62" spans="3:6" ht="15.75" thickBot="1">
      <c r="C62" s="161"/>
      <c r="D62" s="161"/>
      <c r="F62" s="162"/>
    </row>
    <row r="63" spans="3:6" ht="15.75" thickBot="1">
      <c r="C63" s="161"/>
      <c r="D63" s="161"/>
      <c r="F63" s="162"/>
    </row>
    <row r="64" spans="3:6" ht="15.75" thickBot="1">
      <c r="C64" s="161"/>
      <c r="D64" s="161"/>
      <c r="F64" s="162"/>
    </row>
    <row r="65" spans="3:6" ht="15.75" thickBot="1">
      <c r="C65" s="161"/>
      <c r="D65" s="161"/>
      <c r="F65" s="162"/>
    </row>
    <row r="66" spans="3:6" ht="15.75" thickBot="1">
      <c r="C66" s="161"/>
      <c r="D66" s="161"/>
      <c r="F66" s="162"/>
    </row>
    <row r="67" spans="3:6" ht="15.75" thickBot="1">
      <c r="C67" s="161"/>
      <c r="D67" s="161"/>
      <c r="F67" s="162"/>
    </row>
    <row r="68" spans="3:6" ht="15.75" thickBot="1">
      <c r="C68" s="161"/>
      <c r="D68" s="161"/>
      <c r="F68" s="162"/>
    </row>
    <row r="69" spans="3:6" ht="15.75" thickBot="1">
      <c r="C69" s="161"/>
      <c r="D69" s="161"/>
      <c r="F69" s="162"/>
    </row>
    <row r="70" spans="3:6" ht="15.75" thickBot="1">
      <c r="C70" s="161"/>
      <c r="D70" s="161"/>
      <c r="F70" s="162"/>
    </row>
    <row r="71" spans="3:6" ht="15.75" thickBot="1">
      <c r="C71" s="161"/>
      <c r="D71" s="161"/>
      <c r="F71" s="162"/>
    </row>
    <row r="72" spans="3:6" ht="15.75" thickBot="1">
      <c r="C72" s="161"/>
      <c r="D72" s="161"/>
      <c r="F72" s="162"/>
    </row>
    <row r="73" spans="3:6" ht="15.75" thickBot="1">
      <c r="C73" s="161"/>
      <c r="D73" s="161"/>
      <c r="F73" s="162"/>
    </row>
    <row r="74" spans="3:6" ht="15.75" thickBot="1">
      <c r="C74" s="161"/>
      <c r="D74" s="161"/>
      <c r="F74" s="162"/>
    </row>
    <row r="75" spans="3:6" ht="15.75" thickBot="1">
      <c r="C75" s="161"/>
      <c r="D75" s="161"/>
      <c r="F75" s="162"/>
    </row>
    <row r="76" spans="3:6" ht="15.75" thickBot="1">
      <c r="C76" s="161"/>
      <c r="D76" s="161"/>
      <c r="F76" s="162"/>
    </row>
    <row r="77" spans="3:6" ht="15.75" thickBot="1">
      <c r="C77" s="161"/>
      <c r="D77" s="161"/>
      <c r="F77" s="162"/>
    </row>
    <row r="78" spans="3:6" ht="15.75" thickBot="1">
      <c r="C78" s="161"/>
      <c r="D78" s="161"/>
      <c r="F78" s="162"/>
    </row>
    <row r="79" spans="3:6" ht="15.75" thickBot="1">
      <c r="C79" s="161"/>
      <c r="D79" s="161"/>
      <c r="F79" s="162"/>
    </row>
    <row r="80" spans="3:6" ht="15.75" thickBot="1">
      <c r="C80" s="161"/>
      <c r="D80" s="161"/>
      <c r="F80" s="162"/>
    </row>
    <row r="81" spans="3:6" ht="15.75" thickBot="1">
      <c r="C81" s="161"/>
      <c r="D81" s="161"/>
      <c r="F81" s="162"/>
    </row>
    <row r="82" spans="3:6" ht="15.75" thickBot="1">
      <c r="C82" s="161"/>
      <c r="D82" s="161"/>
      <c r="F82" s="162"/>
    </row>
    <row r="83" spans="3:6" ht="15.75" thickBot="1">
      <c r="C83" s="161"/>
      <c r="D83" s="161"/>
      <c r="F83" s="162"/>
    </row>
    <row r="84" spans="3:6" ht="15.75" thickBot="1">
      <c r="C84" s="161"/>
      <c r="D84" s="161"/>
      <c r="F84" s="162"/>
    </row>
    <row r="85" spans="3:6" ht="15.75" thickBot="1">
      <c r="C85" s="161"/>
      <c r="D85" s="161"/>
      <c r="F85" s="162"/>
    </row>
    <row r="86" spans="3:6" ht="15.75" thickBot="1">
      <c r="C86" s="161"/>
      <c r="D86" s="161"/>
      <c r="F86" s="162"/>
    </row>
    <row r="87" spans="3:6" ht="15.75" thickBot="1">
      <c r="C87" s="161"/>
      <c r="D87" s="161"/>
      <c r="F87" s="162"/>
    </row>
    <row r="88" spans="3:6" ht="15.75" thickBot="1">
      <c r="C88" s="161"/>
      <c r="D88" s="161"/>
      <c r="F88" s="162"/>
    </row>
    <row r="89" spans="3:6" ht="15.75" thickBot="1">
      <c r="C89" s="161"/>
      <c r="D89" s="161"/>
      <c r="F89" s="162"/>
    </row>
    <row r="90" spans="3:6" ht="15.75" thickBot="1">
      <c r="C90" s="161"/>
      <c r="D90" s="161"/>
      <c r="F90" s="162"/>
    </row>
    <row r="91" spans="3:6" ht="15.75" thickBot="1">
      <c r="C91" s="161"/>
      <c r="D91" s="161"/>
      <c r="F91" s="162"/>
    </row>
    <row r="92" spans="3:6" ht="15.75" thickBot="1">
      <c r="C92" s="161"/>
      <c r="D92" s="161"/>
      <c r="F92" s="162"/>
    </row>
    <row r="93" spans="3:6" ht="15.75" thickBot="1">
      <c r="C93" s="161"/>
      <c r="D93" s="161"/>
      <c r="F93" s="162"/>
    </row>
    <row r="94" spans="3:6" ht="15.75" thickBot="1">
      <c r="C94" s="161"/>
      <c r="D94" s="161"/>
      <c r="F94" s="162"/>
    </row>
    <row r="95" spans="3:6" ht="15.75" thickBot="1">
      <c r="C95" s="161"/>
      <c r="D95" s="161"/>
      <c r="F95" s="162"/>
    </row>
    <row r="96" spans="3:6" ht="15.75" thickBot="1">
      <c r="C96" s="161"/>
      <c r="D96" s="161"/>
      <c r="F96" s="162"/>
    </row>
    <row r="97" spans="3:6" ht="15.75" thickBot="1">
      <c r="C97" s="161"/>
      <c r="D97" s="161"/>
      <c r="F97" s="162"/>
    </row>
    <row r="98" spans="3:6" ht="15.75" thickBot="1">
      <c r="C98" s="161"/>
      <c r="D98" s="161"/>
      <c r="F98" s="162"/>
    </row>
    <row r="99" spans="3:6" ht="15.75" thickBot="1">
      <c r="C99" s="161"/>
      <c r="D99" s="161"/>
      <c r="F99" s="162"/>
    </row>
    <row r="100" spans="3:6" ht="15.75" thickBot="1">
      <c r="C100" s="161"/>
      <c r="D100" s="161"/>
      <c r="F100" s="162"/>
    </row>
    <row r="101" spans="3:6" ht="15.75" thickBot="1">
      <c r="C101" s="161"/>
      <c r="D101" s="161"/>
      <c r="F101" s="162"/>
    </row>
    <row r="102" spans="3:6" ht="15.75" thickBot="1">
      <c r="C102" s="161"/>
      <c r="D102" s="161"/>
      <c r="F102" s="162"/>
    </row>
    <row r="103" spans="3:6" ht="15.75" thickBot="1">
      <c r="C103" s="161"/>
      <c r="D103" s="161"/>
      <c r="F103" s="162"/>
    </row>
    <row r="104" spans="3:6" ht="15.75" thickBot="1">
      <c r="C104" s="161"/>
      <c r="D104" s="161"/>
      <c r="F104" s="162"/>
    </row>
    <row r="105" spans="3:6" ht="15.75" thickBot="1">
      <c r="C105" s="161"/>
      <c r="D105" s="161"/>
      <c r="F105" s="162"/>
    </row>
    <row r="106" spans="3:6" ht="15.75" thickBot="1">
      <c r="C106" s="161"/>
      <c r="D106" s="161"/>
      <c r="F106" s="162"/>
    </row>
    <row r="107" spans="3:6" ht="15.75" thickBot="1">
      <c r="C107" s="161"/>
      <c r="D107" s="161"/>
      <c r="F107" s="162"/>
    </row>
    <row r="108" spans="3:6" ht="15.75" thickBot="1">
      <c r="C108" s="161"/>
      <c r="D108" s="161"/>
      <c r="F108" s="162"/>
    </row>
    <row r="109" spans="3:6" ht="15.75" thickBot="1">
      <c r="C109" s="161"/>
      <c r="D109" s="161"/>
      <c r="F109" s="162"/>
    </row>
    <row r="110" spans="3:6" ht="15.75" thickBot="1">
      <c r="C110" s="161"/>
      <c r="D110" s="161"/>
      <c r="F110" s="162"/>
    </row>
    <row r="111" spans="3:6" ht="15.75" thickBot="1">
      <c r="C111" s="161"/>
      <c r="D111" s="161"/>
      <c r="F111" s="162"/>
    </row>
    <row r="112" spans="3:6" ht="15.75" thickBot="1">
      <c r="C112" s="161"/>
      <c r="D112" s="161"/>
      <c r="F112" s="162"/>
    </row>
    <row r="113" spans="3:6" ht="15.75" thickBot="1">
      <c r="C113" s="161"/>
      <c r="D113" s="161"/>
      <c r="F113" s="162"/>
    </row>
    <row r="114" spans="3:6" ht="15.75" thickBot="1">
      <c r="C114" s="161"/>
      <c r="D114" s="161"/>
      <c r="F114" s="162"/>
    </row>
    <row r="115" spans="3:6" ht="15.75" thickBot="1">
      <c r="C115" s="161"/>
      <c r="D115" s="161"/>
      <c r="F115" s="162"/>
    </row>
    <row r="116" spans="3:6" ht="15.75" thickBot="1">
      <c r="C116" s="161"/>
      <c r="D116" s="161"/>
      <c r="F116" s="162"/>
    </row>
    <row r="117" spans="3:6" ht="15.75" thickBot="1">
      <c r="C117" s="161"/>
      <c r="D117" s="161"/>
      <c r="F117" s="162"/>
    </row>
    <row r="118" spans="3:6" ht="15.75" thickBot="1">
      <c r="C118" s="161"/>
      <c r="D118" s="161"/>
      <c r="F118" s="162"/>
    </row>
    <row r="119" spans="3:6" ht="15.75" thickBot="1">
      <c r="C119" s="161"/>
      <c r="D119" s="161"/>
      <c r="F119" s="162"/>
    </row>
    <row r="120" spans="3:6" ht="15.75" thickBot="1">
      <c r="C120" s="161"/>
      <c r="D120" s="161"/>
      <c r="F120" s="162"/>
    </row>
    <row r="121" spans="3:6" ht="15.75" thickBot="1">
      <c r="C121" s="161"/>
      <c r="D121" s="161"/>
      <c r="F121" s="162"/>
    </row>
    <row r="122" spans="3:6" ht="15.75" thickBot="1">
      <c r="C122" s="161"/>
      <c r="D122" s="161"/>
      <c r="F122" s="162"/>
    </row>
    <row r="123" spans="3:6" ht="15.75" thickBot="1">
      <c r="C123" s="161"/>
      <c r="D123" s="161"/>
      <c r="F123" s="162"/>
    </row>
    <row r="124" spans="3:6" ht="15.75" thickBot="1">
      <c r="C124" s="161"/>
      <c r="D124" s="161"/>
      <c r="F124" s="162"/>
    </row>
    <row r="125" spans="3:6" ht="15.75" thickBot="1">
      <c r="C125" s="161"/>
      <c r="D125" s="161"/>
      <c r="F125" s="162"/>
    </row>
    <row r="126" spans="3:6" ht="15.75" thickBot="1">
      <c r="C126" s="161"/>
      <c r="D126" s="161"/>
      <c r="F126" s="162"/>
    </row>
    <row r="127" spans="3:6" ht="15.75" thickBot="1">
      <c r="C127" s="161"/>
      <c r="D127" s="161"/>
      <c r="F127" s="162"/>
    </row>
    <row r="128" spans="3:6" ht="15.75" thickBot="1">
      <c r="C128" s="161"/>
      <c r="D128" s="161"/>
      <c r="F128" s="162"/>
    </row>
    <row r="129" spans="3:6" ht="15.75" thickBot="1">
      <c r="C129" s="161"/>
      <c r="D129" s="161"/>
      <c r="F129" s="162"/>
    </row>
    <row r="130" spans="3:6" ht="15.75" thickBot="1">
      <c r="C130" s="161"/>
      <c r="D130" s="161"/>
      <c r="F130" s="162"/>
    </row>
    <row r="131" spans="3:6" ht="15.75" thickBot="1">
      <c r="C131" s="161"/>
      <c r="D131" s="161"/>
      <c r="F131" s="162"/>
    </row>
    <row r="132" spans="3:6" ht="15.75" thickBot="1">
      <c r="C132" s="161"/>
      <c r="D132" s="161"/>
      <c r="F132" s="162"/>
    </row>
    <row r="133" spans="3:6" ht="15.75" thickBot="1">
      <c r="C133" s="161"/>
      <c r="D133" s="161"/>
      <c r="F133" s="162"/>
    </row>
    <row r="134" spans="3:6" ht="15.75" thickBot="1">
      <c r="C134" s="161"/>
      <c r="D134" s="161"/>
      <c r="F134" s="162"/>
    </row>
    <row r="135" spans="3:6" ht="15.75" thickBot="1">
      <c r="C135" s="161"/>
      <c r="D135" s="161"/>
      <c r="F135" s="162"/>
    </row>
    <row r="136" spans="3:6" ht="15.75" thickBot="1">
      <c r="C136" s="161"/>
      <c r="D136" s="161"/>
      <c r="F136" s="162"/>
    </row>
    <row r="137" spans="3:6" ht="15.75" thickBot="1">
      <c r="C137" s="161"/>
      <c r="D137" s="161"/>
      <c r="F137" s="162"/>
    </row>
    <row r="138" spans="3:6" ht="15.75" thickBot="1">
      <c r="C138" s="161"/>
      <c r="D138" s="161"/>
      <c r="F138" s="162"/>
    </row>
    <row r="139" spans="3:6" ht="15.75" thickBot="1">
      <c r="C139" s="161"/>
      <c r="D139" s="161"/>
      <c r="F139" s="162"/>
    </row>
    <row r="140" spans="3:6" ht="15.75" thickBot="1">
      <c r="C140" s="161"/>
      <c r="D140" s="161"/>
      <c r="F140" s="162"/>
    </row>
    <row r="141" spans="3:6" ht="15.75" thickBot="1">
      <c r="C141" s="161"/>
      <c r="D141" s="161"/>
      <c r="F141" s="162"/>
    </row>
    <row r="142" spans="3:6" ht="15.75" thickBot="1">
      <c r="C142" s="161"/>
      <c r="D142" s="161"/>
      <c r="F142" s="162"/>
    </row>
    <row r="143" spans="3:6" ht="15.75" thickBot="1">
      <c r="C143" s="161"/>
      <c r="D143" s="161"/>
      <c r="F143" s="162"/>
    </row>
    <row r="144" spans="3:6" ht="15.75" thickBot="1">
      <c r="C144" s="161"/>
      <c r="D144" s="161"/>
      <c r="F144" s="162"/>
    </row>
    <row r="145" spans="3:6" ht="15.75" thickBot="1">
      <c r="C145" s="161"/>
      <c r="D145" s="161"/>
      <c r="F145" s="162"/>
    </row>
    <row r="146" spans="3:6" ht="15.75" thickBot="1">
      <c r="C146" s="161"/>
      <c r="D146" s="161"/>
      <c r="F146" s="162"/>
    </row>
    <row r="147" spans="3:6" ht="15.75" thickBot="1">
      <c r="C147" s="161"/>
      <c r="D147" s="161"/>
      <c r="F147" s="162"/>
    </row>
    <row r="148" spans="3:6" ht="15.75" thickBot="1">
      <c r="C148" s="161"/>
      <c r="D148" s="161"/>
      <c r="F148" s="162"/>
    </row>
    <row r="149" spans="3:6" ht="15.75" thickBot="1">
      <c r="C149" s="161"/>
      <c r="D149" s="161"/>
      <c r="F149" s="162"/>
    </row>
    <row r="150" spans="3:6" ht="15.75" thickBot="1">
      <c r="C150" s="161"/>
      <c r="D150" s="161"/>
      <c r="F150" s="162"/>
    </row>
    <row r="151" spans="3:6" ht="15.75" thickBot="1">
      <c r="C151" s="161"/>
      <c r="D151" s="161"/>
      <c r="F151" s="162"/>
    </row>
    <row r="152" spans="3:6" ht="15.75" thickBot="1">
      <c r="C152" s="161"/>
      <c r="D152" s="161"/>
      <c r="F152" s="162"/>
    </row>
    <row r="153" spans="3:6" ht="15.75" thickBot="1">
      <c r="C153" s="161"/>
      <c r="D153" s="161"/>
      <c r="F153" s="162"/>
    </row>
    <row r="154" spans="3:6" ht="15.75" thickBot="1">
      <c r="C154" s="161"/>
      <c r="D154" s="161"/>
      <c r="F154" s="162"/>
    </row>
    <row r="155" spans="3:6" ht="15.75" thickBot="1">
      <c r="C155" s="161"/>
      <c r="D155" s="161"/>
      <c r="F155" s="162"/>
    </row>
    <row r="156" spans="3:6" ht="15.75" thickBot="1">
      <c r="C156" s="161"/>
      <c r="D156" s="161"/>
      <c r="F156" s="162"/>
    </row>
    <row r="157" spans="3:6" ht="15.75" thickBot="1">
      <c r="C157" s="161"/>
      <c r="D157" s="161"/>
      <c r="F157" s="162"/>
    </row>
    <row r="158" spans="3:6" ht="15.75" thickBot="1">
      <c r="C158" s="161"/>
      <c r="D158" s="161"/>
      <c r="F158" s="162"/>
    </row>
    <row r="159" spans="3:6" ht="15.75" thickBot="1">
      <c r="C159" s="161"/>
      <c r="D159" s="161"/>
      <c r="F159" s="162"/>
    </row>
    <row r="160" spans="3:6" ht="15.75" thickBot="1">
      <c r="C160" s="161"/>
      <c r="D160" s="161"/>
      <c r="F160" s="162"/>
    </row>
    <row r="161" spans="3:6" ht="15.75" thickBot="1">
      <c r="C161" s="161"/>
      <c r="D161" s="161"/>
      <c r="F161" s="162"/>
    </row>
    <row r="162" spans="3:6" ht="15.75" thickBot="1">
      <c r="C162" s="161"/>
      <c r="D162" s="161"/>
      <c r="F162" s="162"/>
    </row>
    <row r="163" spans="3:6" ht="15.75" thickBot="1">
      <c r="C163" s="161"/>
      <c r="D163" s="161"/>
      <c r="F163" s="162"/>
    </row>
    <row r="164" spans="3:6" ht="15.75" thickBot="1">
      <c r="C164" s="161"/>
      <c r="D164" s="161"/>
      <c r="F164" s="162"/>
    </row>
    <row r="165" spans="3:6" ht="15.75" thickBot="1">
      <c r="C165" s="161"/>
      <c r="D165" s="161"/>
      <c r="F165" s="162"/>
    </row>
    <row r="166" spans="3:6" ht="15.75" thickBot="1">
      <c r="C166" s="161"/>
      <c r="D166" s="161"/>
      <c r="F166" s="162"/>
    </row>
    <row r="167" spans="3:6" ht="15.75" thickBot="1">
      <c r="C167" s="161"/>
      <c r="D167" s="161"/>
      <c r="F167" s="162"/>
    </row>
    <row r="168" spans="3:6" ht="15.75" thickBot="1">
      <c r="C168" s="161"/>
      <c r="D168" s="161"/>
      <c r="F168" s="162"/>
    </row>
    <row r="169" spans="3:6" ht="15.75" thickBot="1">
      <c r="C169" s="161"/>
      <c r="D169" s="161"/>
      <c r="F169" s="162"/>
    </row>
    <row r="170" spans="3:6" ht="15.75" thickBot="1">
      <c r="C170" s="161"/>
      <c r="D170" s="161"/>
      <c r="F170" s="162"/>
    </row>
    <row r="171" spans="3:6" ht="15.75" thickBot="1">
      <c r="C171" s="161"/>
      <c r="D171" s="161"/>
      <c r="F171" s="162"/>
    </row>
    <row r="172" spans="3:6" ht="15.75" thickBot="1">
      <c r="C172" s="161"/>
      <c r="D172" s="161"/>
      <c r="F172" s="162"/>
    </row>
    <row r="173" spans="3:6" ht="15.75" thickBot="1">
      <c r="C173" s="161"/>
      <c r="D173" s="161"/>
      <c r="F173" s="162"/>
    </row>
    <row r="174" spans="3:6" ht="15.75" thickBot="1">
      <c r="C174" s="161"/>
      <c r="D174" s="161"/>
      <c r="F174" s="162"/>
    </row>
    <row r="175" spans="3:6" ht="15.75" thickBot="1">
      <c r="C175" s="161"/>
      <c r="D175" s="161"/>
      <c r="F175" s="162"/>
    </row>
    <row r="176" spans="3:6" ht="15.75" thickBot="1">
      <c r="C176" s="161"/>
      <c r="D176" s="161"/>
      <c r="F176" s="162"/>
    </row>
    <row r="177" spans="3:6" ht="15.75" thickBot="1">
      <c r="C177" s="161"/>
      <c r="D177" s="161"/>
      <c r="F177" s="162"/>
    </row>
    <row r="178" spans="3:6" ht="15.75" thickBot="1">
      <c r="C178" s="161"/>
      <c r="D178" s="161"/>
      <c r="F178" s="162"/>
    </row>
    <row r="179" spans="3:6" ht="15.75" thickBot="1">
      <c r="C179" s="161"/>
      <c r="D179" s="161"/>
      <c r="F179" s="162"/>
    </row>
    <row r="180" spans="3:6" ht="15.75" thickBot="1">
      <c r="C180" s="161"/>
      <c r="D180" s="161"/>
      <c r="F180" s="162"/>
    </row>
    <row r="181" spans="3:6" ht="15.75" thickBot="1">
      <c r="C181" s="161"/>
      <c r="D181" s="161"/>
      <c r="F181" s="162"/>
    </row>
    <row r="182" spans="3:6" ht="15.75" thickBot="1">
      <c r="C182" s="161"/>
      <c r="D182" s="161"/>
      <c r="F182" s="162"/>
    </row>
    <row r="183" spans="3:6" ht="15.75" thickBot="1">
      <c r="C183" s="161"/>
      <c r="D183" s="161"/>
      <c r="F183" s="162"/>
    </row>
    <row r="184" spans="3:6" ht="15.75" thickBot="1">
      <c r="C184" s="161"/>
      <c r="D184" s="161"/>
      <c r="F184" s="162"/>
    </row>
    <row r="185" spans="3:6" ht="15.75" thickBot="1">
      <c r="C185" s="161"/>
      <c r="D185" s="161"/>
      <c r="F185" s="162"/>
    </row>
    <row r="186" spans="3:6" ht="15.75" thickBot="1">
      <c r="C186" s="161"/>
      <c r="D186" s="161"/>
      <c r="F186" s="162"/>
    </row>
    <row r="187" spans="3:6" ht="15.75" thickBot="1">
      <c r="C187" s="161"/>
      <c r="D187" s="161"/>
      <c r="F187" s="162"/>
    </row>
    <row r="188" spans="3:6" ht="15.75" thickBot="1">
      <c r="C188" s="161"/>
      <c r="D188" s="161"/>
      <c r="F188" s="162"/>
    </row>
    <row r="189" spans="3:6" ht="15.75" thickBot="1">
      <c r="C189" s="161"/>
      <c r="D189" s="161"/>
      <c r="F189" s="162"/>
    </row>
    <row r="190" spans="3:6" ht="15.75" thickBot="1">
      <c r="C190" s="161"/>
      <c r="D190" s="161"/>
      <c r="F190" s="162"/>
    </row>
    <row r="191" spans="3:6" ht="15.75" thickBot="1">
      <c r="C191" s="161"/>
      <c r="D191" s="161"/>
      <c r="F191" s="162"/>
    </row>
    <row r="192" spans="3:6" ht="15.75" thickBot="1">
      <c r="C192" s="161"/>
      <c r="D192" s="161"/>
      <c r="F192" s="162"/>
    </row>
    <row r="193" spans="3:6" ht="15.75" thickBot="1">
      <c r="C193" s="161"/>
      <c r="D193" s="161"/>
      <c r="F193" s="162"/>
    </row>
    <row r="194" spans="3:6" ht="15.75" thickBot="1">
      <c r="C194" s="161"/>
      <c r="D194" s="161"/>
      <c r="F194" s="162"/>
    </row>
    <row r="195" spans="3:6" ht="15.75" thickBot="1">
      <c r="C195" s="161"/>
      <c r="D195" s="161"/>
      <c r="F195" s="162"/>
    </row>
    <row r="196" spans="3:6" ht="15.75" thickBot="1">
      <c r="C196" s="161"/>
      <c r="D196" s="161"/>
      <c r="F196" s="162"/>
    </row>
    <row r="197" spans="3:6" ht="15.75" thickBot="1">
      <c r="C197" s="161"/>
      <c r="D197" s="161"/>
      <c r="F197" s="162"/>
    </row>
    <row r="198" spans="3:6" ht="15.75" thickBot="1">
      <c r="C198" s="161"/>
      <c r="D198" s="161"/>
      <c r="F198" s="162"/>
    </row>
    <row r="199" spans="3:6" ht="15.75" thickBot="1">
      <c r="C199" s="161"/>
      <c r="D199" s="161"/>
      <c r="F199" s="162"/>
    </row>
    <row r="200" spans="3:6" ht="15.75" thickBot="1">
      <c r="C200" s="161"/>
      <c r="D200" s="161"/>
      <c r="F200" s="162"/>
    </row>
    <row r="201" spans="3:6" ht="15.75" thickBot="1">
      <c r="C201" s="161"/>
      <c r="D201" s="161"/>
      <c r="F201" s="162"/>
    </row>
    <row r="202" spans="3:6" ht="15.75" thickBot="1">
      <c r="C202" s="161"/>
      <c r="D202" s="161"/>
      <c r="F202" s="162"/>
    </row>
    <row r="203" spans="3:6" ht="15.75" thickBot="1">
      <c r="C203" s="161"/>
      <c r="D203" s="161"/>
      <c r="F203" s="162"/>
    </row>
    <row r="204" spans="3:6" ht="15.75" thickBot="1">
      <c r="C204" s="161"/>
      <c r="D204" s="161"/>
      <c r="F204" s="162"/>
    </row>
    <row r="205" spans="3:6" ht="15.75" thickBot="1">
      <c r="C205" s="161"/>
      <c r="D205" s="161"/>
      <c r="F205" s="162"/>
    </row>
    <row r="206" spans="3:6" ht="15.75" thickBot="1">
      <c r="C206" s="161"/>
      <c r="D206" s="161"/>
      <c r="F206" s="162"/>
    </row>
    <row r="207" spans="3:6" ht="15.75" thickBot="1">
      <c r="C207" s="161"/>
      <c r="D207" s="161"/>
      <c r="F207" s="162"/>
    </row>
    <row r="208" spans="3:6" ht="15.75" thickBot="1">
      <c r="C208" s="161"/>
      <c r="D208" s="161"/>
      <c r="F208" s="162"/>
    </row>
    <row r="209" spans="3:6" ht="15.75" thickBot="1">
      <c r="C209" s="161"/>
      <c r="D209" s="161"/>
      <c r="F209" s="162"/>
    </row>
    <row r="210" spans="3:6" ht="15.75" thickBot="1">
      <c r="C210" s="161"/>
      <c r="D210" s="161"/>
      <c r="F210" s="162"/>
    </row>
    <row r="211" spans="3:6" ht="15.75" thickBot="1">
      <c r="C211" s="161"/>
      <c r="D211" s="161"/>
      <c r="F211" s="162"/>
    </row>
    <row r="212" spans="3:6" ht="15.75" thickBot="1">
      <c r="C212" s="161"/>
      <c r="D212" s="161"/>
      <c r="F212" s="162"/>
    </row>
    <row r="213" spans="3:6" ht="15.75" thickBot="1">
      <c r="C213" s="161"/>
      <c r="D213" s="161"/>
      <c r="F213" s="162"/>
    </row>
    <row r="214" spans="3:6" ht="15.75" thickBot="1">
      <c r="C214" s="161"/>
      <c r="D214" s="161"/>
      <c r="F214" s="162"/>
    </row>
    <row r="215" spans="3:6" ht="15.75" thickBot="1">
      <c r="C215" s="161"/>
      <c r="D215" s="161"/>
      <c r="F215" s="162"/>
    </row>
    <row r="216" spans="3:6" ht="15.75" thickBot="1">
      <c r="C216" s="161"/>
      <c r="D216" s="161"/>
      <c r="F216" s="162"/>
    </row>
    <row r="217" spans="3:6" ht="15.75" thickBot="1">
      <c r="C217" s="161"/>
      <c r="D217" s="161"/>
      <c r="F217" s="162"/>
    </row>
    <row r="218" spans="3:6" ht="15.75" thickBot="1">
      <c r="C218" s="161"/>
      <c r="D218" s="161"/>
      <c r="F218" s="162"/>
    </row>
    <row r="219" spans="3:6" ht="15.75" thickBot="1">
      <c r="C219" s="161"/>
      <c r="D219" s="161"/>
      <c r="F219" s="162"/>
    </row>
    <row r="220" spans="3:6" ht="15.75" thickBot="1">
      <c r="C220" s="161"/>
      <c r="D220" s="161"/>
      <c r="F220" s="162"/>
    </row>
    <row r="221" spans="3:6" ht="15.75" thickBot="1">
      <c r="C221" s="161"/>
      <c r="D221" s="161"/>
      <c r="F221" s="162"/>
    </row>
    <row r="222" spans="3:6" ht="15.75" thickBot="1">
      <c r="C222" s="161"/>
      <c r="D222" s="161"/>
      <c r="F222" s="162"/>
    </row>
    <row r="223" spans="3:6" ht="15.75" thickBot="1">
      <c r="C223" s="161"/>
      <c r="D223" s="161"/>
      <c r="F223" s="162"/>
    </row>
    <row r="224" spans="3:6" ht="15.75" thickBot="1">
      <c r="C224" s="161"/>
      <c r="D224" s="161"/>
      <c r="F224" s="162"/>
    </row>
    <row r="225" spans="3:6" ht="15.75" thickBot="1">
      <c r="C225" s="161"/>
      <c r="D225" s="161"/>
      <c r="F225" s="162"/>
    </row>
    <row r="226" spans="3:6" ht="15.75" thickBot="1">
      <c r="C226" s="161"/>
      <c r="D226" s="161"/>
      <c r="F226" s="162"/>
    </row>
    <row r="227" spans="3:6" ht="15.75" thickBot="1">
      <c r="C227" s="161"/>
      <c r="D227" s="161"/>
      <c r="F227" s="162"/>
    </row>
    <row r="228" spans="3:6" ht="15.75" thickBot="1">
      <c r="C228" s="161"/>
      <c r="D228" s="161"/>
      <c r="F228" s="162"/>
    </row>
    <row r="229" spans="3:6" ht="15.75" thickBot="1">
      <c r="C229" s="161"/>
      <c r="D229" s="161"/>
      <c r="F229" s="162"/>
    </row>
    <row r="230" spans="3:6" ht="15.75" thickBot="1">
      <c r="C230" s="161"/>
      <c r="D230" s="161"/>
      <c r="F230" s="162"/>
    </row>
    <row r="231" spans="3:6" ht="15.75" thickBot="1">
      <c r="C231" s="161"/>
      <c r="D231" s="161"/>
      <c r="F231" s="162"/>
    </row>
    <row r="232" spans="3:6" ht="15.75" thickBot="1">
      <c r="C232" s="161"/>
      <c r="D232" s="161"/>
      <c r="F232" s="162"/>
    </row>
    <row r="233" spans="3:6" ht="15.75" thickBot="1">
      <c r="C233" s="161"/>
      <c r="D233" s="161"/>
      <c r="F233" s="162"/>
    </row>
    <row r="234" spans="3:6" ht="15.75" thickBot="1">
      <c r="C234" s="161"/>
      <c r="D234" s="161"/>
      <c r="F234" s="162"/>
    </row>
    <row r="235" spans="3:6" ht="15.75" thickBot="1">
      <c r="C235" s="161"/>
      <c r="D235" s="161"/>
      <c r="F235" s="162"/>
    </row>
    <row r="236" spans="3:6" ht="15.75" thickBot="1">
      <c r="C236" s="161"/>
      <c r="D236" s="161"/>
      <c r="F236" s="162"/>
    </row>
    <row r="237" spans="3:6" ht="15.75" thickBot="1">
      <c r="C237" s="161"/>
      <c r="D237" s="161"/>
      <c r="F237" s="162"/>
    </row>
    <row r="238" spans="3:6" ht="15.75" thickBot="1">
      <c r="C238" s="161"/>
      <c r="D238" s="161"/>
      <c r="F238" s="162"/>
    </row>
    <row r="239" spans="3:6" ht="15.75" thickBot="1">
      <c r="C239" s="161"/>
      <c r="D239" s="161"/>
      <c r="F239" s="162"/>
    </row>
    <row r="240" spans="3:6" ht="15.75" thickBot="1">
      <c r="C240" s="161"/>
      <c r="D240" s="161"/>
      <c r="F240" s="162"/>
    </row>
    <row r="241" spans="3:6" ht="15.75" thickBot="1">
      <c r="C241" s="161"/>
      <c r="D241" s="161"/>
      <c r="F241" s="162"/>
    </row>
    <row r="242" spans="3:6" ht="15.75" thickBot="1">
      <c r="C242" s="161"/>
      <c r="D242" s="161"/>
      <c r="F242" s="162"/>
    </row>
    <row r="243" spans="3:6" ht="15.75" thickBot="1">
      <c r="C243" s="161"/>
      <c r="D243" s="161"/>
      <c r="F243" s="162"/>
    </row>
    <row r="244" spans="3:6" ht="15.75" thickBot="1">
      <c r="C244" s="161"/>
      <c r="D244" s="161"/>
      <c r="F244" s="162"/>
    </row>
    <row r="245" spans="3:6" ht="15.75" thickBot="1">
      <c r="C245" s="161"/>
      <c r="D245" s="161"/>
      <c r="F245" s="162"/>
    </row>
    <row r="246" spans="3:6" ht="15.75" thickBot="1">
      <c r="C246" s="161"/>
      <c r="D246" s="161"/>
      <c r="F246" s="162"/>
    </row>
    <row r="247" spans="3:6" ht="15.75" thickBot="1">
      <c r="C247" s="161"/>
      <c r="D247" s="161"/>
      <c r="F247" s="162"/>
    </row>
    <row r="248" spans="3:6" ht="15.75" thickBot="1">
      <c r="C248" s="161"/>
      <c r="D248" s="161"/>
      <c r="F248" s="162"/>
    </row>
    <row r="249" spans="3:6" ht="15.75" thickBot="1">
      <c r="C249" s="161"/>
      <c r="D249" s="161"/>
      <c r="F249" s="162"/>
    </row>
    <row r="250" spans="3:6" ht="15.75" thickBot="1">
      <c r="C250" s="161"/>
      <c r="D250" s="161"/>
      <c r="F250" s="162"/>
    </row>
    <row r="251" spans="3:6" ht="15.75" thickBot="1">
      <c r="C251" s="161"/>
      <c r="D251" s="161"/>
      <c r="F251" s="162"/>
    </row>
    <row r="252" spans="3:6" ht="15.75" thickBot="1">
      <c r="C252" s="161"/>
      <c r="D252" s="161"/>
      <c r="F252" s="162"/>
    </row>
    <row r="253" spans="3:6" ht="15.75" thickBot="1">
      <c r="C253" s="161"/>
      <c r="D253" s="161"/>
      <c r="F253" s="162"/>
    </row>
    <row r="254" spans="3:6" ht="15.75" thickBot="1">
      <c r="C254" s="161"/>
      <c r="D254" s="161"/>
      <c r="F254" s="162"/>
    </row>
    <row r="255" spans="3:6" ht="15.75" thickBot="1">
      <c r="C255" s="161"/>
      <c r="D255" s="161"/>
      <c r="F255" s="162"/>
    </row>
    <row r="256" spans="3:6" ht="15.75" thickBot="1">
      <c r="C256" s="161"/>
      <c r="D256" s="161"/>
      <c r="F256" s="162"/>
    </row>
    <row r="257" spans="3:6" ht="15.75" thickBot="1">
      <c r="C257" s="161"/>
      <c r="D257" s="161"/>
      <c r="F257" s="162"/>
    </row>
    <row r="258" spans="3:6" ht="15.75" thickBot="1">
      <c r="C258" s="161"/>
      <c r="D258" s="161"/>
      <c r="F258" s="162"/>
    </row>
    <row r="259" spans="3:6" ht="15.75" thickBot="1">
      <c r="C259" s="161"/>
      <c r="D259" s="161"/>
      <c r="F259" s="162"/>
    </row>
    <row r="260" spans="3:6" ht="15.75" thickBot="1">
      <c r="C260" s="161"/>
      <c r="D260" s="161"/>
      <c r="F260" s="162"/>
    </row>
    <row r="261" spans="3:6" ht="15.75" thickBot="1">
      <c r="C261" s="161"/>
      <c r="D261" s="161"/>
      <c r="F261" s="162"/>
    </row>
    <row r="262" spans="3:6" ht="15.75" thickBot="1">
      <c r="C262" s="161"/>
      <c r="D262" s="161"/>
      <c r="F262" s="162"/>
    </row>
    <row r="263" spans="3:6" ht="15.75" thickBot="1">
      <c r="C263" s="161"/>
      <c r="D263" s="161"/>
      <c r="F263" s="162"/>
    </row>
    <row r="264" spans="3:6" ht="15.75" thickBot="1">
      <c r="C264" s="161"/>
      <c r="D264" s="161"/>
      <c r="F264" s="162"/>
    </row>
    <row r="265" spans="3:6" ht="15.75" thickBot="1">
      <c r="C265" s="161"/>
      <c r="D265" s="161"/>
      <c r="F265" s="162"/>
    </row>
    <row r="266" spans="3:6" ht="15.75" thickBot="1">
      <c r="C266" s="161"/>
      <c r="D266" s="161"/>
      <c r="F266" s="162"/>
    </row>
    <row r="267" spans="3:6" ht="15.75" thickBot="1">
      <c r="C267" s="161"/>
      <c r="D267" s="161"/>
      <c r="F267" s="162"/>
    </row>
    <row r="268" spans="3:6" ht="15.75" thickBot="1">
      <c r="C268" s="161"/>
      <c r="D268" s="161"/>
      <c r="F268" s="162"/>
    </row>
    <row r="269" spans="3:6" ht="15.75" thickBot="1">
      <c r="C269" s="161"/>
      <c r="D269" s="161"/>
      <c r="F269" s="162"/>
    </row>
    <row r="270" spans="3:6" ht="15.75" thickBot="1">
      <c r="C270" s="161"/>
      <c r="D270" s="161"/>
      <c r="F270" s="162"/>
    </row>
    <row r="271" spans="3:6" ht="15.75" thickBot="1">
      <c r="C271" s="161"/>
      <c r="D271" s="161"/>
      <c r="F271" s="162"/>
    </row>
    <row r="272" spans="3:6" ht="15.75" thickBot="1">
      <c r="C272" s="161"/>
      <c r="D272" s="161"/>
      <c r="F272" s="162"/>
    </row>
    <row r="273" spans="3:6" ht="15.75" thickBot="1">
      <c r="C273" s="161"/>
      <c r="D273" s="161"/>
      <c r="F273" s="162"/>
    </row>
    <row r="274" spans="3:6" ht="15.75" thickBot="1">
      <c r="C274" s="161"/>
      <c r="D274" s="161"/>
      <c r="F274" s="162"/>
    </row>
    <row r="275" spans="3:6" ht="15.75" thickBot="1">
      <c r="C275" s="161"/>
      <c r="D275" s="161"/>
      <c r="F275" s="162"/>
    </row>
    <row r="276" spans="3:6" ht="15.75" thickBot="1">
      <c r="C276" s="161"/>
      <c r="D276" s="161"/>
      <c r="F276" s="162"/>
    </row>
    <row r="277" spans="3:6" ht="15.75" thickBot="1">
      <c r="C277" s="161"/>
      <c r="D277" s="161"/>
      <c r="F277" s="162"/>
    </row>
    <row r="278" spans="3:6" ht="15.75" thickBot="1">
      <c r="C278" s="161"/>
      <c r="D278" s="161"/>
      <c r="F278" s="162"/>
    </row>
    <row r="279" spans="3:6" ht="15.75" thickBot="1">
      <c r="C279" s="161"/>
      <c r="D279" s="161"/>
      <c r="F279" s="162"/>
    </row>
    <row r="280" spans="3:6" ht="15.75" thickBot="1">
      <c r="C280" s="161"/>
      <c r="D280" s="161"/>
      <c r="F280" s="162"/>
    </row>
    <row r="281" spans="3:6" ht="15.75" thickBot="1">
      <c r="C281" s="161"/>
      <c r="D281" s="161"/>
      <c r="F281" s="162"/>
    </row>
    <row r="282" spans="3:6" ht="15.75" thickBot="1">
      <c r="C282" s="161"/>
      <c r="D282" s="161"/>
      <c r="F282" s="162"/>
    </row>
    <row r="283" spans="3:6" ht="15.75" thickBot="1">
      <c r="C283" s="161"/>
      <c r="D283" s="161"/>
      <c r="F283" s="162"/>
    </row>
    <row r="284" spans="3:6" ht="15.75" thickBot="1">
      <c r="C284" s="161"/>
      <c r="D284" s="161"/>
      <c r="F284" s="162"/>
    </row>
    <row r="285" spans="3:6" ht="15.75" thickBot="1">
      <c r="C285" s="161"/>
      <c r="D285" s="161"/>
      <c r="F285" s="162"/>
    </row>
    <row r="286" spans="3:6" ht="15.75" thickBot="1">
      <c r="C286" s="161"/>
      <c r="D286" s="161"/>
      <c r="F286" s="162"/>
    </row>
    <row r="287" spans="3:6" ht="15.75" thickBot="1">
      <c r="C287" s="161"/>
      <c r="D287" s="161"/>
      <c r="F287" s="162"/>
    </row>
    <row r="288" spans="3:6" ht="15.75" thickBot="1">
      <c r="C288" s="161"/>
      <c r="D288" s="161"/>
      <c r="F288" s="162"/>
    </row>
    <row r="289" spans="3:6" ht="15.75" thickBot="1">
      <c r="C289" s="161"/>
      <c r="D289" s="161"/>
      <c r="F289" s="162"/>
    </row>
    <row r="290" spans="3:6" ht="15.75" thickBot="1">
      <c r="C290" s="161"/>
      <c r="D290" s="161"/>
      <c r="F290" s="162"/>
    </row>
    <row r="291" spans="3:6" ht="15.75" thickBot="1">
      <c r="C291" s="161"/>
      <c r="D291" s="161"/>
      <c r="F291" s="162"/>
    </row>
    <row r="292" spans="3:6" ht="15.75" thickBot="1">
      <c r="C292" s="161"/>
      <c r="D292" s="161"/>
      <c r="F292" s="162"/>
    </row>
    <row r="293" spans="3:6" ht="15.75" thickBot="1">
      <c r="C293" s="161"/>
      <c r="D293" s="161"/>
      <c r="F293" s="162"/>
    </row>
    <row r="294" spans="3:6" ht="15.75" thickBot="1">
      <c r="C294" s="161"/>
      <c r="D294" s="161"/>
      <c r="F294" s="162"/>
    </row>
    <row r="295" spans="3:6" ht="15.75" thickBot="1">
      <c r="C295" s="161"/>
      <c r="D295" s="161"/>
      <c r="F295" s="162"/>
    </row>
    <row r="296" spans="3:6" ht="15.75" thickBot="1">
      <c r="C296" s="161"/>
      <c r="D296" s="161"/>
      <c r="F296" s="162"/>
    </row>
    <row r="297" spans="3:6" ht="15.75" thickBot="1">
      <c r="C297" s="161"/>
      <c r="D297" s="161"/>
      <c r="F297" s="162"/>
    </row>
    <row r="298" spans="3:6" ht="15.75" thickBot="1">
      <c r="C298" s="161"/>
      <c r="D298" s="161"/>
      <c r="F298" s="162"/>
    </row>
    <row r="299" spans="3:6" ht="15.75" thickBot="1">
      <c r="C299" s="161"/>
      <c r="D299" s="161"/>
      <c r="F299" s="162"/>
    </row>
    <row r="300" spans="3:6" ht="15.75" thickBot="1">
      <c r="C300" s="161"/>
      <c r="D300" s="161"/>
      <c r="F300" s="162"/>
    </row>
    <row r="301" spans="3:6" ht="15.75" thickBot="1">
      <c r="C301" s="161"/>
      <c r="D301" s="161"/>
      <c r="F301" s="162"/>
    </row>
    <row r="302" spans="3:6" ht="15.75" thickBot="1">
      <c r="C302" s="161"/>
      <c r="D302" s="161"/>
      <c r="F302" s="162"/>
    </row>
    <row r="303" spans="3:6" ht="15.75" thickBot="1">
      <c r="C303" s="161"/>
      <c r="D303" s="161"/>
      <c r="F303" s="162"/>
    </row>
    <row r="304" spans="3:6" ht="15.75" thickBot="1">
      <c r="C304" s="161"/>
      <c r="D304" s="161"/>
      <c r="F304" s="162"/>
    </row>
    <row r="305" spans="3:6" ht="15.75" thickBot="1">
      <c r="C305" s="161"/>
      <c r="D305" s="161"/>
      <c r="F305" s="162"/>
    </row>
    <row r="306" spans="3:6" ht="15.75" thickBot="1">
      <c r="C306" s="161"/>
      <c r="D306" s="161"/>
      <c r="F306" s="162"/>
    </row>
    <row r="307" spans="3:6" ht="15.75" thickBot="1">
      <c r="C307" s="161"/>
      <c r="D307" s="161"/>
      <c r="F307" s="162"/>
    </row>
    <row r="308" spans="3:6" ht="15.75" thickBot="1">
      <c r="C308" s="161"/>
      <c r="D308" s="161"/>
      <c r="F308" s="162"/>
    </row>
    <row r="309" spans="3:6" ht="15.75" thickBot="1">
      <c r="C309" s="161"/>
      <c r="D309" s="161"/>
      <c r="F309" s="162"/>
    </row>
    <row r="310" spans="3:6" ht="15.75" thickBot="1">
      <c r="C310" s="161"/>
      <c r="D310" s="161"/>
      <c r="F310" s="162"/>
    </row>
    <row r="311" spans="3:6" ht="15.75" thickBot="1">
      <c r="C311" s="161"/>
      <c r="D311" s="161"/>
      <c r="F311" s="162"/>
    </row>
    <row r="312" spans="3:6" ht="15.75" thickBot="1">
      <c r="C312" s="161"/>
      <c r="D312" s="161"/>
      <c r="F312" s="162"/>
    </row>
    <row r="313" spans="3:6" ht="15.75" thickBot="1">
      <c r="C313" s="161"/>
      <c r="D313" s="161"/>
      <c r="F313" s="162"/>
    </row>
    <row r="314" spans="3:6" ht="15.75" thickBot="1">
      <c r="C314" s="161"/>
      <c r="D314" s="161"/>
      <c r="F314" s="162"/>
    </row>
    <row r="315" spans="3:6" ht="15.75" thickBot="1">
      <c r="C315" s="161"/>
      <c r="D315" s="161"/>
      <c r="F315" s="162"/>
    </row>
    <row r="316" spans="3:6" ht="15.75" thickBot="1">
      <c r="C316" s="161"/>
      <c r="D316" s="161"/>
      <c r="F316" s="162"/>
    </row>
    <row r="317" spans="3:6" ht="15.75" thickBot="1">
      <c r="C317" s="161"/>
      <c r="D317" s="161"/>
      <c r="F317" s="162"/>
    </row>
    <row r="318" spans="3:6" ht="15.75" thickBot="1">
      <c r="C318" s="161"/>
      <c r="D318" s="161"/>
      <c r="F318" s="162"/>
    </row>
    <row r="319" spans="3:6" ht="15.75" thickBot="1">
      <c r="C319" s="161"/>
      <c r="D319" s="161"/>
      <c r="F319" s="162"/>
    </row>
    <row r="320" spans="3:6" ht="15.75" thickBot="1">
      <c r="C320" s="161"/>
      <c r="D320" s="161"/>
      <c r="F320" s="162"/>
    </row>
    <row r="321" spans="3:6" ht="15.75" thickBot="1">
      <c r="C321" s="161"/>
      <c r="D321" s="161"/>
      <c r="F321" s="162"/>
    </row>
    <row r="322" spans="3:6" ht="15.75" thickBot="1">
      <c r="C322" s="161"/>
      <c r="D322" s="161"/>
      <c r="F322" s="162"/>
    </row>
    <row r="323" spans="3:6" ht="15.75" thickBot="1">
      <c r="C323" s="161"/>
      <c r="D323" s="161"/>
      <c r="F323" s="162"/>
    </row>
    <row r="324" spans="3:6" ht="15.75" thickBot="1">
      <c r="C324" s="161"/>
      <c r="D324" s="161"/>
      <c r="F324" s="162"/>
    </row>
    <row r="325" spans="3:6" ht="15.75" thickBot="1">
      <c r="C325" s="161"/>
      <c r="D325" s="161"/>
      <c r="F325" s="162"/>
    </row>
    <row r="326" spans="3:6" ht="15.75" thickBot="1">
      <c r="C326" s="161"/>
      <c r="D326" s="161"/>
      <c r="F326" s="162"/>
    </row>
    <row r="327" spans="3:6" ht="15.75" thickBot="1">
      <c r="C327" s="161"/>
      <c r="D327" s="161"/>
      <c r="F327" s="162"/>
    </row>
    <row r="328" spans="3:6" ht="15.75" thickBot="1">
      <c r="C328" s="161"/>
      <c r="D328" s="161"/>
      <c r="F328" s="162"/>
    </row>
    <row r="329" spans="3:6" ht="15.75" thickBot="1">
      <c r="C329" s="161"/>
      <c r="D329" s="161"/>
      <c r="F329" s="162"/>
    </row>
    <row r="330" spans="3:6" ht="15.75" thickBot="1">
      <c r="C330" s="161"/>
      <c r="D330" s="161"/>
      <c r="F330" s="162"/>
    </row>
    <row r="331" spans="3:6" ht="15.75" thickBot="1">
      <c r="C331" s="161"/>
      <c r="D331" s="161"/>
      <c r="F331" s="162"/>
    </row>
    <row r="332" spans="3:6" ht="15.75" thickBot="1">
      <c r="C332" s="161"/>
      <c r="D332" s="161"/>
      <c r="F332" s="162"/>
    </row>
    <row r="333" spans="3:6" ht="15.75" thickBot="1">
      <c r="C333" s="161"/>
      <c r="D333" s="161"/>
      <c r="F333" s="162"/>
    </row>
    <row r="334" spans="3:6" ht="15.75" thickBot="1">
      <c r="C334" s="161"/>
      <c r="D334" s="161"/>
      <c r="F334" s="162"/>
    </row>
    <row r="335" spans="3:6" ht="15.75" thickBot="1">
      <c r="C335" s="161"/>
      <c r="D335" s="161"/>
      <c r="F335" s="162"/>
    </row>
    <row r="336" spans="3:6" ht="15.75" thickBot="1">
      <c r="C336" s="161"/>
      <c r="D336" s="161"/>
      <c r="F336" s="162"/>
    </row>
    <row r="337" spans="3:6" ht="15.75" thickBot="1">
      <c r="C337" s="161"/>
      <c r="D337" s="161"/>
      <c r="F337" s="162"/>
    </row>
    <row r="338" spans="3:6" ht="15.75" thickBot="1">
      <c r="C338" s="161"/>
      <c r="D338" s="161"/>
      <c r="F338" s="162"/>
    </row>
    <row r="339" spans="3:6" ht="15.75" thickBot="1">
      <c r="C339" s="161"/>
      <c r="D339" s="161"/>
      <c r="F339" s="162"/>
    </row>
    <row r="340" spans="3:6" ht="15.75" thickBot="1">
      <c r="C340" s="161"/>
      <c r="D340" s="161"/>
      <c r="F340" s="162"/>
    </row>
    <row r="341" spans="3:6" ht="15.75" thickBot="1">
      <c r="C341" s="161"/>
      <c r="D341" s="161"/>
      <c r="F341" s="162"/>
    </row>
    <row r="342" spans="3:6" ht="15.75" thickBot="1">
      <c r="C342" s="161"/>
      <c r="D342" s="161"/>
      <c r="F342" s="162"/>
    </row>
    <row r="343" spans="3:6" ht="15.75" thickBot="1">
      <c r="C343" s="161"/>
      <c r="D343" s="161"/>
      <c r="F343" s="162"/>
    </row>
    <row r="344" spans="3:6" ht="15.75" thickBot="1">
      <c r="C344" s="161"/>
      <c r="D344" s="161"/>
      <c r="F344" s="162"/>
    </row>
    <row r="345" spans="3:6" ht="15.75" thickBot="1">
      <c r="C345" s="161"/>
      <c r="D345" s="161"/>
      <c r="F345" s="162"/>
    </row>
    <row r="346" spans="3:6" ht="15.75" thickBot="1">
      <c r="C346" s="161"/>
      <c r="D346" s="161"/>
      <c r="F346" s="162"/>
    </row>
    <row r="347" spans="3:6" ht="15.75" thickBot="1">
      <c r="C347" s="161"/>
      <c r="D347" s="161"/>
      <c r="F347" s="162"/>
    </row>
    <row r="348" spans="3:6" ht="15.75" thickBot="1">
      <c r="C348" s="161"/>
      <c r="D348" s="161"/>
      <c r="F348" s="162"/>
    </row>
    <row r="349" spans="3:6" ht="15.75" thickBot="1">
      <c r="C349" s="161"/>
      <c r="D349" s="161"/>
      <c r="F349" s="162"/>
    </row>
    <row r="350" spans="3:6" ht="15.75" thickBot="1">
      <c r="C350" s="161"/>
      <c r="D350" s="161"/>
      <c r="F350" s="162"/>
    </row>
    <row r="351" spans="3:6" ht="15.75" thickBot="1">
      <c r="C351" s="161"/>
      <c r="D351" s="161"/>
      <c r="F351" s="162"/>
    </row>
    <row r="352" spans="3:6" ht="15.75" thickBot="1">
      <c r="C352" s="161"/>
      <c r="D352" s="161"/>
      <c r="F352" s="162"/>
    </row>
    <row r="353" spans="3:6" ht="15.75" thickBot="1">
      <c r="C353" s="161"/>
      <c r="D353" s="161"/>
      <c r="F353" s="162"/>
    </row>
    <row r="354" spans="3:6" ht="15.75" thickBot="1">
      <c r="C354" s="161"/>
      <c r="D354" s="161"/>
      <c r="F354" s="162"/>
    </row>
    <row r="355" spans="3:6" ht="15.75" thickBot="1">
      <c r="C355" s="161"/>
      <c r="D355" s="161"/>
      <c r="F355" s="162"/>
    </row>
    <row r="356" spans="3:6" ht="15.75" thickBot="1">
      <c r="C356" s="161"/>
      <c r="D356" s="161"/>
      <c r="F356" s="162"/>
    </row>
    <row r="357" spans="3:6" ht="15.75" thickBot="1">
      <c r="C357" s="161"/>
      <c r="D357" s="161"/>
      <c r="F357" s="162"/>
    </row>
    <row r="358" spans="3:6" ht="15.75" thickBot="1">
      <c r="C358" s="161"/>
      <c r="D358" s="161"/>
      <c r="F358" s="162"/>
    </row>
    <row r="359" spans="3:6" ht="15.75" thickBot="1">
      <c r="C359" s="161"/>
      <c r="D359" s="161"/>
      <c r="F359" s="162"/>
    </row>
    <row r="360" spans="3:6" ht="15.75" thickBot="1">
      <c r="C360" s="161"/>
      <c r="D360" s="161"/>
      <c r="F360" s="162"/>
    </row>
    <row r="361" spans="3:6" ht="15.75" thickBot="1">
      <c r="C361" s="161"/>
      <c r="D361" s="161"/>
      <c r="F361" s="162"/>
    </row>
    <row r="362" spans="3:6" ht="15.75" thickBot="1">
      <c r="C362" s="161"/>
      <c r="D362" s="161"/>
      <c r="F362" s="162"/>
    </row>
    <row r="363" spans="3:6" ht="15.75" thickBot="1">
      <c r="C363" s="161"/>
      <c r="D363" s="161"/>
      <c r="F363" s="162"/>
    </row>
    <row r="364" spans="3:6" ht="15.75" thickBot="1">
      <c r="C364" s="161"/>
      <c r="D364" s="161"/>
      <c r="F364" s="162"/>
    </row>
    <row r="365" spans="3:6" ht="15.75" thickBot="1">
      <c r="C365" s="161"/>
      <c r="D365" s="161"/>
      <c r="F365" s="162"/>
    </row>
    <row r="366" spans="3:6" ht="15.75" thickBot="1">
      <c r="C366" s="161"/>
      <c r="D366" s="161"/>
      <c r="F366" s="162"/>
    </row>
    <row r="367" spans="3:6" ht="15.75" thickBot="1">
      <c r="C367" s="161"/>
      <c r="D367" s="161"/>
      <c r="F367" s="162"/>
    </row>
    <row r="368" spans="3:6" ht="15.75" thickBot="1">
      <c r="C368" s="161"/>
      <c r="D368" s="161"/>
      <c r="F368" s="162"/>
    </row>
    <row r="369" spans="3:6" ht="15.75" thickBot="1">
      <c r="C369" s="161"/>
      <c r="D369" s="161"/>
      <c r="F369" s="162"/>
    </row>
    <row r="370" spans="3:6" ht="15.75" thickBot="1">
      <c r="C370" s="161"/>
      <c r="D370" s="161"/>
      <c r="F370" s="162"/>
    </row>
    <row r="371" spans="3:6" ht="15.75" thickBot="1">
      <c r="C371" s="161"/>
      <c r="D371" s="161"/>
      <c r="F371" s="162"/>
    </row>
    <row r="372" spans="3:6" ht="15.75" thickBot="1">
      <c r="C372" s="161"/>
      <c r="D372" s="161"/>
      <c r="F372" s="162"/>
    </row>
    <row r="373" spans="3:6" ht="15.75" thickBot="1">
      <c r="C373" s="161"/>
      <c r="D373" s="161"/>
      <c r="F373" s="162"/>
    </row>
    <row r="374" spans="3:6" ht="15.75" thickBot="1">
      <c r="C374" s="161"/>
      <c r="D374" s="161"/>
      <c r="F374" s="162"/>
    </row>
    <row r="375" spans="3:6" ht="15.75" thickBot="1">
      <c r="C375" s="161"/>
      <c r="D375" s="161"/>
      <c r="F375" s="162"/>
    </row>
    <row r="376" spans="3:6" ht="15.75" thickBot="1">
      <c r="C376" s="161"/>
      <c r="D376" s="161"/>
      <c r="F376" s="162"/>
    </row>
    <row r="377" spans="3:6" ht="15.75" thickBot="1">
      <c r="C377" s="161"/>
      <c r="D377" s="161"/>
      <c r="F377" s="162"/>
    </row>
    <row r="378" spans="3:6" ht="15.75" thickBot="1">
      <c r="C378" s="161"/>
      <c r="D378" s="161"/>
      <c r="F378" s="162"/>
    </row>
    <row r="379" spans="3:6" ht="15.75" thickBot="1">
      <c r="C379" s="161"/>
      <c r="D379" s="161"/>
      <c r="F379" s="162"/>
    </row>
    <row r="380" spans="3:6" ht="15.75" thickBot="1">
      <c r="C380" s="161"/>
      <c r="D380" s="161"/>
      <c r="F380" s="162"/>
    </row>
    <row r="381" spans="3:6" ht="15.75" thickBot="1">
      <c r="C381" s="161"/>
      <c r="D381" s="161"/>
      <c r="F381" s="162"/>
    </row>
    <row r="382" spans="3:6" ht="15.75" thickBot="1">
      <c r="C382" s="161"/>
      <c r="D382" s="161"/>
      <c r="F382" s="162"/>
    </row>
    <row r="383" spans="3:6" ht="15.75" thickBot="1">
      <c r="C383" s="161"/>
      <c r="D383" s="161"/>
      <c r="F383" s="162"/>
    </row>
    <row r="384" spans="3:6" ht="15.75" thickBot="1">
      <c r="C384" s="161"/>
      <c r="D384" s="161"/>
      <c r="F384" s="162"/>
    </row>
    <row r="385" spans="3:6" ht="15.75" thickBot="1">
      <c r="C385" s="161"/>
      <c r="D385" s="161"/>
      <c r="F385" s="162"/>
    </row>
    <row r="386" spans="3:6" ht="15.75" thickBot="1">
      <c r="C386" s="161"/>
      <c r="D386" s="161"/>
      <c r="F386" s="162"/>
    </row>
    <row r="387" spans="3:6" ht="15.75" thickBot="1">
      <c r="C387" s="161"/>
      <c r="D387" s="161"/>
      <c r="F387" s="162"/>
    </row>
    <row r="388" spans="3:6" ht="15.75" thickBot="1">
      <c r="C388" s="161"/>
      <c r="D388" s="161"/>
      <c r="F388" s="162"/>
    </row>
    <row r="389" spans="3:6" ht="15.75" thickBot="1">
      <c r="C389" s="161"/>
      <c r="D389" s="161"/>
      <c r="F389" s="162"/>
    </row>
    <row r="390" spans="3:6" ht="15.75" thickBot="1">
      <c r="C390" s="161"/>
      <c r="D390" s="161"/>
      <c r="F390" s="162"/>
    </row>
    <row r="391" spans="3:6" ht="15.75" thickBot="1">
      <c r="C391" s="161"/>
      <c r="D391" s="161"/>
      <c r="F391" s="162"/>
    </row>
    <row r="392" spans="3:6" ht="15.75" thickBot="1">
      <c r="C392" s="161"/>
      <c r="D392" s="161"/>
      <c r="F392" s="162"/>
    </row>
    <row r="393" spans="3:6" ht="15.75" thickBot="1">
      <c r="C393" s="161"/>
      <c r="D393" s="161"/>
      <c r="F393" s="162"/>
    </row>
    <row r="394" spans="3:6" ht="15.75" thickBot="1">
      <c r="C394" s="161"/>
      <c r="D394" s="161"/>
      <c r="F394" s="162"/>
    </row>
    <row r="395" spans="3:6" ht="15.75" thickBot="1">
      <c r="C395" s="161"/>
      <c r="D395" s="161"/>
      <c r="F395" s="162"/>
    </row>
    <row r="396" spans="3:6" ht="15.75" thickBot="1">
      <c r="C396" s="161"/>
      <c r="D396" s="161"/>
      <c r="F396" s="162"/>
    </row>
    <row r="397" spans="3:6" ht="15.75" thickBot="1">
      <c r="C397" s="161"/>
      <c r="D397" s="161"/>
      <c r="F397" s="162"/>
    </row>
    <row r="398" spans="3:6" ht="15.75" thickBot="1">
      <c r="C398" s="161"/>
      <c r="D398" s="161"/>
      <c r="F398" s="162"/>
    </row>
    <row r="399" spans="3:6" ht="15.75" thickBot="1">
      <c r="C399" s="161"/>
      <c r="D399" s="161"/>
      <c r="F399" s="162"/>
    </row>
    <row r="400" spans="3:6" ht="15.75" thickBot="1">
      <c r="C400" s="161"/>
      <c r="D400" s="161"/>
      <c r="F400" s="162"/>
    </row>
    <row r="401" spans="3:6" ht="15.75" thickBot="1">
      <c r="C401" s="161"/>
      <c r="D401" s="161"/>
      <c r="F401" s="162"/>
    </row>
    <row r="402" spans="3:6" ht="15.75" thickBot="1">
      <c r="C402" s="161"/>
      <c r="D402" s="161"/>
      <c r="F402" s="162"/>
    </row>
    <row r="403" spans="3:6" ht="15.75" thickBot="1">
      <c r="C403" s="161"/>
      <c r="D403" s="161"/>
      <c r="F403" s="162"/>
    </row>
    <row r="404" spans="3:6" ht="15.75" thickBot="1">
      <c r="C404" s="161"/>
      <c r="D404" s="161"/>
      <c r="F404" s="162"/>
    </row>
    <row r="405" spans="3:6" ht="15.75" thickBot="1">
      <c r="C405" s="161"/>
      <c r="D405" s="161"/>
      <c r="F405" s="162"/>
    </row>
    <row r="406" spans="3:6" ht="15.75" thickBot="1">
      <c r="C406" s="161"/>
      <c r="D406" s="161"/>
      <c r="F406" s="162"/>
    </row>
    <row r="407" spans="3:6" ht="15.75" thickBot="1">
      <c r="C407" s="161"/>
      <c r="D407" s="161"/>
      <c r="F407" s="162"/>
    </row>
    <row r="408" spans="3:6" ht="15.75" thickBot="1">
      <c r="C408" s="161"/>
      <c r="D408" s="161"/>
      <c r="F408" s="162"/>
    </row>
    <row r="409" spans="3:6" ht="15.75" thickBot="1">
      <c r="C409" s="161"/>
      <c r="D409" s="161"/>
      <c r="F409" s="162"/>
    </row>
    <row r="410" spans="3:6" ht="15.75" thickBot="1">
      <c r="C410" s="161"/>
      <c r="D410" s="161"/>
      <c r="F410" s="162"/>
    </row>
    <row r="411" spans="3:6" ht="15.75" thickBot="1">
      <c r="C411" s="161"/>
      <c r="D411" s="161"/>
      <c r="F411" s="162"/>
    </row>
    <row r="412" spans="3:6" ht="15.75" thickBot="1">
      <c r="C412" s="161"/>
      <c r="D412" s="161"/>
      <c r="F412" s="162"/>
    </row>
    <row r="413" spans="3:6" ht="15.75" thickBot="1">
      <c r="C413" s="161"/>
      <c r="D413" s="161"/>
      <c r="F413" s="162"/>
    </row>
    <row r="414" spans="3:6" ht="15.75" thickBot="1">
      <c r="C414" s="161"/>
      <c r="D414" s="161"/>
      <c r="F414" s="162"/>
    </row>
    <row r="415" spans="3:6" ht="15.75" thickBot="1">
      <c r="C415" s="161"/>
      <c r="D415" s="161"/>
      <c r="F415" s="162"/>
    </row>
    <row r="416" spans="3:6" ht="15.75" thickBot="1">
      <c r="C416" s="161"/>
      <c r="D416" s="161"/>
      <c r="F416" s="162"/>
    </row>
    <row r="417" spans="3:6" ht="15.75" thickBot="1">
      <c r="C417" s="161"/>
      <c r="D417" s="161"/>
      <c r="F417" s="162"/>
    </row>
    <row r="418" spans="3:6" ht="15.75" thickBot="1">
      <c r="C418" s="161"/>
      <c r="D418" s="161"/>
      <c r="F418" s="162"/>
    </row>
    <row r="419" spans="3:6" ht="15.75" thickBot="1">
      <c r="C419" s="161"/>
      <c r="D419" s="161"/>
      <c r="F419" s="162"/>
    </row>
    <row r="420" spans="3:6" ht="15.75" thickBot="1">
      <c r="C420" s="161"/>
      <c r="D420" s="161"/>
      <c r="F420" s="162"/>
    </row>
    <row r="421" spans="3:6" ht="15.75" thickBot="1">
      <c r="C421" s="161"/>
      <c r="D421" s="161"/>
      <c r="F421" s="162"/>
    </row>
    <row r="422" spans="3:6" ht="15.75" thickBot="1">
      <c r="C422" s="161"/>
      <c r="D422" s="161"/>
      <c r="F422" s="162"/>
    </row>
    <row r="423" spans="3:6" ht="15.75" thickBot="1">
      <c r="C423" s="161"/>
      <c r="D423" s="161"/>
      <c r="F423" s="162"/>
    </row>
    <row r="424" spans="3:6" ht="15.75" thickBot="1">
      <c r="C424" s="161"/>
      <c r="D424" s="161"/>
      <c r="F424" s="162"/>
    </row>
    <row r="425" spans="3:6" ht="15.75" thickBot="1">
      <c r="C425" s="161"/>
      <c r="D425" s="161"/>
      <c r="F425" s="162"/>
    </row>
    <row r="426" spans="3:6" ht="15.75" thickBot="1">
      <c r="C426" s="161"/>
      <c r="D426" s="161"/>
      <c r="F426" s="162"/>
    </row>
    <row r="427" spans="3:6" ht="15.75" thickBot="1">
      <c r="C427" s="161"/>
      <c r="D427" s="161"/>
      <c r="F427" s="162"/>
    </row>
    <row r="428" spans="3:6" ht="15.75" thickBot="1">
      <c r="C428" s="161"/>
      <c r="D428" s="161"/>
      <c r="F428" s="162"/>
    </row>
    <row r="429" spans="3:6" ht="15.75" thickBot="1">
      <c r="C429" s="161"/>
      <c r="D429" s="161"/>
      <c r="F429" s="162"/>
    </row>
    <row r="430" spans="3:6" ht="15.75" thickBot="1">
      <c r="C430" s="161"/>
      <c r="D430" s="161"/>
      <c r="F430" s="162"/>
    </row>
    <row r="431" spans="3:6" ht="15.75" thickBot="1">
      <c r="C431" s="161"/>
      <c r="D431" s="161"/>
      <c r="F431" s="162"/>
    </row>
    <row r="432" spans="3:6" ht="15.75" thickBot="1">
      <c r="C432" s="161"/>
      <c r="D432" s="161"/>
      <c r="F432" s="162"/>
    </row>
    <row r="433" spans="3:6" ht="15.75" thickBot="1">
      <c r="C433" s="161"/>
      <c r="D433" s="161"/>
      <c r="F433" s="162"/>
    </row>
    <row r="434" spans="3:6" ht="15.75" thickBot="1">
      <c r="C434" s="161"/>
      <c r="D434" s="161"/>
      <c r="F434" s="162"/>
    </row>
    <row r="435" spans="3:6" ht="15.75" thickBot="1">
      <c r="C435" s="161"/>
      <c r="D435" s="161"/>
      <c r="F435" s="162"/>
    </row>
    <row r="436" spans="3:6" ht="15.75" thickBot="1">
      <c r="C436" s="161"/>
      <c r="D436" s="161"/>
      <c r="F436" s="162"/>
    </row>
    <row r="437" spans="3:6" ht="15.75" thickBot="1">
      <c r="C437" s="161"/>
      <c r="D437" s="161"/>
      <c r="F437" s="162"/>
    </row>
    <row r="438" spans="3:6" ht="15.75" thickBot="1">
      <c r="C438" s="161"/>
      <c r="D438" s="161"/>
      <c r="F438" s="162"/>
    </row>
    <row r="439" spans="3:6" ht="15.75" thickBot="1">
      <c r="C439" s="161"/>
      <c r="D439" s="161"/>
      <c r="F439" s="162"/>
    </row>
    <row r="440" spans="3:6" ht="15.75" thickBot="1">
      <c r="C440" s="161"/>
      <c r="D440" s="161"/>
      <c r="F440" s="162"/>
    </row>
    <row r="441" spans="3:6" ht="15.75" thickBot="1">
      <c r="C441" s="161"/>
      <c r="D441" s="161"/>
      <c r="F441" s="162"/>
    </row>
    <row r="442" spans="3:6" ht="15.75" thickBot="1">
      <c r="C442" s="161"/>
      <c r="D442" s="161"/>
      <c r="F442" s="162"/>
    </row>
    <row r="443" spans="3:6" ht="15.75" thickBot="1">
      <c r="C443" s="161"/>
      <c r="D443" s="161"/>
      <c r="F443" s="162"/>
    </row>
    <row r="444" spans="3:6" ht="15.75" thickBot="1">
      <c r="C444" s="161"/>
      <c r="D444" s="161"/>
      <c r="F444" s="162"/>
    </row>
    <row r="445" spans="3:6" ht="15.75" thickBot="1">
      <c r="C445" s="161"/>
      <c r="D445" s="161"/>
      <c r="F445" s="162"/>
    </row>
    <row r="446" spans="3:6" ht="15.75" thickBot="1">
      <c r="C446" s="161"/>
      <c r="D446" s="161"/>
      <c r="F446" s="162"/>
    </row>
    <row r="447" spans="3:6" ht="15.75" thickBot="1">
      <c r="C447" s="161"/>
      <c r="D447" s="161"/>
      <c r="F447" s="162"/>
    </row>
    <row r="448" spans="3:6" ht="15.75" thickBot="1">
      <c r="C448" s="161"/>
      <c r="D448" s="161"/>
      <c r="F448" s="162"/>
    </row>
    <row r="449" spans="3:6" ht="15.75" thickBot="1">
      <c r="C449" s="161"/>
      <c r="D449" s="161"/>
      <c r="F449" s="162"/>
    </row>
    <row r="450" spans="3:6" ht="15.75" thickBot="1">
      <c r="C450" s="161"/>
      <c r="D450" s="161"/>
      <c r="F450" s="162"/>
    </row>
    <row r="451" spans="3:6" ht="15.75" thickBot="1">
      <c r="C451" s="161"/>
      <c r="D451" s="161"/>
      <c r="F451" s="162"/>
    </row>
    <row r="452" spans="3:6" ht="15.75" thickBot="1">
      <c r="C452" s="161"/>
      <c r="D452" s="161"/>
      <c r="F452" s="162"/>
    </row>
    <row r="453" spans="3:6" ht="15.75" thickBot="1">
      <c r="C453" s="161"/>
      <c r="D453" s="161"/>
      <c r="F453" s="162"/>
    </row>
    <row r="454" spans="3:6" ht="15.75" thickBot="1">
      <c r="C454" s="161"/>
      <c r="D454" s="161"/>
      <c r="F454" s="162"/>
    </row>
    <row r="455" spans="3:6" ht="15.75" thickBot="1">
      <c r="C455" s="161"/>
      <c r="D455" s="161"/>
      <c r="F455" s="162"/>
    </row>
    <row r="456" spans="3:6" ht="15.75" thickBot="1">
      <c r="C456" s="161"/>
      <c r="D456" s="161"/>
      <c r="F456" s="162"/>
    </row>
    <row r="457" spans="3:6" ht="15.75" thickBot="1">
      <c r="C457" s="161"/>
      <c r="D457" s="161"/>
      <c r="F457" s="162"/>
    </row>
    <row r="458" spans="3:6" ht="15.75" thickBot="1">
      <c r="C458" s="161"/>
      <c r="D458" s="161"/>
      <c r="F458" s="162"/>
    </row>
    <row r="459" spans="3:6" ht="15.75" thickBot="1">
      <c r="C459" s="161"/>
      <c r="D459" s="161"/>
      <c r="F459" s="162"/>
    </row>
    <row r="460" spans="3:6" ht="15.75" thickBot="1">
      <c r="C460" s="161"/>
      <c r="D460" s="161"/>
      <c r="F460" s="162"/>
    </row>
    <row r="461" spans="3:6" ht="15.75" thickBot="1">
      <c r="C461" s="161"/>
      <c r="D461" s="161"/>
      <c r="F461" s="162"/>
    </row>
    <row r="462" spans="3:6" ht="15.75" thickBot="1">
      <c r="C462" s="161"/>
      <c r="D462" s="161"/>
      <c r="F462" s="162"/>
    </row>
    <row r="463" spans="3:6" ht="15.75" thickBot="1">
      <c r="C463" s="161"/>
      <c r="D463" s="161"/>
      <c r="F463" s="162"/>
    </row>
    <row r="464" spans="3:6" ht="15.75" thickBot="1">
      <c r="C464" s="161"/>
      <c r="D464" s="161"/>
      <c r="F464" s="162"/>
    </row>
    <row r="465" spans="3:6" ht="15.75" thickBot="1">
      <c r="C465" s="161"/>
      <c r="D465" s="161"/>
      <c r="F465" s="162"/>
    </row>
    <row r="466" spans="3:6" ht="15.75" thickBot="1">
      <c r="C466" s="161"/>
      <c r="D466" s="161"/>
      <c r="F466" s="162"/>
    </row>
    <row r="467" spans="3:6" ht="15.75" thickBot="1">
      <c r="C467" s="161"/>
      <c r="D467" s="161"/>
      <c r="F467" s="162"/>
    </row>
    <row r="468" spans="3:6" ht="15.75" thickBot="1">
      <c r="C468" s="161"/>
      <c r="D468" s="161"/>
      <c r="F468" s="162"/>
    </row>
    <row r="469" spans="3:6" ht="15.75" thickBot="1">
      <c r="C469" s="161"/>
      <c r="D469" s="161"/>
      <c r="F469" s="162"/>
    </row>
    <row r="470" spans="3:6" ht="15.75" thickBot="1">
      <c r="C470" s="161"/>
      <c r="D470" s="161"/>
      <c r="F470" s="162"/>
    </row>
    <row r="471" spans="3:6" ht="15.75" thickBot="1">
      <c r="C471" s="161"/>
      <c r="D471" s="161"/>
      <c r="F471" s="162"/>
    </row>
    <row r="472" spans="3:6" ht="15.75" thickBot="1">
      <c r="C472" s="161"/>
      <c r="D472" s="161"/>
      <c r="F472" s="162"/>
    </row>
    <row r="473" spans="3:6" ht="15.75" thickBot="1">
      <c r="C473" s="161"/>
      <c r="D473" s="161"/>
      <c r="F473" s="162"/>
    </row>
    <row r="474" spans="3:6" ht="15.75" thickBot="1">
      <c r="C474" s="161"/>
      <c r="D474" s="161"/>
      <c r="F474" s="162"/>
    </row>
    <row r="475" spans="3:6" ht="15.75" thickBot="1">
      <c r="C475" s="161"/>
      <c r="D475" s="161"/>
      <c r="F475" s="162"/>
    </row>
    <row r="476" spans="3:6" ht="15.75" thickBot="1">
      <c r="C476" s="161"/>
      <c r="D476" s="161"/>
      <c r="F476" s="162"/>
    </row>
    <row r="477" spans="3:6" ht="15.75" thickBot="1">
      <c r="C477" s="161"/>
      <c r="D477" s="161"/>
      <c r="F477" s="162"/>
    </row>
    <row r="478" spans="3:6" ht="15.75" thickBot="1">
      <c r="C478" s="161"/>
      <c r="D478" s="161"/>
      <c r="F478" s="162"/>
    </row>
    <row r="479" spans="3:6" ht="15.75" thickBot="1">
      <c r="C479" s="161"/>
      <c r="D479" s="161"/>
      <c r="F479" s="162"/>
    </row>
    <row r="480" spans="3:6" ht="15.75" thickBot="1">
      <c r="C480" s="161"/>
      <c r="D480" s="161"/>
      <c r="F480" s="162"/>
    </row>
    <row r="481" spans="3:6" ht="15.75" thickBot="1">
      <c r="C481" s="161"/>
      <c r="D481" s="161"/>
      <c r="F481" s="162"/>
    </row>
    <row r="482" spans="3:6" ht="15.75" thickBot="1">
      <c r="C482" s="161"/>
      <c r="D482" s="161"/>
      <c r="F482" s="162"/>
    </row>
    <row r="483" spans="3:6" ht="15.75" thickBot="1">
      <c r="C483" s="161"/>
      <c r="D483" s="161"/>
      <c r="F483" s="162"/>
    </row>
    <row r="484" spans="3:6" ht="15.75" thickBot="1">
      <c r="C484" s="161"/>
      <c r="D484" s="161"/>
      <c r="F484" s="162"/>
    </row>
    <row r="485" spans="3:6" ht="15.75" thickBot="1">
      <c r="C485" s="161"/>
      <c r="D485" s="161"/>
      <c r="F485" s="162"/>
    </row>
    <row r="486" spans="3:6" ht="15.75" thickBot="1">
      <c r="C486" s="161"/>
      <c r="D486" s="161"/>
      <c r="F486" s="162"/>
    </row>
    <row r="487" spans="3:6" ht="15.75" thickBot="1">
      <c r="C487" s="161"/>
      <c r="D487" s="161"/>
      <c r="F487" s="162"/>
    </row>
    <row r="488" spans="3:6" ht="15.75" thickBot="1">
      <c r="C488" s="161"/>
      <c r="D488" s="161"/>
      <c r="F488" s="162"/>
    </row>
    <row r="489" spans="3:6" ht="15.75" thickBot="1">
      <c r="C489" s="161"/>
      <c r="D489" s="161"/>
      <c r="F489" s="162"/>
    </row>
    <row r="490" spans="3:6" ht="15.75" thickBot="1">
      <c r="C490" s="161"/>
      <c r="D490" s="161"/>
      <c r="F490" s="162"/>
    </row>
    <row r="491" spans="3:6" ht="15.75" thickBot="1">
      <c r="C491" s="161"/>
      <c r="D491" s="161"/>
      <c r="F491" s="162"/>
    </row>
    <row r="492" spans="3:6" ht="15.75" thickBot="1">
      <c r="C492" s="161"/>
      <c r="D492" s="161"/>
      <c r="F492" s="162"/>
    </row>
    <row r="493" spans="3:6" ht="15.75" thickBot="1">
      <c r="C493" s="161"/>
      <c r="D493" s="161"/>
      <c r="F493" s="162"/>
    </row>
    <row r="494" spans="3:6" ht="15.75" thickBot="1">
      <c r="C494" s="161"/>
      <c r="D494" s="161"/>
      <c r="F494" s="162"/>
    </row>
    <row r="495" spans="3:6" ht="15.75" thickBot="1">
      <c r="C495" s="161"/>
      <c r="D495" s="161"/>
      <c r="F495" s="162"/>
    </row>
    <row r="496" spans="3:6" ht="15.75" thickBot="1">
      <c r="C496" s="161"/>
      <c r="D496" s="161"/>
      <c r="F496" s="162"/>
    </row>
    <row r="497" spans="3:6" ht="15.75" thickBot="1">
      <c r="C497" s="161"/>
      <c r="D497" s="161"/>
      <c r="F497" s="162"/>
    </row>
    <row r="498" spans="3:6" ht="15.75" thickBot="1">
      <c r="C498" s="161"/>
      <c r="D498" s="161"/>
      <c r="F498" s="162"/>
    </row>
    <row r="499" spans="3:6" ht="15.75" thickBot="1">
      <c r="C499" s="161"/>
      <c r="D499" s="161"/>
      <c r="F499" s="162"/>
    </row>
    <row r="500" spans="3:6" ht="15.75" thickBot="1">
      <c r="C500" s="161"/>
      <c r="D500" s="161"/>
      <c r="F500" s="162"/>
    </row>
    <row r="501" spans="3:6" ht="15.75" thickBot="1">
      <c r="C501" s="161"/>
      <c r="D501" s="161"/>
      <c r="F501" s="162"/>
    </row>
    <row r="502" spans="3:6" ht="15.75" thickBot="1">
      <c r="C502" s="161"/>
      <c r="D502" s="161"/>
      <c r="F502" s="162"/>
    </row>
    <row r="503" spans="3:6" ht="15.75" thickBot="1">
      <c r="C503" s="161"/>
      <c r="D503" s="161"/>
      <c r="F503" s="162"/>
    </row>
    <row r="504" spans="3:6" ht="15.75" thickBot="1">
      <c r="C504" s="161"/>
      <c r="D504" s="161"/>
      <c r="F504" s="162"/>
    </row>
    <row r="505" spans="3:6" ht="15.75" thickBot="1">
      <c r="C505" s="161"/>
      <c r="D505" s="161"/>
      <c r="F505" s="162"/>
    </row>
    <row r="506" spans="3:6" ht="15.75" thickBot="1">
      <c r="C506" s="161"/>
      <c r="D506" s="161"/>
      <c r="F506" s="162"/>
    </row>
    <row r="507" spans="3:6" ht="15.75" thickBot="1">
      <c r="C507" s="161"/>
      <c r="D507" s="161"/>
      <c r="F507" s="162"/>
    </row>
    <row r="508" spans="3:6" ht="15.75" thickBot="1">
      <c r="C508" s="161"/>
      <c r="D508" s="161"/>
      <c r="F508" s="162"/>
    </row>
    <row r="509" spans="3:6" ht="15.75" thickBot="1">
      <c r="C509" s="161"/>
      <c r="D509" s="161"/>
      <c r="F509" s="162"/>
    </row>
    <row r="510" spans="3:6" ht="15.75" thickBot="1">
      <c r="C510" s="161"/>
      <c r="D510" s="161"/>
      <c r="F510" s="162"/>
    </row>
    <row r="511" spans="3:6" ht="15.75" thickBot="1">
      <c r="C511" s="161"/>
      <c r="D511" s="161"/>
      <c r="F511" s="162"/>
    </row>
    <row r="512" spans="3:6" ht="15.75" thickBot="1">
      <c r="C512" s="161"/>
      <c r="D512" s="161"/>
      <c r="F512" s="162"/>
    </row>
    <row r="513" spans="3:6" ht="15.75" thickBot="1">
      <c r="C513" s="161"/>
      <c r="D513" s="161"/>
      <c r="F513" s="162"/>
    </row>
    <row r="514" spans="3:6" ht="15.75" thickBot="1">
      <c r="C514" s="161"/>
      <c r="D514" s="161"/>
      <c r="F514" s="162"/>
    </row>
    <row r="515" spans="3:6" ht="15.75" thickBot="1">
      <c r="C515" s="161"/>
      <c r="D515" s="161"/>
      <c r="F515" s="162"/>
    </row>
    <row r="516" spans="3:6" ht="15.75" thickBot="1">
      <c r="C516" s="161"/>
      <c r="D516" s="161"/>
      <c r="F516" s="162"/>
    </row>
    <row r="517" spans="3:6" ht="15.75" thickBot="1">
      <c r="C517" s="161"/>
      <c r="D517" s="161"/>
      <c r="F517" s="162"/>
    </row>
    <row r="518" spans="3:6" ht="15.75" thickBot="1">
      <c r="C518" s="161"/>
      <c r="D518" s="161"/>
      <c r="F518" s="162"/>
    </row>
    <row r="519" spans="3:6" ht="15.75" thickBot="1">
      <c r="C519" s="161"/>
      <c r="D519" s="161"/>
      <c r="F519" s="162"/>
    </row>
    <row r="520" spans="3:6" ht="15.75" thickBot="1">
      <c r="C520" s="161"/>
      <c r="D520" s="161"/>
      <c r="F520" s="162"/>
    </row>
    <row r="521" spans="3:6" ht="15.75" thickBot="1">
      <c r="C521" s="161"/>
      <c r="D521" s="161"/>
      <c r="F521" s="162"/>
    </row>
    <row r="522" spans="3:6" ht="15.75" thickBot="1">
      <c r="C522" s="161"/>
      <c r="D522" s="161"/>
      <c r="F522" s="162"/>
    </row>
    <row r="523" spans="3:6" ht="15.75" thickBot="1">
      <c r="C523" s="161"/>
      <c r="D523" s="161"/>
      <c r="F523" s="162"/>
    </row>
    <row r="524" spans="3:6" ht="15.75" thickBot="1">
      <c r="C524" s="161"/>
      <c r="D524" s="161"/>
      <c r="F524" s="162"/>
    </row>
    <row r="525" spans="3:6" ht="15.75" thickBot="1">
      <c r="C525" s="161"/>
      <c r="D525" s="161"/>
      <c r="F525" s="162"/>
    </row>
    <row r="526" spans="3:6" ht="15.75" thickBot="1">
      <c r="C526" s="161"/>
      <c r="D526" s="161"/>
      <c r="F526" s="162"/>
    </row>
    <row r="527" spans="3:6" ht="15.75" thickBot="1">
      <c r="C527" s="161"/>
      <c r="D527" s="161"/>
      <c r="F527" s="162"/>
    </row>
    <row r="528" spans="3:6" ht="15.75" thickBot="1">
      <c r="C528" s="161"/>
      <c r="D528" s="161"/>
      <c r="F528" s="162"/>
    </row>
    <row r="529" spans="3:6" ht="15.75" thickBot="1">
      <c r="C529" s="161"/>
      <c r="D529" s="161"/>
      <c r="F529" s="162"/>
    </row>
    <row r="530" spans="3:6" ht="15.75" thickBot="1">
      <c r="C530" s="161"/>
      <c r="D530" s="161"/>
      <c r="F530" s="162"/>
    </row>
    <row r="531" spans="3:6" ht="15.75" thickBot="1">
      <c r="C531" s="161"/>
      <c r="D531" s="161"/>
      <c r="F531" s="162"/>
    </row>
    <row r="532" spans="3:6" ht="15.75" thickBot="1">
      <c r="C532" s="161"/>
      <c r="D532" s="161"/>
      <c r="F532" s="162"/>
    </row>
    <row r="533" spans="3:6" ht="15.75" thickBot="1">
      <c r="C533" s="161"/>
      <c r="D533" s="161"/>
      <c r="F533" s="162"/>
    </row>
    <row r="534" spans="3:6" ht="15.75" thickBot="1">
      <c r="C534" s="161"/>
      <c r="D534" s="161"/>
      <c r="F534" s="162"/>
    </row>
    <row r="535" spans="3:6" ht="15.75" thickBot="1">
      <c r="C535" s="161"/>
      <c r="D535" s="161"/>
      <c r="F535" s="162"/>
    </row>
    <row r="536" spans="3:6" ht="15.75" thickBot="1">
      <c r="C536" s="161"/>
      <c r="D536" s="161"/>
      <c r="F536" s="162"/>
    </row>
    <row r="537" spans="3:6" ht="15.75" thickBot="1">
      <c r="C537" s="161"/>
      <c r="D537" s="161"/>
      <c r="F537" s="162"/>
    </row>
    <row r="538" spans="3:6" ht="15.75" thickBot="1">
      <c r="C538" s="161"/>
      <c r="D538" s="161"/>
      <c r="F538" s="162"/>
    </row>
    <row r="539" spans="3:6" ht="15.75" thickBot="1">
      <c r="C539" s="161"/>
      <c r="D539" s="161"/>
      <c r="F539" s="162"/>
    </row>
    <row r="540" spans="3:6" ht="15.75" thickBot="1">
      <c r="C540" s="161"/>
      <c r="D540" s="161"/>
      <c r="F540" s="162"/>
    </row>
    <row r="541" spans="3:6" ht="15.75" thickBot="1">
      <c r="C541" s="161"/>
      <c r="D541" s="161"/>
      <c r="F541" s="162"/>
    </row>
    <row r="542" spans="3:6" ht="15.75" thickBot="1">
      <c r="C542" s="161"/>
      <c r="D542" s="161"/>
      <c r="F542" s="162"/>
    </row>
    <row r="543" spans="3:6" ht="15.75" thickBot="1">
      <c r="C543" s="161"/>
      <c r="D543" s="161"/>
      <c r="F543" s="162"/>
    </row>
    <row r="544" spans="3:6" ht="15.75" thickBot="1">
      <c r="C544" s="161"/>
      <c r="D544" s="161"/>
      <c r="F544" s="162"/>
    </row>
    <row r="545" spans="3:6" ht="15.75" thickBot="1">
      <c r="C545" s="161"/>
      <c r="D545" s="161"/>
      <c r="F545" s="162"/>
    </row>
    <row r="546" spans="3:6" ht="15.75" thickBot="1">
      <c r="C546" s="161"/>
      <c r="D546" s="161"/>
      <c r="F546" s="162"/>
    </row>
    <row r="547" spans="3:6" ht="15.75" thickBot="1">
      <c r="C547" s="161"/>
      <c r="D547" s="161"/>
      <c r="F547" s="162"/>
    </row>
    <row r="548" spans="3:6" ht="15.75" thickBot="1">
      <c r="C548" s="161"/>
      <c r="D548" s="161"/>
      <c r="F548" s="162"/>
    </row>
    <row r="549" spans="3:6" ht="15.75" thickBot="1">
      <c r="C549" s="161"/>
      <c r="D549" s="161"/>
      <c r="F549" s="162"/>
    </row>
    <row r="550" spans="3:6" ht="15.75" thickBot="1">
      <c r="C550" s="161"/>
      <c r="D550" s="161"/>
      <c r="F550" s="162"/>
    </row>
    <row r="551" spans="3:6" ht="15.75" thickBot="1">
      <c r="C551" s="161"/>
      <c r="D551" s="161"/>
      <c r="F551" s="162"/>
    </row>
    <row r="552" spans="3:6" ht="15.75" thickBot="1">
      <c r="C552" s="161"/>
      <c r="D552" s="161"/>
      <c r="F552" s="162"/>
    </row>
    <row r="553" spans="3:6" ht="15.75" thickBot="1">
      <c r="C553" s="161"/>
      <c r="D553" s="161"/>
      <c r="F553" s="162"/>
    </row>
    <row r="554" spans="3:6" ht="15.75" thickBot="1">
      <c r="C554" s="161"/>
      <c r="D554" s="161"/>
      <c r="F554" s="162"/>
    </row>
    <row r="555" spans="3:6" ht="15.75" thickBot="1">
      <c r="C555" s="161"/>
      <c r="D555" s="161"/>
      <c r="F555" s="162"/>
    </row>
    <row r="556" spans="3:6" ht="15.75" thickBot="1">
      <c r="C556" s="161"/>
      <c r="D556" s="161"/>
      <c r="F556" s="162"/>
    </row>
    <row r="557" spans="3:6" ht="15.75" thickBot="1">
      <c r="C557" s="161"/>
      <c r="D557" s="161"/>
      <c r="F557" s="162"/>
    </row>
    <row r="558" spans="3:6" ht="15.75" thickBot="1">
      <c r="C558" s="161"/>
      <c r="D558" s="161"/>
      <c r="F558" s="162"/>
    </row>
    <row r="559" spans="3:6" ht="15.75" thickBot="1">
      <c r="C559" s="161"/>
      <c r="D559" s="161"/>
      <c r="F559" s="162"/>
    </row>
    <row r="560" spans="3:6" ht="15.75" thickBot="1">
      <c r="C560" s="161"/>
      <c r="D560" s="161"/>
      <c r="F560" s="162"/>
    </row>
    <row r="561" spans="3:6" ht="15.75" thickBot="1">
      <c r="C561" s="161"/>
      <c r="D561" s="161"/>
      <c r="F561" s="162"/>
    </row>
    <row r="562" spans="3:6" ht="15.75" thickBot="1">
      <c r="C562" s="161"/>
      <c r="D562" s="161"/>
      <c r="F562" s="162"/>
    </row>
    <row r="563" spans="3:6" ht="15.75" thickBot="1">
      <c r="C563" s="161"/>
      <c r="D563" s="161"/>
      <c r="F563" s="162"/>
    </row>
    <row r="564" spans="3:6" ht="15.75" thickBot="1">
      <c r="C564" s="161"/>
      <c r="D564" s="161"/>
      <c r="F564" s="162"/>
    </row>
    <row r="565" spans="3:6" ht="15.75" thickBot="1">
      <c r="C565" s="161"/>
      <c r="D565" s="161"/>
      <c r="F565" s="162"/>
    </row>
    <row r="566" spans="3:6" ht="15.75" thickBot="1">
      <c r="C566" s="161"/>
      <c r="D566" s="161"/>
      <c r="F566" s="162"/>
    </row>
    <row r="567" spans="3:6" ht="15.75" thickBot="1">
      <c r="C567" s="161"/>
      <c r="D567" s="161"/>
      <c r="F567" s="162"/>
    </row>
    <row r="568" spans="3:6" ht="15.75" thickBot="1">
      <c r="C568" s="161"/>
      <c r="D568" s="161"/>
      <c r="F568" s="162"/>
    </row>
    <row r="569" spans="3:6" ht="15.75" thickBot="1">
      <c r="C569" s="161"/>
      <c r="D569" s="161"/>
      <c r="F569" s="162"/>
    </row>
    <row r="570" spans="3:6" ht="15.75" thickBot="1">
      <c r="C570" s="161"/>
      <c r="D570" s="161"/>
      <c r="F570" s="162"/>
    </row>
    <row r="571" spans="3:6" ht="15.75" thickBot="1">
      <c r="C571" s="161"/>
      <c r="D571" s="161"/>
      <c r="F571" s="162"/>
    </row>
    <row r="572" spans="3:6" ht="15.75" thickBot="1">
      <c r="C572" s="161"/>
      <c r="D572" s="161"/>
      <c r="F572" s="162"/>
    </row>
    <row r="573" spans="3:6" ht="15.75" thickBot="1">
      <c r="C573" s="161"/>
      <c r="D573" s="161"/>
      <c r="F573" s="162"/>
    </row>
    <row r="574" spans="3:6" ht="15.75" thickBot="1">
      <c r="C574" s="161"/>
      <c r="D574" s="161"/>
      <c r="F574" s="162"/>
    </row>
    <row r="575" spans="3:6" ht="15.75" thickBot="1">
      <c r="C575" s="161"/>
      <c r="D575" s="161"/>
      <c r="F575" s="162"/>
    </row>
    <row r="576" spans="3:6" ht="15.75" thickBot="1">
      <c r="C576" s="161"/>
      <c r="D576" s="161"/>
      <c r="F576" s="162"/>
    </row>
    <row r="577" spans="3:6" ht="15.75" thickBot="1">
      <c r="C577" s="161"/>
      <c r="D577" s="161"/>
      <c r="F577" s="162"/>
    </row>
    <row r="578" spans="3:6" ht="15.75" thickBot="1">
      <c r="C578" s="161"/>
      <c r="D578" s="161"/>
      <c r="F578" s="162"/>
    </row>
    <row r="579" spans="3:6" ht="15.75" thickBot="1">
      <c r="C579" s="161"/>
      <c r="D579" s="161"/>
      <c r="F579" s="162"/>
    </row>
    <row r="580" spans="3:6" ht="15.75" thickBot="1">
      <c r="C580" s="161"/>
      <c r="D580" s="161"/>
      <c r="F580" s="162"/>
    </row>
    <row r="581" spans="3:6" ht="15.75" thickBot="1">
      <c r="C581" s="161"/>
      <c r="D581" s="161"/>
      <c r="F581" s="162"/>
    </row>
    <row r="582" spans="3:6" ht="15.75" thickBot="1">
      <c r="C582" s="161"/>
      <c r="D582" s="161"/>
      <c r="F582" s="162"/>
    </row>
    <row r="583" spans="3:6" ht="15.75" thickBot="1">
      <c r="C583" s="161"/>
      <c r="D583" s="161"/>
      <c r="F583" s="162"/>
    </row>
    <row r="584" spans="3:6" ht="15.75" thickBot="1">
      <c r="C584" s="161"/>
      <c r="D584" s="161"/>
      <c r="F584" s="162"/>
    </row>
    <row r="585" spans="3:6" ht="15.75" thickBot="1">
      <c r="C585" s="161"/>
      <c r="D585" s="161"/>
      <c r="F585" s="162"/>
    </row>
    <row r="586" spans="3:6" ht="15.75" thickBot="1">
      <c r="C586" s="161"/>
      <c r="D586" s="161"/>
      <c r="F586" s="162"/>
    </row>
    <row r="587" spans="3:6" ht="15.75" thickBot="1">
      <c r="C587" s="161"/>
      <c r="D587" s="161"/>
      <c r="F587" s="162"/>
    </row>
    <row r="588" spans="3:6" ht="15.75" thickBot="1">
      <c r="C588" s="161"/>
      <c r="D588" s="161"/>
      <c r="F588" s="162"/>
    </row>
    <row r="589" spans="3:6" ht="15.75" thickBot="1">
      <c r="C589" s="161"/>
      <c r="D589" s="161"/>
      <c r="F589" s="162"/>
    </row>
    <row r="590" spans="3:6" ht="15.75" thickBot="1">
      <c r="C590" s="161"/>
      <c r="D590" s="161"/>
      <c r="F590" s="162"/>
    </row>
    <row r="591" spans="3:6" ht="15.75" thickBot="1">
      <c r="C591" s="161"/>
      <c r="D591" s="161"/>
      <c r="F591" s="162"/>
    </row>
    <row r="592" spans="3:6" ht="15.75" thickBot="1">
      <c r="C592" s="161"/>
      <c r="D592" s="161"/>
      <c r="F592" s="162"/>
    </row>
    <row r="593" spans="3:6" ht="15.75" thickBot="1">
      <c r="C593" s="161"/>
      <c r="D593" s="161"/>
      <c r="F593" s="162"/>
    </row>
    <row r="594" spans="3:6" ht="15.75" thickBot="1">
      <c r="C594" s="161"/>
      <c r="D594" s="161"/>
      <c r="F594" s="162"/>
    </row>
    <row r="595" spans="3:6" ht="15.75" thickBot="1">
      <c r="C595" s="161"/>
      <c r="D595" s="161"/>
      <c r="F595" s="162"/>
    </row>
    <row r="596" spans="3:6" ht="15.75" thickBot="1">
      <c r="C596" s="161"/>
      <c r="D596" s="161"/>
      <c r="F596" s="162"/>
    </row>
    <row r="597" spans="3:6" ht="15.75" thickBot="1">
      <c r="C597" s="161"/>
      <c r="D597" s="161"/>
      <c r="F597" s="162"/>
    </row>
    <row r="598" spans="3:6" ht="15.75" thickBot="1">
      <c r="C598" s="161"/>
      <c r="D598" s="161"/>
      <c r="F598" s="162"/>
    </row>
    <row r="599" spans="3:6" ht="15.75" thickBot="1">
      <c r="C599" s="161"/>
      <c r="D599" s="161"/>
      <c r="F599" s="162"/>
    </row>
    <row r="600" spans="3:6" ht="15.75" thickBot="1">
      <c r="C600" s="161"/>
      <c r="D600" s="161"/>
      <c r="F600" s="162"/>
    </row>
    <row r="601" spans="3:6" ht="15.75" thickBot="1">
      <c r="C601" s="161"/>
      <c r="D601" s="161"/>
      <c r="F601" s="162"/>
    </row>
    <row r="602" spans="3:6" ht="15.75" thickBot="1">
      <c r="C602" s="161"/>
      <c r="D602" s="161"/>
      <c r="F602" s="162"/>
    </row>
    <row r="603" spans="3:6" ht="15.75" thickBot="1">
      <c r="C603" s="161"/>
      <c r="D603" s="161"/>
      <c r="F603" s="162"/>
    </row>
    <row r="604" spans="3:6" ht="15.75" thickBot="1">
      <c r="C604" s="161"/>
      <c r="D604" s="161"/>
      <c r="F604" s="162"/>
    </row>
    <row r="605" spans="3:6" ht="15.75" thickBot="1">
      <c r="C605" s="161"/>
      <c r="D605" s="161"/>
      <c r="F605" s="162"/>
    </row>
    <row r="606" spans="3:6" ht="15.75" thickBot="1">
      <c r="C606" s="161"/>
      <c r="D606" s="161"/>
      <c r="F606" s="162"/>
    </row>
    <row r="607" spans="3:6" ht="15.75" thickBot="1">
      <c r="C607" s="161"/>
      <c r="D607" s="161"/>
      <c r="F607" s="162"/>
    </row>
    <row r="608" spans="3:6" ht="15.75" thickBot="1">
      <c r="C608" s="161"/>
      <c r="D608" s="161"/>
      <c r="F608" s="162"/>
    </row>
    <row r="609" spans="3:6" ht="15.75" thickBot="1">
      <c r="C609" s="161"/>
      <c r="D609" s="161"/>
      <c r="F609" s="162"/>
    </row>
    <row r="610" spans="3:6" ht="15.75" thickBot="1">
      <c r="C610" s="161"/>
      <c r="D610" s="161"/>
      <c r="F610" s="162"/>
    </row>
    <row r="611" spans="3:6" ht="15.75" thickBot="1">
      <c r="C611" s="161"/>
      <c r="D611" s="161"/>
      <c r="F611" s="162"/>
    </row>
    <row r="612" spans="3:6" ht="15.75" thickBot="1">
      <c r="C612" s="161"/>
      <c r="D612" s="161"/>
      <c r="F612" s="162"/>
    </row>
    <row r="613" spans="3:6" ht="15.75" thickBot="1">
      <c r="C613" s="161"/>
      <c r="D613" s="161"/>
      <c r="F613" s="162"/>
    </row>
    <row r="614" spans="3:6" ht="15.75" thickBot="1">
      <c r="C614" s="161"/>
      <c r="D614" s="161"/>
      <c r="F614" s="162"/>
    </row>
    <row r="615" spans="3:6" ht="15.75" thickBot="1">
      <c r="C615" s="161"/>
      <c r="D615" s="161"/>
      <c r="F615" s="162"/>
    </row>
    <row r="616" spans="3:6" ht="15.75" thickBot="1">
      <c r="C616" s="161"/>
      <c r="D616" s="161"/>
      <c r="F616" s="162"/>
    </row>
    <row r="617" spans="3:6" ht="15.75" thickBot="1">
      <c r="C617" s="161"/>
      <c r="D617" s="161"/>
      <c r="F617" s="162"/>
    </row>
    <row r="618" spans="3:6" ht="15.75" thickBot="1">
      <c r="C618" s="161"/>
      <c r="D618" s="161"/>
      <c r="F618" s="162"/>
    </row>
    <row r="619" spans="3:6" ht="15.75" thickBot="1">
      <c r="C619" s="161"/>
      <c r="D619" s="161"/>
      <c r="F619" s="162"/>
    </row>
    <row r="620" spans="3:6" ht="15.75" thickBot="1">
      <c r="C620" s="161"/>
      <c r="D620" s="161"/>
      <c r="F620" s="162"/>
    </row>
    <row r="621" spans="3:6" ht="15.75" thickBot="1">
      <c r="C621" s="161"/>
      <c r="D621" s="161"/>
      <c r="F621" s="162"/>
    </row>
    <row r="622" spans="3:6" ht="15.75" thickBot="1">
      <c r="C622" s="161"/>
      <c r="D622" s="161"/>
      <c r="F622" s="162"/>
    </row>
    <row r="623" spans="3:6" ht="15.75" thickBot="1">
      <c r="C623" s="161"/>
      <c r="D623" s="161"/>
      <c r="F623" s="162"/>
    </row>
    <row r="624" spans="3:6" ht="15.75" thickBot="1">
      <c r="C624" s="161"/>
      <c r="D624" s="161"/>
      <c r="F624" s="162"/>
    </row>
    <row r="625" spans="3:6" ht="15.75" thickBot="1">
      <c r="C625" s="161"/>
      <c r="D625" s="161"/>
      <c r="F625" s="162"/>
    </row>
    <row r="626" spans="3:6" ht="15.75" thickBot="1">
      <c r="C626" s="161"/>
      <c r="D626" s="161"/>
      <c r="F626" s="162"/>
    </row>
    <row r="627" spans="3:6" ht="15.75" thickBot="1">
      <c r="C627" s="161"/>
      <c r="D627" s="161"/>
      <c r="F627" s="162"/>
    </row>
    <row r="628" spans="3:6" ht="15.75" thickBot="1">
      <c r="C628" s="161"/>
      <c r="D628" s="161"/>
      <c r="F628" s="162"/>
    </row>
    <row r="629" spans="3:6" ht="15.75" thickBot="1">
      <c r="C629" s="161"/>
      <c r="D629" s="161"/>
      <c r="F629" s="162"/>
    </row>
    <row r="630" spans="3:6" ht="15.75" thickBot="1">
      <c r="C630" s="161"/>
      <c r="D630" s="161"/>
      <c r="F630" s="162"/>
    </row>
    <row r="631" spans="3:6" ht="15.75" thickBot="1">
      <c r="C631" s="161"/>
      <c r="D631" s="161"/>
      <c r="F631" s="162"/>
    </row>
    <row r="632" spans="3:6" ht="15.75" thickBot="1">
      <c r="C632" s="161"/>
      <c r="D632" s="161"/>
      <c r="F632" s="162"/>
    </row>
    <row r="633" spans="3:6" ht="15.75" thickBot="1">
      <c r="C633" s="161"/>
      <c r="D633" s="161"/>
      <c r="F633" s="162"/>
    </row>
    <row r="634" spans="3:6" ht="15.75" thickBot="1">
      <c r="C634" s="161"/>
      <c r="D634" s="161"/>
      <c r="F634" s="162"/>
    </row>
    <row r="635" spans="3:6" ht="15.75" thickBot="1">
      <c r="C635" s="161"/>
      <c r="D635" s="161"/>
      <c r="F635" s="162"/>
    </row>
    <row r="636" spans="3:6" ht="15.75" thickBot="1">
      <c r="C636" s="161"/>
      <c r="D636" s="161"/>
      <c r="F636" s="162"/>
    </row>
    <row r="637" spans="3:6" ht="15.75" thickBot="1">
      <c r="C637" s="161"/>
      <c r="D637" s="161"/>
      <c r="F637" s="162"/>
    </row>
    <row r="638" spans="3:6" ht="15.75" thickBot="1">
      <c r="C638" s="161"/>
      <c r="D638" s="161"/>
      <c r="F638" s="162"/>
    </row>
    <row r="639" spans="3:6" ht="15.75" thickBot="1">
      <c r="C639" s="161"/>
      <c r="D639" s="161"/>
      <c r="F639" s="162"/>
    </row>
    <row r="640" spans="3:6" ht="15.75" thickBot="1">
      <c r="C640" s="161"/>
      <c r="D640" s="161"/>
      <c r="F640" s="162"/>
    </row>
    <row r="641" spans="3:6" ht="15.75" thickBot="1">
      <c r="C641" s="161"/>
      <c r="D641" s="161"/>
      <c r="F641" s="162"/>
    </row>
    <row r="642" spans="3:6" ht="15.75" thickBot="1">
      <c r="C642" s="161"/>
      <c r="D642" s="161"/>
      <c r="F642" s="162"/>
    </row>
    <row r="643" spans="3:6" ht="15.75" thickBot="1">
      <c r="C643" s="161"/>
      <c r="D643" s="161"/>
      <c r="F643" s="162"/>
    </row>
    <row r="644" spans="3:6" ht="15.75" thickBot="1">
      <c r="C644" s="161"/>
      <c r="D644" s="161"/>
      <c r="F644" s="162"/>
    </row>
    <row r="645" spans="3:6" ht="15.75" thickBot="1">
      <c r="C645" s="161"/>
      <c r="D645" s="161"/>
      <c r="F645" s="162"/>
    </row>
    <row r="646" spans="3:6" ht="15.75" thickBot="1">
      <c r="C646" s="161"/>
      <c r="D646" s="161"/>
      <c r="F646" s="162"/>
    </row>
    <row r="647" spans="3:6" ht="15.75" thickBot="1">
      <c r="C647" s="161"/>
      <c r="D647" s="161"/>
      <c r="F647" s="162"/>
    </row>
    <row r="648" spans="3:6" ht="15.75" thickBot="1">
      <c r="C648" s="161"/>
      <c r="D648" s="161"/>
      <c r="F648" s="162"/>
    </row>
    <row r="649" spans="3:6" ht="15.75" thickBot="1">
      <c r="C649" s="161"/>
      <c r="D649" s="161"/>
      <c r="F649" s="162"/>
    </row>
    <row r="650" spans="3:6" ht="15.75" thickBot="1">
      <c r="C650" s="161"/>
      <c r="D650" s="161"/>
      <c r="F650" s="162"/>
    </row>
    <row r="651" spans="3:6" ht="15.75" thickBot="1">
      <c r="C651" s="161"/>
      <c r="D651" s="161"/>
      <c r="F651" s="162"/>
    </row>
    <row r="652" spans="3:6" ht="15.75" thickBot="1">
      <c r="C652" s="161"/>
      <c r="D652" s="161"/>
      <c r="F652" s="162"/>
    </row>
    <row r="653" spans="3:6" ht="15.75" thickBot="1">
      <c r="C653" s="161"/>
      <c r="D653" s="161"/>
      <c r="F653" s="162"/>
    </row>
    <row r="654" spans="3:6" ht="15.75" thickBot="1">
      <c r="C654" s="161"/>
      <c r="D654" s="161"/>
      <c r="F654" s="162"/>
    </row>
    <row r="655" spans="3:6" ht="15.75" thickBot="1">
      <c r="C655" s="161"/>
      <c r="D655" s="161"/>
      <c r="F655" s="162"/>
    </row>
    <row r="656" spans="3:6" ht="15.75" thickBot="1">
      <c r="C656" s="161"/>
      <c r="D656" s="161"/>
      <c r="F656" s="162"/>
    </row>
    <row r="657" spans="3:6" ht="15.75" thickBot="1">
      <c r="C657" s="161"/>
      <c r="D657" s="161"/>
      <c r="F657" s="162"/>
    </row>
    <row r="658" spans="3:6" ht="15.75" thickBot="1">
      <c r="C658" s="161"/>
      <c r="D658" s="161"/>
      <c r="F658" s="162"/>
    </row>
    <row r="659" spans="3:6" ht="15.75" thickBot="1">
      <c r="C659" s="161"/>
      <c r="D659" s="161"/>
      <c r="F659" s="162"/>
    </row>
    <row r="660" spans="3:6" ht="15.75" thickBot="1">
      <c r="C660" s="161"/>
      <c r="D660" s="161"/>
      <c r="F660" s="162"/>
    </row>
    <row r="661" spans="3:6" ht="15.75" thickBot="1">
      <c r="C661" s="161"/>
      <c r="D661" s="161"/>
      <c r="F661" s="162"/>
    </row>
    <row r="662" spans="3:6" ht="15.75" thickBot="1">
      <c r="C662" s="161"/>
      <c r="D662" s="161"/>
      <c r="F662" s="162"/>
    </row>
    <row r="663" spans="3:6" ht="15.75" thickBot="1">
      <c r="C663" s="161"/>
      <c r="D663" s="161"/>
      <c r="F663" s="162"/>
    </row>
    <row r="664" spans="3:6" ht="15.75" thickBot="1">
      <c r="C664" s="161"/>
      <c r="D664" s="161"/>
      <c r="F664" s="162"/>
    </row>
    <row r="665" spans="3:6" ht="15.75" thickBot="1">
      <c r="C665" s="161"/>
      <c r="D665" s="161"/>
      <c r="F665" s="162"/>
    </row>
    <row r="666" spans="3:6" ht="15.75" thickBot="1">
      <c r="C666" s="161"/>
      <c r="D666" s="161"/>
      <c r="F666" s="162"/>
    </row>
    <row r="667" spans="3:6" ht="15.75" thickBot="1">
      <c r="C667" s="161"/>
      <c r="D667" s="161"/>
      <c r="F667" s="162"/>
    </row>
    <row r="668" spans="3:6" ht="15.75" thickBot="1">
      <c r="C668" s="161"/>
      <c r="D668" s="161"/>
      <c r="F668" s="162"/>
    </row>
    <row r="669" spans="3:6" ht="15.75" thickBot="1">
      <c r="C669" s="161"/>
      <c r="D669" s="161"/>
      <c r="F669" s="162"/>
    </row>
    <row r="670" spans="3:6" ht="15.75" thickBot="1">
      <c r="C670" s="161"/>
      <c r="D670" s="161"/>
      <c r="F670" s="162"/>
    </row>
    <row r="671" spans="3:6" ht="15.75" thickBot="1">
      <c r="C671" s="161"/>
      <c r="D671" s="161"/>
      <c r="F671" s="162"/>
    </row>
    <row r="672" spans="3:6" ht="15.75" thickBot="1">
      <c r="C672" s="161"/>
      <c r="D672" s="161"/>
      <c r="F672" s="162"/>
    </row>
    <row r="673" spans="3:6" ht="15.75" thickBot="1">
      <c r="C673" s="161"/>
      <c r="D673" s="161"/>
      <c r="F673" s="162"/>
    </row>
    <row r="674" spans="3:6" ht="15.75" thickBot="1">
      <c r="C674" s="161"/>
      <c r="D674" s="161"/>
      <c r="F674" s="162"/>
    </row>
    <row r="675" spans="3:6" ht="15.75" thickBot="1">
      <c r="C675" s="161"/>
      <c r="D675" s="161"/>
      <c r="F675" s="162"/>
    </row>
    <row r="676" spans="3:6" ht="15.75" thickBot="1">
      <c r="C676" s="161"/>
      <c r="D676" s="161"/>
      <c r="F676" s="162"/>
    </row>
    <row r="677" spans="3:6" ht="15.75" thickBot="1">
      <c r="C677" s="161"/>
      <c r="D677" s="161"/>
      <c r="F677" s="162"/>
    </row>
    <row r="678" spans="3:6" ht="15.75" thickBot="1">
      <c r="C678" s="161"/>
      <c r="D678" s="161"/>
      <c r="F678" s="162"/>
    </row>
    <row r="679" spans="3:6" ht="15.75" thickBot="1">
      <c r="C679" s="161"/>
      <c r="D679" s="161"/>
      <c r="F679" s="162"/>
    </row>
    <row r="680" spans="3:6" ht="15.75" thickBot="1">
      <c r="C680" s="161"/>
      <c r="D680" s="161"/>
      <c r="F680" s="162"/>
    </row>
    <row r="681" spans="3:6" ht="15.75" thickBot="1">
      <c r="C681" s="161"/>
      <c r="D681" s="161"/>
      <c r="F681" s="162"/>
    </row>
    <row r="682" spans="3:6" ht="15.75" thickBot="1">
      <c r="C682" s="161"/>
      <c r="D682" s="161"/>
      <c r="F682" s="162"/>
    </row>
    <row r="683" spans="3:6" ht="15.75" thickBot="1">
      <c r="C683" s="161"/>
      <c r="D683" s="161"/>
      <c r="F683" s="162"/>
    </row>
    <row r="684" spans="3:6" ht="15.75" thickBot="1">
      <c r="C684" s="161"/>
      <c r="D684" s="161"/>
      <c r="F684" s="162"/>
    </row>
    <row r="685" spans="3:6" ht="15.75" thickBot="1">
      <c r="C685" s="161"/>
      <c r="D685" s="161"/>
      <c r="F685" s="162"/>
    </row>
    <row r="686" spans="3:6" ht="15.75" thickBot="1">
      <c r="C686" s="161"/>
      <c r="D686" s="161"/>
      <c r="F686" s="162"/>
    </row>
    <row r="687" spans="3:6" ht="15.75" thickBot="1">
      <c r="C687" s="161"/>
      <c r="D687" s="161"/>
      <c r="F687" s="162"/>
    </row>
    <row r="688" spans="3:6" ht="15.75" thickBot="1">
      <c r="C688" s="161"/>
      <c r="D688" s="161"/>
      <c r="F688" s="162"/>
    </row>
    <row r="689" spans="3:6" ht="15.75" thickBot="1">
      <c r="C689" s="161"/>
      <c r="D689" s="161"/>
      <c r="F689" s="162"/>
    </row>
    <row r="690" spans="3:6" ht="15.75" thickBot="1">
      <c r="C690" s="161"/>
      <c r="D690" s="161"/>
      <c r="F690" s="162"/>
    </row>
    <row r="691" spans="3:6" ht="15.75" thickBot="1">
      <c r="C691" s="161"/>
      <c r="D691" s="161"/>
      <c r="F691" s="162"/>
    </row>
    <row r="692" spans="3:6" ht="15.75" thickBot="1">
      <c r="C692" s="161"/>
      <c r="D692" s="161"/>
      <c r="F692" s="162"/>
    </row>
    <row r="693" spans="3:6" ht="15.75" thickBot="1">
      <c r="C693" s="161"/>
      <c r="D693" s="161"/>
      <c r="F693" s="162"/>
    </row>
    <row r="694" spans="3:6" ht="15.75" thickBot="1">
      <c r="C694" s="161"/>
      <c r="D694" s="161"/>
      <c r="F694" s="162"/>
    </row>
    <row r="695" spans="3:6" ht="15.75" thickBot="1">
      <c r="C695" s="161"/>
      <c r="D695" s="161"/>
      <c r="F695" s="162"/>
    </row>
    <row r="696" spans="3:6" ht="15.75" thickBot="1">
      <c r="C696" s="161"/>
      <c r="D696" s="161"/>
      <c r="F696" s="162"/>
    </row>
    <row r="697" spans="3:6" ht="15.75" thickBot="1">
      <c r="C697" s="161"/>
      <c r="D697" s="161"/>
      <c r="F697" s="162"/>
    </row>
    <row r="698" spans="3:6" ht="15.75" thickBot="1">
      <c r="C698" s="161"/>
      <c r="D698" s="161"/>
      <c r="F698" s="162"/>
    </row>
    <row r="699" spans="3:6" ht="15.75" thickBot="1">
      <c r="C699" s="161"/>
      <c r="D699" s="161"/>
      <c r="F699" s="162"/>
    </row>
    <row r="700" spans="3:6" ht="15.75" thickBot="1">
      <c r="C700" s="161"/>
      <c r="D700" s="161"/>
      <c r="F700" s="162"/>
    </row>
    <row r="701" spans="3:6" ht="15.75" thickBot="1">
      <c r="C701" s="161"/>
      <c r="D701" s="161"/>
      <c r="F701" s="162"/>
    </row>
    <row r="702" spans="3:6" ht="15.75" thickBot="1">
      <c r="C702" s="161"/>
      <c r="D702" s="161"/>
      <c r="F702" s="162"/>
    </row>
    <row r="703" spans="3:6" ht="15.75" thickBot="1">
      <c r="C703" s="161"/>
      <c r="D703" s="161"/>
      <c r="F703" s="162"/>
    </row>
    <row r="704" spans="3:6" ht="15.75" thickBot="1">
      <c r="C704" s="161"/>
      <c r="D704" s="161"/>
      <c r="F704" s="162"/>
    </row>
    <row r="705" spans="3:6" ht="15.75" thickBot="1">
      <c r="C705" s="161"/>
      <c r="D705" s="161"/>
      <c r="F705" s="162"/>
    </row>
    <row r="706" spans="3:6" ht="15.75" thickBot="1">
      <c r="C706" s="161"/>
      <c r="D706" s="161"/>
      <c r="F706" s="162"/>
    </row>
    <row r="707" spans="3:6" ht="15.75" thickBot="1">
      <c r="C707" s="161"/>
      <c r="D707" s="161"/>
      <c r="F707" s="162"/>
    </row>
    <row r="708" spans="3:6" ht="15.75" thickBot="1">
      <c r="C708" s="161"/>
      <c r="D708" s="161"/>
      <c r="F708" s="162"/>
    </row>
    <row r="709" spans="3:6" ht="15.75" thickBot="1">
      <c r="C709" s="161"/>
      <c r="D709" s="161"/>
      <c r="F709" s="162"/>
    </row>
    <row r="710" spans="3:6" ht="15.75" thickBot="1">
      <c r="C710" s="161"/>
      <c r="D710" s="161"/>
      <c r="F710" s="162"/>
    </row>
    <row r="711" spans="3:6" ht="15.75" thickBot="1">
      <c r="C711" s="161"/>
      <c r="D711" s="161"/>
      <c r="F711" s="162"/>
    </row>
    <row r="712" spans="3:6" ht="15.75" thickBot="1">
      <c r="C712" s="161"/>
      <c r="D712" s="161"/>
      <c r="F712" s="162"/>
    </row>
    <row r="713" spans="3:6" ht="15.75" thickBot="1">
      <c r="C713" s="161"/>
      <c r="D713" s="161"/>
      <c r="F713" s="162"/>
    </row>
    <row r="714" spans="3:6" ht="15.75" thickBot="1">
      <c r="C714" s="161"/>
      <c r="D714" s="161"/>
      <c r="F714" s="162"/>
    </row>
    <row r="715" spans="3:6" ht="15.75" thickBot="1">
      <c r="C715" s="161"/>
      <c r="D715" s="161"/>
      <c r="F715" s="162"/>
    </row>
    <row r="716" spans="3:6" ht="15.75" thickBot="1">
      <c r="C716" s="161"/>
      <c r="D716" s="161"/>
      <c r="F716" s="162"/>
    </row>
    <row r="717" spans="3:6" ht="15.75" thickBot="1">
      <c r="C717" s="161"/>
      <c r="D717" s="161"/>
      <c r="F717" s="162"/>
    </row>
    <row r="718" spans="3:6" ht="15.75" thickBot="1">
      <c r="C718" s="161"/>
      <c r="D718" s="161"/>
      <c r="F718" s="162"/>
    </row>
    <row r="719" spans="3:6" ht="15.75" thickBot="1">
      <c r="C719" s="161"/>
      <c r="D719" s="161"/>
      <c r="F719" s="162"/>
    </row>
    <row r="720" spans="3:6" ht="15.75" thickBot="1">
      <c r="C720" s="161"/>
      <c r="D720" s="161"/>
      <c r="F720" s="162"/>
    </row>
    <row r="721" spans="3:6" ht="15.75" thickBot="1">
      <c r="C721" s="161"/>
      <c r="D721" s="161"/>
      <c r="F721" s="162"/>
    </row>
    <row r="722" spans="3:6" ht="15.75" thickBot="1">
      <c r="C722" s="161"/>
      <c r="D722" s="161"/>
      <c r="F722" s="162"/>
    </row>
    <row r="723" spans="3:6" ht="15.75" thickBot="1">
      <c r="C723" s="161"/>
      <c r="D723" s="161"/>
      <c r="F723" s="162"/>
    </row>
    <row r="724" spans="3:6" ht="15.75" thickBot="1">
      <c r="C724" s="161"/>
      <c r="D724" s="161"/>
      <c r="F724" s="162"/>
    </row>
    <row r="725" spans="3:6" ht="15.75" thickBot="1">
      <c r="C725" s="161"/>
      <c r="D725" s="161"/>
      <c r="F725" s="162"/>
    </row>
    <row r="726" spans="3:6" ht="15.75" thickBot="1">
      <c r="C726" s="161"/>
      <c r="D726" s="161"/>
      <c r="F726" s="162"/>
    </row>
    <row r="727" spans="3:6" ht="15.75" thickBot="1">
      <c r="C727" s="161"/>
      <c r="D727" s="161"/>
      <c r="F727" s="162"/>
    </row>
    <row r="728" spans="3:6" ht="15.75" thickBot="1">
      <c r="C728" s="161"/>
      <c r="D728" s="161"/>
      <c r="F728" s="162"/>
    </row>
    <row r="729" spans="3:6" ht="15.75" thickBot="1">
      <c r="C729" s="161"/>
      <c r="D729" s="161"/>
      <c r="F729" s="162"/>
    </row>
    <row r="730" spans="3:6" ht="15.75" thickBot="1">
      <c r="C730" s="161"/>
      <c r="D730" s="161"/>
      <c r="F730" s="162"/>
    </row>
    <row r="731" spans="3:6" ht="15.75" thickBot="1">
      <c r="C731" s="161"/>
      <c r="D731" s="161"/>
      <c r="F731" s="162"/>
    </row>
    <row r="732" spans="3:6" ht="15.75" thickBot="1">
      <c r="C732" s="161"/>
      <c r="D732" s="161"/>
      <c r="F732" s="162"/>
    </row>
    <row r="733" spans="3:6" ht="15.75" thickBot="1">
      <c r="C733" s="161"/>
      <c r="D733" s="161"/>
      <c r="F733" s="162"/>
    </row>
    <row r="734" spans="3:6" ht="15.75" thickBot="1">
      <c r="C734" s="161"/>
      <c r="D734" s="161"/>
      <c r="F734" s="162"/>
    </row>
    <row r="735" spans="3:6" ht="15.75" thickBot="1">
      <c r="C735" s="161"/>
      <c r="D735" s="161"/>
      <c r="F735" s="162"/>
    </row>
    <row r="736" spans="3:6" ht="15.75" thickBot="1">
      <c r="C736" s="161"/>
      <c r="D736" s="161"/>
      <c r="F736" s="162"/>
    </row>
    <row r="737" spans="3:6" ht="15.75" thickBot="1">
      <c r="C737" s="161"/>
      <c r="D737" s="161"/>
      <c r="F737" s="162"/>
    </row>
    <row r="738" spans="3:6" ht="15.75" thickBot="1">
      <c r="C738" s="161"/>
      <c r="D738" s="161"/>
      <c r="F738" s="162"/>
    </row>
    <row r="739" spans="3:6" ht="15.75" thickBot="1">
      <c r="C739" s="161"/>
      <c r="D739" s="161"/>
      <c r="F739" s="162"/>
    </row>
    <row r="740" spans="3:6" ht="15.75" thickBot="1">
      <c r="C740" s="161"/>
      <c r="D740" s="161"/>
      <c r="F740" s="162"/>
    </row>
    <row r="741" spans="3:6" ht="15.75" thickBot="1">
      <c r="C741" s="161"/>
      <c r="D741" s="161"/>
      <c r="F741" s="162"/>
    </row>
    <row r="742" spans="3:6" ht="15.75" thickBot="1">
      <c r="C742" s="161"/>
      <c r="D742" s="161"/>
      <c r="F742" s="162"/>
    </row>
    <row r="743" spans="3:6" ht="15.75" thickBot="1">
      <c r="C743" s="161"/>
      <c r="D743" s="161"/>
      <c r="F743" s="162"/>
    </row>
    <row r="744" spans="3:6" ht="15.75" thickBot="1">
      <c r="C744" s="161"/>
      <c r="D744" s="161"/>
      <c r="F744" s="162"/>
    </row>
    <row r="745" spans="3:6" ht="15.75" thickBot="1">
      <c r="C745" s="161"/>
      <c r="D745" s="161"/>
      <c r="F745" s="162"/>
    </row>
    <row r="746" spans="3:6" ht="15.75" thickBot="1">
      <c r="C746" s="161"/>
      <c r="D746" s="161"/>
      <c r="F746" s="162"/>
    </row>
    <row r="747" spans="3:6" ht="15.75" thickBot="1">
      <c r="C747" s="161"/>
      <c r="D747" s="161"/>
      <c r="F747" s="162"/>
    </row>
    <row r="748" spans="3:6" ht="15.75" thickBot="1">
      <c r="C748" s="161"/>
      <c r="D748" s="161"/>
      <c r="F748" s="162"/>
    </row>
    <row r="749" spans="3:6" ht="15.75" thickBot="1">
      <c r="C749" s="161"/>
      <c r="D749" s="161"/>
      <c r="F749" s="162"/>
    </row>
    <row r="750" spans="3:6" ht="15.75" thickBot="1">
      <c r="C750" s="161"/>
      <c r="D750" s="161"/>
      <c r="F750" s="162"/>
    </row>
    <row r="751" spans="3:6" ht="15.75" thickBot="1">
      <c r="C751" s="161"/>
      <c r="D751" s="161"/>
      <c r="F751" s="162"/>
    </row>
    <row r="752" spans="3:6" ht="15.75" thickBot="1">
      <c r="C752" s="161"/>
      <c r="D752" s="161"/>
      <c r="F752" s="162"/>
    </row>
    <row r="753" spans="3:6" ht="15.75" thickBot="1">
      <c r="C753" s="161"/>
      <c r="D753" s="161"/>
      <c r="F753" s="162"/>
    </row>
    <row r="754" spans="3:6" ht="15.75" thickBot="1">
      <c r="C754" s="161"/>
      <c r="D754" s="161"/>
      <c r="F754" s="162"/>
    </row>
    <row r="755" spans="3:6" ht="15.75" thickBot="1">
      <c r="C755" s="161"/>
      <c r="D755" s="161"/>
      <c r="F755" s="162"/>
    </row>
    <row r="756" spans="3:6" ht="15.75" thickBot="1">
      <c r="C756" s="161"/>
      <c r="D756" s="161"/>
      <c r="F756" s="162"/>
    </row>
    <row r="757" spans="3:6" ht="15.75" thickBot="1">
      <c r="C757" s="161"/>
      <c r="D757" s="161"/>
      <c r="F757" s="162"/>
    </row>
    <row r="758" spans="3:6" ht="15.75" thickBot="1">
      <c r="C758" s="161"/>
      <c r="D758" s="161"/>
      <c r="F758" s="162"/>
    </row>
    <row r="759" spans="3:6" ht="15.75" thickBot="1">
      <c r="C759" s="161"/>
      <c r="D759" s="161"/>
      <c r="F759" s="162"/>
    </row>
    <row r="760" spans="3:6" ht="15.75" thickBot="1">
      <c r="C760" s="161"/>
      <c r="D760" s="161"/>
      <c r="F760" s="162"/>
    </row>
    <row r="761" spans="3:6" ht="15.75" thickBot="1">
      <c r="C761" s="161"/>
      <c r="D761" s="161"/>
      <c r="F761" s="162"/>
    </row>
    <row r="762" spans="3:6" ht="15.75" thickBot="1">
      <c r="C762" s="161"/>
      <c r="D762" s="161"/>
      <c r="F762" s="162"/>
    </row>
    <row r="763" spans="3:6" ht="15.75" thickBot="1">
      <c r="C763" s="161"/>
      <c r="D763" s="161"/>
      <c r="F763" s="162"/>
    </row>
    <row r="764" spans="3:6" ht="15.75" thickBot="1">
      <c r="C764" s="161"/>
      <c r="D764" s="161"/>
      <c r="F764" s="162"/>
    </row>
    <row r="765" spans="3:6" ht="15.75" thickBot="1">
      <c r="C765" s="161"/>
      <c r="D765" s="161"/>
      <c r="F765" s="162"/>
    </row>
    <row r="766" spans="3:6" ht="15.75" thickBot="1">
      <c r="C766" s="161"/>
      <c r="D766" s="161"/>
      <c r="F766" s="162"/>
    </row>
    <row r="767" spans="3:6" ht="15.75" thickBot="1">
      <c r="C767" s="161"/>
      <c r="D767" s="161"/>
      <c r="F767" s="162"/>
    </row>
    <row r="768" spans="3:6" ht="15.75" thickBot="1">
      <c r="C768" s="161"/>
      <c r="D768" s="161"/>
      <c r="F768" s="162"/>
    </row>
    <row r="769" spans="3:6" ht="15.75" thickBot="1">
      <c r="C769" s="161"/>
      <c r="D769" s="161"/>
      <c r="F769" s="162"/>
    </row>
    <row r="770" spans="3:6" ht="15.75" thickBot="1">
      <c r="C770" s="161"/>
      <c r="D770" s="161"/>
      <c r="F770" s="162"/>
    </row>
    <row r="771" spans="3:6" ht="15.75" thickBot="1">
      <c r="C771" s="161"/>
      <c r="D771" s="161"/>
      <c r="F771" s="162"/>
    </row>
    <row r="772" spans="3:6" ht="15.75" thickBot="1">
      <c r="C772" s="161"/>
      <c r="D772" s="161"/>
      <c r="F772" s="162"/>
    </row>
    <row r="773" spans="3:6" ht="15.75" thickBot="1">
      <c r="C773" s="161"/>
      <c r="D773" s="161"/>
      <c r="F773" s="162"/>
    </row>
    <row r="774" spans="3:6" ht="15.75" thickBot="1">
      <c r="C774" s="161"/>
      <c r="D774" s="161"/>
      <c r="F774" s="162"/>
    </row>
    <row r="775" spans="3:6" ht="15.75" thickBot="1">
      <c r="C775" s="161"/>
      <c r="D775" s="161"/>
      <c r="F775" s="162"/>
    </row>
    <row r="776" spans="3:6" ht="15.75" thickBot="1">
      <c r="C776" s="161"/>
      <c r="D776" s="161"/>
      <c r="F776" s="162"/>
    </row>
    <row r="777" spans="3:6" ht="15.75" thickBot="1">
      <c r="C777" s="161"/>
      <c r="D777" s="161"/>
      <c r="F777" s="162"/>
    </row>
    <row r="778" spans="3:6" ht="15.75" thickBot="1">
      <c r="C778" s="161"/>
      <c r="D778" s="161"/>
      <c r="F778" s="162"/>
    </row>
    <row r="779" spans="3:6" ht="15.75" thickBot="1">
      <c r="C779" s="161"/>
      <c r="D779" s="161"/>
      <c r="F779" s="162"/>
    </row>
    <row r="780" spans="3:6" ht="15.75" thickBot="1">
      <c r="C780" s="161"/>
      <c r="D780" s="161"/>
      <c r="F780" s="162"/>
    </row>
    <row r="781" spans="3:6" ht="15.75" thickBot="1">
      <c r="C781" s="161"/>
      <c r="D781" s="161"/>
      <c r="F781" s="162"/>
    </row>
    <row r="782" spans="3:6" ht="15.75" thickBot="1">
      <c r="C782" s="161"/>
      <c r="D782" s="161"/>
      <c r="F782" s="162"/>
    </row>
    <row r="783" spans="3:6" ht="15.75" thickBot="1">
      <c r="C783" s="161"/>
      <c r="D783" s="161"/>
      <c r="F783" s="162"/>
    </row>
    <row r="784" spans="3:6" ht="15.75" thickBot="1">
      <c r="C784" s="161"/>
      <c r="D784" s="161"/>
      <c r="F784" s="162"/>
    </row>
    <row r="785" spans="3:6" ht="15.75" thickBot="1">
      <c r="C785" s="161"/>
      <c r="D785" s="161"/>
      <c r="F785" s="162"/>
    </row>
    <row r="786" spans="3:6" ht="15.75" thickBot="1">
      <c r="C786" s="161"/>
      <c r="D786" s="161"/>
      <c r="F786" s="162"/>
    </row>
    <row r="787" spans="3:6" ht="15.75" thickBot="1">
      <c r="C787" s="161"/>
      <c r="D787" s="161"/>
      <c r="F787" s="162"/>
    </row>
    <row r="788" spans="3:6" ht="15.75" thickBot="1">
      <c r="C788" s="161"/>
      <c r="D788" s="161"/>
      <c r="F788" s="162"/>
    </row>
    <row r="789" spans="3:6" ht="15.75" thickBot="1">
      <c r="C789" s="161"/>
      <c r="D789" s="161"/>
      <c r="F789" s="162"/>
    </row>
    <row r="790" spans="3:6" ht="15.75" thickBot="1">
      <c r="C790" s="161"/>
      <c r="D790" s="161"/>
      <c r="F790" s="162"/>
    </row>
    <row r="791" spans="3:6" ht="15.75" thickBot="1">
      <c r="C791" s="161"/>
      <c r="D791" s="161"/>
      <c r="F791" s="162"/>
    </row>
    <row r="792" spans="3:6" ht="15.75" thickBot="1">
      <c r="C792" s="161"/>
      <c r="D792" s="161"/>
      <c r="F792" s="162"/>
    </row>
    <row r="793" spans="3:6" ht="15.75" thickBot="1">
      <c r="C793" s="161"/>
      <c r="D793" s="161"/>
      <c r="F793" s="162"/>
    </row>
    <row r="794" spans="3:6" ht="15.75" thickBot="1">
      <c r="C794" s="161"/>
      <c r="D794" s="161"/>
      <c r="F794" s="162"/>
    </row>
    <row r="795" spans="3:6" ht="15.75" thickBot="1">
      <c r="C795" s="161"/>
      <c r="D795" s="161"/>
      <c r="F795" s="162"/>
    </row>
    <row r="796" spans="3:6" ht="15.75" thickBot="1">
      <c r="C796" s="161"/>
      <c r="D796" s="161"/>
      <c r="F796" s="162"/>
    </row>
    <row r="797" spans="3:6" ht="15.75" thickBot="1">
      <c r="C797" s="161"/>
      <c r="D797" s="161"/>
      <c r="F797" s="162"/>
    </row>
    <row r="798" spans="3:6" ht="15.75" thickBot="1">
      <c r="C798" s="161"/>
      <c r="D798" s="161"/>
      <c r="F798" s="162"/>
    </row>
    <row r="799" spans="3:6" ht="15.75" thickBot="1">
      <c r="C799" s="161"/>
      <c r="D799" s="161"/>
      <c r="F799" s="162"/>
    </row>
    <row r="800" spans="3:6" ht="15.75" thickBot="1">
      <c r="C800" s="161"/>
      <c r="D800" s="161"/>
      <c r="F800" s="162"/>
    </row>
    <row r="801" spans="3:6" ht="15.75" thickBot="1">
      <c r="C801" s="161"/>
      <c r="D801" s="161"/>
      <c r="F801" s="162"/>
    </row>
    <row r="802" spans="3:6" ht="15.75" thickBot="1">
      <c r="C802" s="161"/>
      <c r="D802" s="161"/>
      <c r="F802" s="162"/>
    </row>
    <row r="803" spans="3:6" ht="15.75" thickBot="1">
      <c r="C803" s="161"/>
      <c r="D803" s="161"/>
      <c r="F803" s="162"/>
    </row>
    <row r="804" spans="3:6" ht="15.75" thickBot="1">
      <c r="C804" s="161"/>
      <c r="D804" s="161"/>
      <c r="F804" s="162"/>
    </row>
    <row r="805" spans="3:6" ht="15.75" thickBot="1">
      <c r="C805" s="161"/>
      <c r="D805" s="161"/>
      <c r="F805" s="162"/>
    </row>
    <row r="806" spans="3:6" ht="15.75" thickBot="1">
      <c r="C806" s="161"/>
      <c r="D806" s="161"/>
      <c r="F806" s="162"/>
    </row>
    <row r="807" spans="3:6" ht="15.75" thickBot="1">
      <c r="C807" s="161"/>
      <c r="D807" s="161"/>
      <c r="F807" s="162"/>
    </row>
    <row r="808" spans="3:6" ht="15.75" thickBot="1">
      <c r="C808" s="161"/>
      <c r="D808" s="161"/>
      <c r="F808" s="162"/>
    </row>
    <row r="809" spans="3:6" ht="15.75" thickBot="1">
      <c r="C809" s="161"/>
      <c r="D809" s="161"/>
      <c r="F809" s="162"/>
    </row>
    <row r="810" spans="3:6" ht="15.75" thickBot="1">
      <c r="C810" s="161"/>
      <c r="D810" s="161"/>
      <c r="F810" s="162"/>
    </row>
    <row r="811" spans="3:6" ht="15.75" thickBot="1">
      <c r="C811" s="161"/>
      <c r="D811" s="161"/>
      <c r="F811" s="162"/>
    </row>
    <row r="812" spans="3:6" ht="15.75" thickBot="1">
      <c r="C812" s="161"/>
      <c r="D812" s="161"/>
      <c r="F812" s="162"/>
    </row>
    <row r="813" spans="3:6" ht="15.75" thickBot="1">
      <c r="C813" s="161"/>
      <c r="D813" s="161"/>
      <c r="F813" s="162"/>
    </row>
    <row r="814" spans="3:6" ht="15.75" thickBot="1">
      <c r="C814" s="161"/>
      <c r="D814" s="161"/>
      <c r="F814" s="162"/>
    </row>
    <row r="815" spans="3:6" ht="15.75" thickBot="1">
      <c r="C815" s="161"/>
      <c r="D815" s="161"/>
      <c r="F815" s="162"/>
    </row>
    <row r="816" spans="3:6" ht="15.75" thickBot="1">
      <c r="C816" s="161"/>
      <c r="D816" s="161"/>
      <c r="F816" s="162"/>
    </row>
    <row r="817" spans="3:6" ht="15.75" thickBot="1">
      <c r="C817" s="161"/>
      <c r="D817" s="161"/>
      <c r="F817" s="162"/>
    </row>
    <row r="818" spans="3:6" ht="15.75" thickBot="1">
      <c r="C818" s="161"/>
      <c r="D818" s="161"/>
      <c r="F818" s="162"/>
    </row>
    <row r="819" spans="3:6" ht="15.75" thickBot="1">
      <c r="C819" s="161"/>
      <c r="D819" s="161"/>
      <c r="F819" s="162"/>
    </row>
    <row r="820" spans="3:6" ht="15.75" thickBot="1">
      <c r="C820" s="161"/>
      <c r="D820" s="161"/>
      <c r="F820" s="162"/>
    </row>
    <row r="821" spans="3:6" ht="15.75" thickBot="1">
      <c r="C821" s="161"/>
      <c r="D821" s="161"/>
      <c r="F821" s="162"/>
    </row>
    <row r="822" spans="3:6" ht="15.75" thickBot="1">
      <c r="C822" s="161"/>
      <c r="D822" s="161"/>
      <c r="F822" s="162"/>
    </row>
    <row r="823" spans="3:6" ht="15.75" thickBot="1">
      <c r="C823" s="161"/>
      <c r="D823" s="161"/>
      <c r="F823" s="162"/>
    </row>
    <row r="824" spans="3:6" ht="15.75" thickBot="1">
      <c r="C824" s="161"/>
      <c r="D824" s="161"/>
      <c r="F824" s="162"/>
    </row>
    <row r="825" spans="3:6" ht="15.75" thickBot="1">
      <c r="C825" s="161"/>
      <c r="D825" s="161"/>
      <c r="F825" s="162"/>
    </row>
    <row r="826" spans="3:6" ht="15.75" thickBot="1">
      <c r="C826" s="161"/>
      <c r="D826" s="161"/>
      <c r="F826" s="162"/>
    </row>
    <row r="827" spans="3:6" ht="15.75" thickBot="1">
      <c r="C827" s="161"/>
      <c r="D827" s="161"/>
      <c r="F827" s="162"/>
    </row>
    <row r="828" spans="3:6" ht="15.75" thickBot="1">
      <c r="C828" s="161"/>
      <c r="D828" s="161"/>
      <c r="F828" s="162"/>
    </row>
    <row r="829" spans="3:6" ht="15.75" thickBot="1">
      <c r="C829" s="161"/>
      <c r="D829" s="161"/>
      <c r="F829" s="162"/>
    </row>
    <row r="830" spans="3:6" ht="15.75" thickBot="1">
      <c r="C830" s="161"/>
      <c r="D830" s="161"/>
      <c r="F830" s="162"/>
    </row>
    <row r="831" spans="3:6" ht="15.75" thickBot="1">
      <c r="C831" s="161"/>
      <c r="D831" s="161"/>
      <c r="F831" s="162"/>
    </row>
    <row r="832" spans="3:6" ht="15.75" thickBot="1">
      <c r="C832" s="161"/>
      <c r="D832" s="161"/>
      <c r="F832" s="162"/>
    </row>
    <row r="833" spans="3:6" ht="15.75" thickBot="1">
      <c r="C833" s="161"/>
      <c r="D833" s="161"/>
      <c r="F833" s="162"/>
    </row>
    <row r="834" spans="3:6" ht="15.75" thickBot="1">
      <c r="C834" s="161"/>
      <c r="D834" s="161"/>
      <c r="F834" s="162"/>
    </row>
    <row r="835" spans="3:6" ht="15.75" thickBot="1">
      <c r="C835" s="161"/>
      <c r="D835" s="161"/>
      <c r="F835" s="162"/>
    </row>
    <row r="836" spans="3:6" ht="15.75" thickBot="1">
      <c r="C836" s="161"/>
      <c r="D836" s="161"/>
      <c r="F836" s="162"/>
    </row>
    <row r="837" spans="3:6" ht="15.75" thickBot="1">
      <c r="C837" s="161"/>
      <c r="D837" s="161"/>
      <c r="F837" s="162"/>
    </row>
    <row r="838" spans="3:6" ht="15.75" thickBot="1">
      <c r="C838" s="161"/>
      <c r="D838" s="161"/>
      <c r="F838" s="162"/>
    </row>
    <row r="839" spans="3:6" ht="15.75" thickBot="1">
      <c r="C839" s="161"/>
      <c r="D839" s="161"/>
      <c r="F839" s="162"/>
    </row>
    <row r="840" spans="3:6" ht="15.75" thickBot="1">
      <c r="C840" s="161"/>
      <c r="D840" s="161"/>
      <c r="F840" s="162"/>
    </row>
    <row r="841" spans="3:6" ht="15.75" thickBot="1">
      <c r="C841" s="161"/>
      <c r="D841" s="161"/>
      <c r="F841" s="162"/>
    </row>
    <row r="842" spans="3:6" ht="15.75" thickBot="1">
      <c r="C842" s="161"/>
      <c r="D842" s="161"/>
      <c r="F842" s="162"/>
    </row>
    <row r="843" spans="3:6" ht="15.75" thickBot="1">
      <c r="C843" s="161"/>
      <c r="D843" s="161"/>
      <c r="F843" s="162"/>
    </row>
    <row r="844" spans="3:6" ht="15.75" thickBot="1">
      <c r="C844" s="161"/>
      <c r="D844" s="161"/>
      <c r="F844" s="162"/>
    </row>
    <row r="845" spans="3:6" ht="15.75" thickBot="1">
      <c r="C845" s="161"/>
      <c r="D845" s="161"/>
      <c r="F845" s="162"/>
    </row>
    <row r="846" spans="3:6" ht="15.75" thickBot="1">
      <c r="C846" s="161"/>
      <c r="D846" s="161"/>
      <c r="F846" s="162"/>
    </row>
    <row r="847" spans="3:6" ht="15.75" thickBot="1">
      <c r="C847" s="161"/>
      <c r="D847" s="161"/>
      <c r="F847" s="162"/>
    </row>
    <row r="848" spans="3:6" ht="15.75" thickBot="1">
      <c r="C848" s="161"/>
      <c r="D848" s="161"/>
      <c r="F848" s="162"/>
    </row>
    <row r="849" spans="3:6" ht="15.75" thickBot="1">
      <c r="C849" s="161"/>
      <c r="D849" s="161"/>
      <c r="F849" s="162"/>
    </row>
    <row r="850" spans="3:6" ht="15.75" thickBot="1">
      <c r="C850" s="161"/>
      <c r="D850" s="161"/>
      <c r="F850" s="162"/>
    </row>
    <row r="851" spans="3:6" ht="15.75" thickBot="1">
      <c r="C851" s="161"/>
      <c r="D851" s="161"/>
      <c r="F851" s="162"/>
    </row>
    <row r="852" spans="3:6" ht="15.75" thickBot="1">
      <c r="C852" s="161"/>
      <c r="D852" s="161"/>
      <c r="F852" s="162"/>
    </row>
    <row r="853" spans="3:6" ht="15.75" thickBot="1">
      <c r="C853" s="161"/>
      <c r="D853" s="161"/>
      <c r="F853" s="162"/>
    </row>
    <row r="854" spans="3:6" ht="15.75" thickBot="1">
      <c r="C854" s="161"/>
      <c r="D854" s="161"/>
      <c r="F854" s="162"/>
    </row>
    <row r="855" spans="3:6" ht="15.75" thickBot="1">
      <c r="C855" s="161"/>
      <c r="D855" s="161"/>
      <c r="F855" s="162"/>
    </row>
    <row r="856" spans="3:6" ht="15.75" thickBot="1">
      <c r="C856" s="161"/>
      <c r="D856" s="161"/>
      <c r="F856" s="162"/>
    </row>
    <row r="857" spans="3:6" ht="15.75" thickBot="1">
      <c r="C857" s="161"/>
      <c r="D857" s="161"/>
      <c r="F857" s="162"/>
    </row>
    <row r="858" spans="3:6" ht="15.75" thickBot="1">
      <c r="C858" s="161"/>
      <c r="D858" s="161"/>
      <c r="F858" s="162"/>
    </row>
    <row r="859" spans="3:6" ht="15.75" thickBot="1">
      <c r="C859" s="161"/>
      <c r="D859" s="161"/>
      <c r="F859" s="162"/>
    </row>
    <row r="860" spans="3:6" ht="15.75" thickBot="1">
      <c r="C860" s="161"/>
      <c r="D860" s="161"/>
      <c r="F860" s="162"/>
    </row>
    <row r="861" spans="3:6" ht="15.75" thickBot="1">
      <c r="C861" s="161"/>
      <c r="D861" s="161"/>
      <c r="F861" s="162"/>
    </row>
    <row r="862" spans="3:6" ht="15.75" thickBot="1">
      <c r="C862" s="161"/>
      <c r="D862" s="161"/>
      <c r="F862" s="162"/>
    </row>
    <row r="863" spans="3:6" ht="15.75" thickBot="1">
      <c r="C863" s="161"/>
      <c r="D863" s="161"/>
      <c r="F863" s="162"/>
    </row>
    <row r="864" spans="3:6" ht="15.75" thickBot="1">
      <c r="C864" s="161"/>
      <c r="D864" s="161"/>
      <c r="F864" s="162"/>
    </row>
    <row r="865" spans="3:6" ht="15.75" thickBot="1">
      <c r="C865" s="161"/>
      <c r="D865" s="161"/>
      <c r="F865" s="162"/>
    </row>
    <row r="866" spans="3:6" ht="15.75" thickBot="1">
      <c r="C866" s="161"/>
      <c r="D866" s="161"/>
      <c r="F866" s="162"/>
    </row>
    <row r="867" spans="3:6" ht="15.75" thickBot="1">
      <c r="C867" s="161"/>
      <c r="D867" s="161"/>
      <c r="F867" s="162"/>
    </row>
    <row r="868" spans="3:6" ht="15.75" thickBot="1">
      <c r="C868" s="161"/>
      <c r="D868" s="161"/>
      <c r="F868" s="162"/>
    </row>
    <row r="869" spans="3:6" ht="15.75" thickBot="1">
      <c r="C869" s="161"/>
      <c r="D869" s="161"/>
      <c r="F869" s="162"/>
    </row>
    <row r="870" spans="3:6" ht="15.75" thickBot="1">
      <c r="C870" s="161"/>
      <c r="D870" s="161"/>
      <c r="F870" s="162"/>
    </row>
    <row r="871" spans="3:6" ht="15.75" thickBot="1">
      <c r="C871" s="161"/>
      <c r="D871" s="161"/>
      <c r="F871" s="162"/>
    </row>
    <row r="872" spans="3:6" ht="15.75" thickBot="1">
      <c r="C872" s="161"/>
      <c r="D872" s="161"/>
      <c r="F872" s="162"/>
    </row>
    <row r="873" spans="3:6" ht="15.75" thickBot="1">
      <c r="C873" s="161"/>
      <c r="D873" s="161"/>
      <c r="F873" s="162"/>
    </row>
    <row r="874" spans="3:6" ht="15.75" thickBot="1">
      <c r="C874" s="161"/>
      <c r="D874" s="161"/>
      <c r="F874" s="162"/>
    </row>
    <row r="875" spans="3:6" ht="15.75" thickBot="1">
      <c r="C875" s="161"/>
      <c r="D875" s="161"/>
      <c r="F875" s="162"/>
    </row>
    <row r="876" spans="3:6" ht="15.75" thickBot="1">
      <c r="C876" s="161"/>
      <c r="D876" s="161"/>
      <c r="F876" s="162"/>
    </row>
    <row r="877" spans="3:6" ht="15.75" thickBot="1">
      <c r="C877" s="161"/>
      <c r="D877" s="161"/>
      <c r="F877" s="162"/>
    </row>
    <row r="878" spans="3:6" ht="15.75" thickBot="1">
      <c r="C878" s="161"/>
      <c r="D878" s="161"/>
      <c r="F878" s="162"/>
    </row>
    <row r="879" spans="3:6" ht="15.75" thickBot="1">
      <c r="C879" s="161"/>
      <c r="D879" s="161"/>
      <c r="F879" s="162"/>
    </row>
    <row r="880" spans="3:6" ht="15.75" thickBot="1">
      <c r="C880" s="161"/>
      <c r="D880" s="161"/>
      <c r="F880" s="162"/>
    </row>
    <row r="881" spans="3:6" ht="15.75" thickBot="1">
      <c r="C881" s="161"/>
      <c r="D881" s="161"/>
      <c r="F881" s="162"/>
    </row>
    <row r="882" spans="3:6" ht="15.75" thickBot="1">
      <c r="C882" s="161"/>
      <c r="D882" s="161"/>
      <c r="F882" s="162"/>
    </row>
    <row r="883" spans="3:6" ht="15.75" thickBot="1">
      <c r="C883" s="161"/>
      <c r="D883" s="161"/>
      <c r="F883" s="162"/>
    </row>
    <row r="884" spans="3:6" ht="15.75" thickBot="1">
      <c r="C884" s="161"/>
      <c r="D884" s="161"/>
      <c r="F884" s="162"/>
    </row>
    <row r="885" spans="3:6" ht="15.75" thickBot="1">
      <c r="C885" s="161"/>
      <c r="D885" s="161"/>
      <c r="F885" s="162"/>
    </row>
    <row r="886" spans="3:6" ht="15.75" thickBot="1">
      <c r="C886" s="161"/>
      <c r="D886" s="161"/>
      <c r="F886" s="162"/>
    </row>
    <row r="887" spans="3:6" ht="15.75" thickBot="1">
      <c r="C887" s="161"/>
      <c r="D887" s="161"/>
      <c r="F887" s="162"/>
    </row>
    <row r="888" spans="3:6" ht="15.75" thickBot="1">
      <c r="C888" s="161"/>
      <c r="D888" s="161"/>
      <c r="F888" s="162"/>
    </row>
    <row r="889" spans="3:6" ht="15.75" thickBot="1">
      <c r="C889" s="161"/>
      <c r="D889" s="161"/>
      <c r="F889" s="162"/>
    </row>
    <row r="890" spans="3:6" ht="15.75" thickBot="1">
      <c r="C890" s="161"/>
      <c r="D890" s="161"/>
      <c r="F890" s="162"/>
    </row>
    <row r="891" spans="3:6" ht="15.75" thickBot="1">
      <c r="C891" s="161"/>
      <c r="D891" s="161"/>
      <c r="F891" s="162"/>
    </row>
    <row r="892" spans="3:6" ht="15.75" thickBot="1">
      <c r="C892" s="161"/>
      <c r="D892" s="161"/>
      <c r="F892" s="162"/>
    </row>
    <row r="893" spans="3:6" ht="15.75" thickBot="1">
      <c r="C893" s="161"/>
      <c r="D893" s="161"/>
      <c r="F893" s="162"/>
    </row>
    <row r="894" spans="3:6" ht="15.75" thickBot="1">
      <c r="C894" s="161"/>
      <c r="D894" s="161"/>
      <c r="F894" s="162"/>
    </row>
    <row r="895" spans="3:6" ht="15.75" thickBot="1">
      <c r="C895" s="161"/>
      <c r="D895" s="161"/>
      <c r="F895" s="162"/>
    </row>
    <row r="896" spans="3:6" ht="15.75" thickBot="1">
      <c r="C896" s="161"/>
      <c r="D896" s="161"/>
      <c r="F896" s="162"/>
    </row>
    <row r="897" spans="3:6" ht="15.75" thickBot="1">
      <c r="C897" s="161"/>
      <c r="D897" s="161"/>
      <c r="F897" s="162"/>
    </row>
    <row r="898" spans="3:6" ht="15.75" thickBot="1">
      <c r="C898" s="161"/>
      <c r="D898" s="161"/>
      <c r="F898" s="162"/>
    </row>
    <row r="899" spans="3:6" ht="15.75" thickBot="1">
      <c r="C899" s="161"/>
      <c r="D899" s="161"/>
      <c r="F899" s="162"/>
    </row>
    <row r="900" spans="3:6" ht="15.75" thickBot="1">
      <c r="C900" s="161"/>
      <c r="D900" s="161"/>
      <c r="F900" s="162"/>
    </row>
    <row r="901" spans="3:6" ht="15.75" thickBot="1">
      <c r="C901" s="161"/>
      <c r="D901" s="161"/>
      <c r="F901" s="162"/>
    </row>
    <row r="902" spans="3:6" ht="15.75" thickBot="1">
      <c r="C902" s="161"/>
      <c r="D902" s="161"/>
      <c r="F902" s="162"/>
    </row>
    <row r="903" spans="3:6" ht="15.75" thickBot="1">
      <c r="C903" s="161"/>
      <c r="D903" s="161"/>
      <c r="F903" s="162"/>
    </row>
    <row r="904" spans="3:6" ht="15.75" thickBot="1">
      <c r="C904" s="161"/>
      <c r="D904" s="161"/>
      <c r="F904" s="162"/>
    </row>
    <row r="905" spans="3:6" ht="15.75" thickBot="1">
      <c r="C905" s="161"/>
      <c r="D905" s="161"/>
      <c r="F905" s="162"/>
    </row>
    <row r="906" spans="3:6" ht="15.75" thickBot="1">
      <c r="C906" s="161"/>
      <c r="D906" s="161"/>
      <c r="F906" s="162"/>
    </row>
    <row r="907" spans="3:6" ht="15.75" thickBot="1">
      <c r="C907" s="161"/>
      <c r="D907" s="161"/>
      <c r="F907" s="162"/>
    </row>
    <row r="908" spans="3:6" ht="15.75" thickBot="1">
      <c r="C908" s="161"/>
      <c r="D908" s="161"/>
      <c r="F908" s="162"/>
    </row>
    <row r="909" spans="3:6" ht="15.75" thickBot="1">
      <c r="C909" s="161"/>
      <c r="D909" s="161"/>
      <c r="F909" s="162"/>
    </row>
    <row r="910" spans="3:6" ht="15.75" thickBot="1">
      <c r="C910" s="161"/>
      <c r="D910" s="161"/>
      <c r="F910" s="162"/>
    </row>
    <row r="911" spans="3:6" ht="15.75" thickBot="1">
      <c r="C911" s="161"/>
      <c r="D911" s="161"/>
      <c r="F911" s="162"/>
    </row>
    <row r="912" spans="3:6" ht="15.75" thickBot="1">
      <c r="C912" s="161"/>
      <c r="D912" s="161"/>
      <c r="F912" s="162"/>
    </row>
    <row r="913" spans="3:6" ht="15.75" thickBot="1">
      <c r="C913" s="161"/>
      <c r="D913" s="161"/>
      <c r="F913" s="162"/>
    </row>
    <row r="914" spans="3:6" ht="15.75" thickBot="1">
      <c r="C914" s="161"/>
      <c r="D914" s="161"/>
      <c r="F914" s="162"/>
    </row>
    <row r="915" spans="3:6" ht="15.75" thickBot="1">
      <c r="C915" s="161"/>
      <c r="D915" s="161"/>
      <c r="F915" s="162"/>
    </row>
    <row r="916" spans="3:6" ht="15.75" thickBot="1">
      <c r="C916" s="161"/>
      <c r="D916" s="161"/>
      <c r="F916" s="162"/>
    </row>
    <row r="917" spans="3:6" ht="15.75" thickBot="1">
      <c r="C917" s="161"/>
      <c r="D917" s="161"/>
      <c r="F917" s="162"/>
    </row>
    <row r="918" spans="3:6" ht="15.75" thickBot="1">
      <c r="C918" s="161"/>
      <c r="D918" s="161"/>
      <c r="F918" s="162"/>
    </row>
    <row r="919" spans="3:6" ht="15.75" thickBot="1">
      <c r="C919" s="161"/>
      <c r="D919" s="161"/>
      <c r="F919" s="162"/>
    </row>
    <row r="920" spans="3:6" ht="15.75" thickBot="1">
      <c r="C920" s="161"/>
      <c r="D920" s="161"/>
      <c r="F920" s="162"/>
    </row>
    <row r="921" spans="3:6" ht="15.75" thickBot="1">
      <c r="C921" s="161"/>
      <c r="D921" s="161"/>
      <c r="F921" s="162"/>
    </row>
    <row r="922" spans="3:6" ht="15.75" thickBot="1">
      <c r="C922" s="161"/>
      <c r="D922" s="161"/>
      <c r="F922" s="162"/>
    </row>
    <row r="923" spans="3:6" ht="15.75" thickBot="1">
      <c r="C923" s="161"/>
      <c r="D923" s="161"/>
      <c r="F923" s="162"/>
    </row>
    <row r="924" spans="3:6" ht="15.75" thickBot="1">
      <c r="C924" s="161"/>
      <c r="D924" s="161"/>
      <c r="F924" s="162"/>
    </row>
    <row r="925" spans="3:6" ht="15.75" thickBot="1">
      <c r="C925" s="161"/>
      <c r="D925" s="161"/>
      <c r="F925" s="162"/>
    </row>
    <row r="926" spans="3:6" ht="15.75" thickBot="1">
      <c r="C926" s="161"/>
      <c r="D926" s="161"/>
      <c r="F926" s="162"/>
    </row>
    <row r="927" spans="3:6" ht="15.75" thickBot="1">
      <c r="C927" s="161"/>
      <c r="D927" s="161"/>
      <c r="F927" s="162"/>
    </row>
    <row r="928" spans="3:6" ht="15.75" thickBot="1">
      <c r="C928" s="161"/>
      <c r="D928" s="161"/>
      <c r="F928" s="162"/>
    </row>
    <row r="929" spans="3:6" ht="15.75" thickBot="1">
      <c r="C929" s="161"/>
      <c r="D929" s="161"/>
      <c r="F929" s="162"/>
    </row>
    <row r="930" spans="3:6" ht="15.75" thickBot="1">
      <c r="C930" s="161"/>
      <c r="D930" s="161"/>
      <c r="F930" s="162"/>
    </row>
    <row r="931" spans="3:6" ht="15.75" thickBot="1">
      <c r="C931" s="161"/>
      <c r="D931" s="161"/>
      <c r="F931" s="162"/>
    </row>
    <row r="932" spans="3:6" ht="15.75" thickBot="1">
      <c r="C932" s="161"/>
      <c r="D932" s="161"/>
      <c r="F932" s="162"/>
    </row>
    <row r="933" spans="3:6" ht="15.75" thickBot="1">
      <c r="C933" s="161"/>
      <c r="D933" s="161"/>
      <c r="F933" s="162"/>
    </row>
    <row r="934" spans="3:6" ht="15.75" thickBot="1">
      <c r="C934" s="161"/>
      <c r="D934" s="161"/>
      <c r="F934" s="162"/>
    </row>
    <row r="935" spans="3:6" ht="15.75" thickBot="1">
      <c r="C935" s="161"/>
      <c r="D935" s="161"/>
      <c r="F935" s="162"/>
    </row>
    <row r="936" spans="3:6" ht="15.75" thickBot="1">
      <c r="C936" s="161"/>
      <c r="D936" s="161"/>
      <c r="F936" s="162"/>
    </row>
    <row r="937" spans="3:6" ht="15.75" thickBot="1">
      <c r="C937" s="161"/>
      <c r="D937" s="161"/>
      <c r="F937" s="162"/>
    </row>
    <row r="938" spans="3:6" ht="15.75" thickBot="1">
      <c r="C938" s="161"/>
      <c r="D938" s="161"/>
      <c r="F938" s="162"/>
    </row>
    <row r="939" spans="3:6" ht="15.75" thickBot="1">
      <c r="C939" s="161"/>
      <c r="D939" s="161"/>
      <c r="F939" s="162"/>
    </row>
    <row r="940" spans="3:6" ht="15.75" thickBot="1">
      <c r="C940" s="161"/>
      <c r="D940" s="161"/>
      <c r="F940" s="162"/>
    </row>
    <row r="941" spans="3:6" ht="15.75" thickBot="1">
      <c r="C941" s="161"/>
      <c r="D941" s="161"/>
      <c r="F941" s="162"/>
    </row>
    <row r="942" spans="3:6" ht="15.75" thickBot="1">
      <c r="C942" s="161"/>
      <c r="D942" s="161"/>
      <c r="F942" s="162"/>
    </row>
    <row r="943" spans="3:6" ht="15.75" thickBot="1">
      <c r="C943" s="161"/>
      <c r="D943" s="161"/>
      <c r="F943" s="162"/>
    </row>
    <row r="944" spans="3:6" ht="15.75" thickBot="1">
      <c r="C944" s="161"/>
      <c r="D944" s="161"/>
      <c r="F944" s="162"/>
    </row>
    <row r="945" spans="3:6" ht="15.75" thickBot="1">
      <c r="C945" s="161"/>
      <c r="D945" s="161"/>
      <c r="F945" s="162"/>
    </row>
    <row r="946" spans="3:6" ht="15.75" thickBot="1">
      <c r="C946" s="161"/>
      <c r="D946" s="161"/>
      <c r="F946" s="162"/>
    </row>
    <row r="947" spans="3:6" ht="15.75" thickBot="1">
      <c r="C947" s="161"/>
      <c r="D947" s="161"/>
      <c r="F947" s="162"/>
    </row>
    <row r="948" spans="3:6" ht="15.75" thickBot="1">
      <c r="C948" s="161"/>
      <c r="D948" s="161"/>
      <c r="F948" s="162"/>
    </row>
    <row r="949" spans="3:6" ht="15.75" thickBot="1">
      <c r="C949" s="161"/>
      <c r="D949" s="161"/>
      <c r="F949" s="162"/>
    </row>
    <row r="950" spans="3:6" ht="15.75" thickBot="1">
      <c r="C950" s="161"/>
      <c r="D950" s="161"/>
      <c r="F950" s="162"/>
    </row>
    <row r="951" spans="3:6" ht="15.75" thickBot="1">
      <c r="C951" s="161"/>
      <c r="D951" s="161"/>
      <c r="F951" s="162"/>
    </row>
    <row r="952" spans="3:6" ht="15.75" thickBot="1">
      <c r="C952" s="161"/>
      <c r="D952" s="161"/>
      <c r="F952" s="162"/>
    </row>
    <row r="953" spans="3:6" ht="15.75" thickBot="1">
      <c r="C953" s="161"/>
      <c r="D953" s="161"/>
      <c r="F953" s="162"/>
    </row>
    <row r="954" spans="3:6" ht="15.75" thickBot="1">
      <c r="C954" s="161"/>
      <c r="D954" s="161"/>
      <c r="F954" s="162"/>
    </row>
    <row r="955" spans="3:6" ht="15.75" thickBot="1">
      <c r="C955" s="161"/>
      <c r="D955" s="161"/>
      <c r="F955" s="162"/>
    </row>
    <row r="956" spans="3:6" ht="15.75" thickBot="1">
      <c r="C956" s="161"/>
      <c r="D956" s="161"/>
      <c r="F956" s="162"/>
    </row>
    <row r="957" spans="3:6" ht="15.75" thickBot="1">
      <c r="C957" s="161"/>
      <c r="D957" s="161"/>
      <c r="F957" s="162"/>
    </row>
    <row r="958" spans="3:6" ht="15.75" thickBot="1">
      <c r="C958" s="161"/>
      <c r="D958" s="161"/>
      <c r="F958" s="162"/>
    </row>
    <row r="959" spans="3:6" ht="15.75" thickBot="1">
      <c r="C959" s="161"/>
      <c r="D959" s="161"/>
      <c r="F959" s="162"/>
    </row>
    <row r="960" spans="3:6" ht="15.75" thickBot="1">
      <c r="C960" s="161"/>
      <c r="D960" s="161"/>
      <c r="F960" s="162"/>
    </row>
    <row r="961" spans="3:6" ht="15.75" thickBot="1">
      <c r="C961" s="161"/>
      <c r="D961" s="161"/>
      <c r="F961" s="162"/>
    </row>
    <row r="962" spans="3:6" ht="15.75" thickBot="1">
      <c r="C962" s="161"/>
      <c r="D962" s="161"/>
      <c r="F962" s="162"/>
    </row>
    <row r="963" spans="3:6" ht="15.75" thickBot="1">
      <c r="C963" s="161"/>
      <c r="D963" s="161"/>
      <c r="F963" s="162"/>
    </row>
    <row r="964" spans="3:6" ht="15.75" thickBot="1">
      <c r="C964" s="161"/>
      <c r="D964" s="161"/>
      <c r="F964" s="162"/>
    </row>
    <row r="965" spans="3:6" ht="15.75" thickBot="1">
      <c r="C965" s="161"/>
      <c r="D965" s="161"/>
      <c r="F965" s="162"/>
    </row>
    <row r="966" spans="3:6" ht="15.75" thickBot="1">
      <c r="C966" s="161"/>
      <c r="D966" s="161"/>
      <c r="F966" s="162"/>
    </row>
    <row r="967" spans="3:6" ht="15.75" thickBot="1">
      <c r="C967" s="161"/>
      <c r="D967" s="161"/>
      <c r="F967" s="162"/>
    </row>
    <row r="968" spans="3:6" ht="15.75" thickBot="1">
      <c r="C968" s="161"/>
      <c r="D968" s="161"/>
      <c r="F968" s="162"/>
    </row>
    <row r="969" spans="3:6" ht="15.75" thickBot="1">
      <c r="C969" s="161"/>
      <c r="D969" s="161"/>
      <c r="F969" s="162"/>
    </row>
    <row r="970" spans="3:6" ht="15.75" thickBot="1">
      <c r="C970" s="161"/>
      <c r="D970" s="161"/>
      <c r="F970" s="162"/>
    </row>
    <row r="971" spans="3:6" ht="15.75" thickBot="1">
      <c r="C971" s="161"/>
      <c r="D971" s="161"/>
      <c r="F971" s="162"/>
    </row>
    <row r="972" spans="3:6" ht="15.75" thickBot="1">
      <c r="C972" s="161"/>
      <c r="D972" s="161"/>
      <c r="F972" s="162"/>
    </row>
    <row r="973" spans="3:6" ht="15.75" thickBot="1">
      <c r="C973" s="161"/>
      <c r="D973" s="161"/>
      <c r="F973" s="162"/>
    </row>
    <row r="974" spans="3:6" ht="15.75" thickBot="1">
      <c r="C974" s="161"/>
      <c r="D974" s="161"/>
      <c r="F974" s="162"/>
    </row>
    <row r="975" spans="3:6" ht="15.75" thickBot="1">
      <c r="C975" s="161"/>
      <c r="D975" s="161"/>
      <c r="F975" s="162"/>
    </row>
    <row r="976" spans="3:6" ht="15.75" thickBot="1">
      <c r="C976" s="161"/>
      <c r="D976" s="161"/>
      <c r="F976" s="162"/>
    </row>
    <row r="977" spans="3:6" ht="15.75" thickBot="1">
      <c r="C977" s="161"/>
      <c r="D977" s="161"/>
      <c r="F977" s="162"/>
    </row>
    <row r="978" spans="3:6" ht="15.75" thickBot="1">
      <c r="C978" s="161"/>
      <c r="D978" s="161"/>
      <c r="F978" s="162"/>
    </row>
    <row r="979" spans="3:6" ht="15.75" thickBot="1">
      <c r="C979" s="161"/>
      <c r="D979" s="161"/>
      <c r="F979" s="162"/>
    </row>
  </sheetData>
  <autoFilter ref="C3:F3" xr:uid="{00000000-0009-0000-0000-000005000000}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F980"/>
  <sheetViews>
    <sheetView topLeftCell="A2" zoomScale="140" zoomScaleNormal="140" workbookViewId="0">
      <pane xSplit="2" ySplit="2" topLeftCell="C4" activePane="bottomRight" state="frozen"/>
      <selection activeCell="A2" sqref="A2"/>
      <selection pane="topRight" activeCell="C2" sqref="C2"/>
      <selection pane="bottomLeft" activeCell="A4" sqref="A4"/>
      <selection pane="bottomRight" activeCell="B4" sqref="B4"/>
    </sheetView>
  </sheetViews>
  <sheetFormatPr defaultColWidth="9" defaultRowHeight="15"/>
  <cols>
    <col min="1" max="1" width="9" style="131"/>
    <col min="2" max="2" width="26.625" style="131" customWidth="1"/>
    <col min="3" max="3" width="39.25" style="131" customWidth="1"/>
    <col min="4" max="4" width="9.625" style="151" customWidth="1"/>
    <col min="5" max="16384" width="9" style="131"/>
  </cols>
  <sheetData>
    <row r="1" spans="2:6">
      <c r="B1" s="144"/>
      <c r="C1" s="144"/>
      <c r="D1" s="152"/>
    </row>
    <row r="2" spans="2:6">
      <c r="B2" s="443" t="s">
        <v>409</v>
      </c>
      <c r="C2" s="442"/>
      <c r="D2" s="442"/>
    </row>
    <row r="3" spans="2:6">
      <c r="B3" s="153" t="s">
        <v>341</v>
      </c>
      <c r="C3" s="154" t="s">
        <v>342</v>
      </c>
      <c r="D3" s="155" t="s">
        <v>13</v>
      </c>
    </row>
    <row r="4" spans="2:6" ht="30">
      <c r="B4" s="144" t="s">
        <v>410</v>
      </c>
      <c r="C4" s="144" t="s">
        <v>411</v>
      </c>
      <c r="D4" s="152">
        <v>4</v>
      </c>
      <c r="E4" s="131" t="s">
        <v>412</v>
      </c>
    </row>
    <row r="5" spans="2:6" ht="30">
      <c r="B5" s="144" t="s">
        <v>413</v>
      </c>
      <c r="C5" s="144" t="s">
        <v>414</v>
      </c>
      <c r="D5" s="183">
        <v>0.82</v>
      </c>
    </row>
    <row r="6" spans="2:6" ht="30">
      <c r="B6" s="144" t="s">
        <v>415</v>
      </c>
      <c r="C6" s="144" t="s">
        <v>416</v>
      </c>
      <c r="D6" s="136">
        <v>0.3</v>
      </c>
    </row>
    <row r="7" spans="2:6" ht="30">
      <c r="B7" s="135" t="s">
        <v>348</v>
      </c>
      <c r="C7" s="135" t="s">
        <v>283</v>
      </c>
      <c r="D7" s="137" t="s">
        <v>349</v>
      </c>
      <c r="F7" s="139" t="s">
        <v>351</v>
      </c>
    </row>
    <row r="8" spans="2:6" ht="45">
      <c r="B8" s="184" t="s">
        <v>356</v>
      </c>
      <c r="C8" s="184" t="s">
        <v>357</v>
      </c>
      <c r="D8" s="185">
        <v>0.5</v>
      </c>
    </row>
    <row r="9" spans="2:6" ht="45">
      <c r="B9" s="184" t="s">
        <v>417</v>
      </c>
      <c r="C9" s="184" t="s">
        <v>418</v>
      </c>
      <c r="D9" s="185">
        <v>1</v>
      </c>
    </row>
    <row r="10" spans="2:6" ht="45">
      <c r="B10" s="186" t="s">
        <v>359</v>
      </c>
      <c r="C10" s="186" t="s">
        <v>387</v>
      </c>
      <c r="D10" s="187">
        <v>0.83</v>
      </c>
    </row>
    <row r="11" spans="2:6" ht="30">
      <c r="B11" s="184" t="s">
        <v>363</v>
      </c>
      <c r="C11" s="184" t="s">
        <v>364</v>
      </c>
      <c r="D11" s="185">
        <v>0.73</v>
      </c>
    </row>
    <row r="12" spans="2:6" ht="60">
      <c r="B12" s="184" t="s">
        <v>365</v>
      </c>
      <c r="C12" s="184" t="s">
        <v>366</v>
      </c>
      <c r="D12" s="188" t="s">
        <v>158</v>
      </c>
    </row>
    <row r="13" spans="2:6" ht="30">
      <c r="B13" s="184" t="s">
        <v>367</v>
      </c>
      <c r="C13" s="184" t="s">
        <v>368</v>
      </c>
      <c r="D13" s="185">
        <v>0.75</v>
      </c>
    </row>
    <row r="14" spans="2:6">
      <c r="B14" s="184" t="s">
        <v>369</v>
      </c>
      <c r="C14" s="184" t="s">
        <v>370</v>
      </c>
      <c r="D14" s="185">
        <v>0.9</v>
      </c>
    </row>
    <row r="15" spans="2:6" ht="60">
      <c r="B15" s="184" t="s">
        <v>371</v>
      </c>
      <c r="C15" s="184" t="s">
        <v>372</v>
      </c>
      <c r="D15" s="188" t="s">
        <v>19</v>
      </c>
    </row>
    <row r="16" spans="2:6" ht="45">
      <c r="B16" s="184" t="s">
        <v>356</v>
      </c>
      <c r="C16" s="184" t="s">
        <v>357</v>
      </c>
      <c r="D16" s="185">
        <v>0.5</v>
      </c>
    </row>
    <row r="17" spans="2:4" ht="45">
      <c r="B17" s="189" t="s">
        <v>373</v>
      </c>
      <c r="C17" s="186" t="e">
        <f>VLOOKUP(B17,#REF!,2,0)</f>
        <v>#REF!</v>
      </c>
      <c r="D17" s="187" t="e">
        <f>VLOOKUP(B17,#REF!,3,0)</f>
        <v>#REF!</v>
      </c>
    </row>
    <row r="18" spans="2:4">
      <c r="B18" s="144"/>
      <c r="C18" s="144"/>
      <c r="D18" s="152"/>
    </row>
    <row r="19" spans="2:4">
      <c r="B19" s="144"/>
      <c r="C19" s="144"/>
      <c r="D19" s="152"/>
    </row>
    <row r="20" spans="2:4">
      <c r="B20" s="144"/>
      <c r="C20" s="144"/>
      <c r="D20" s="152"/>
    </row>
    <row r="21" spans="2:4">
      <c r="B21" s="144"/>
      <c r="C21" s="144"/>
      <c r="D21" s="152"/>
    </row>
    <row r="22" spans="2:4">
      <c r="B22" s="144"/>
      <c r="C22" s="144"/>
      <c r="D22" s="152"/>
    </row>
    <row r="23" spans="2:4">
      <c r="B23" s="144"/>
      <c r="C23" s="144"/>
      <c r="D23" s="152"/>
    </row>
    <row r="24" spans="2:4">
      <c r="B24" s="144"/>
      <c r="C24" s="144"/>
      <c r="D24" s="152"/>
    </row>
    <row r="25" spans="2:4">
      <c r="B25" s="144"/>
      <c r="C25" s="144"/>
      <c r="D25" s="152"/>
    </row>
    <row r="26" spans="2:4">
      <c r="B26" s="144"/>
      <c r="C26" s="144"/>
      <c r="D26" s="152"/>
    </row>
    <row r="27" spans="2:4">
      <c r="B27" s="144"/>
      <c r="C27" s="144"/>
      <c r="D27" s="152"/>
    </row>
    <row r="28" spans="2:4">
      <c r="B28" s="144"/>
      <c r="C28" s="144"/>
      <c r="D28" s="152"/>
    </row>
    <row r="29" spans="2:4">
      <c r="B29" s="144"/>
      <c r="C29" s="144"/>
      <c r="D29" s="152"/>
    </row>
    <row r="30" spans="2:4">
      <c r="B30" s="144"/>
      <c r="C30" s="144"/>
      <c r="D30" s="152"/>
    </row>
    <row r="31" spans="2:4">
      <c r="B31" s="144"/>
      <c r="C31" s="144"/>
      <c r="D31" s="152"/>
    </row>
    <row r="32" spans="2:4">
      <c r="B32" s="144"/>
      <c r="C32" s="144"/>
      <c r="D32" s="152"/>
    </row>
    <row r="33" spans="2:4">
      <c r="B33" s="144"/>
      <c r="C33" s="144"/>
      <c r="D33" s="152"/>
    </row>
    <row r="34" spans="2:4">
      <c r="B34" s="144"/>
      <c r="C34" s="144"/>
      <c r="D34" s="152"/>
    </row>
    <row r="35" spans="2:4">
      <c r="B35" s="144"/>
      <c r="C35" s="144"/>
      <c r="D35" s="152"/>
    </row>
    <row r="36" spans="2:4">
      <c r="B36" s="144"/>
      <c r="C36" s="144"/>
      <c r="D36" s="152"/>
    </row>
    <row r="37" spans="2:4">
      <c r="B37" s="144"/>
      <c r="C37" s="144"/>
      <c r="D37" s="152"/>
    </row>
    <row r="38" spans="2:4">
      <c r="B38" s="144"/>
      <c r="C38" s="144"/>
      <c r="D38" s="152"/>
    </row>
    <row r="39" spans="2:4">
      <c r="B39" s="144"/>
      <c r="C39" s="144"/>
      <c r="D39" s="152"/>
    </row>
    <row r="40" spans="2:4">
      <c r="B40" s="144"/>
      <c r="C40" s="144"/>
      <c r="D40" s="152"/>
    </row>
    <row r="41" spans="2:4">
      <c r="B41" s="144"/>
      <c r="C41" s="144"/>
      <c r="D41" s="152"/>
    </row>
    <row r="42" spans="2:4">
      <c r="B42" s="144"/>
      <c r="C42" s="144"/>
      <c r="D42" s="152"/>
    </row>
    <row r="43" spans="2:4">
      <c r="B43" s="144"/>
      <c r="C43" s="144"/>
      <c r="D43" s="152"/>
    </row>
    <row r="44" spans="2:4">
      <c r="B44" s="144"/>
      <c r="C44" s="144"/>
      <c r="D44" s="152"/>
    </row>
    <row r="45" spans="2:4">
      <c r="B45" s="144"/>
      <c r="C45" s="144"/>
      <c r="D45" s="152"/>
    </row>
    <row r="46" spans="2:4">
      <c r="B46" s="144"/>
      <c r="C46" s="144"/>
      <c r="D46" s="152"/>
    </row>
    <row r="47" spans="2:4">
      <c r="B47" s="144"/>
      <c r="C47" s="144"/>
      <c r="D47" s="152"/>
    </row>
    <row r="48" spans="2:4">
      <c r="B48" s="144"/>
      <c r="C48" s="144"/>
      <c r="D48" s="152"/>
    </row>
    <row r="49" spans="2:4">
      <c r="B49" s="144"/>
      <c r="C49" s="144"/>
      <c r="D49" s="152"/>
    </row>
    <row r="50" spans="2:4">
      <c r="B50" s="144"/>
      <c r="C50" s="144"/>
      <c r="D50" s="152"/>
    </row>
    <row r="51" spans="2:4">
      <c r="B51" s="144"/>
      <c r="C51" s="144"/>
      <c r="D51" s="152"/>
    </row>
    <row r="52" spans="2:4">
      <c r="B52" s="144"/>
      <c r="C52" s="144"/>
      <c r="D52" s="152"/>
    </row>
    <row r="53" spans="2:4">
      <c r="B53" s="144"/>
      <c r="C53" s="144"/>
      <c r="D53" s="152"/>
    </row>
    <row r="54" spans="2:4">
      <c r="B54" s="144"/>
      <c r="C54" s="144"/>
      <c r="D54" s="152"/>
    </row>
    <row r="55" spans="2:4">
      <c r="B55" s="144"/>
      <c r="C55" s="144"/>
      <c r="D55" s="152"/>
    </row>
    <row r="56" spans="2:4">
      <c r="B56" s="144"/>
      <c r="C56" s="144"/>
      <c r="D56" s="152"/>
    </row>
    <row r="57" spans="2:4">
      <c r="B57" s="144"/>
      <c r="C57" s="144"/>
      <c r="D57" s="152"/>
    </row>
    <row r="58" spans="2:4">
      <c r="B58" s="144"/>
      <c r="C58" s="144"/>
      <c r="D58" s="152"/>
    </row>
    <row r="59" spans="2:4">
      <c r="B59" s="144"/>
      <c r="C59" s="144"/>
      <c r="D59" s="152"/>
    </row>
    <row r="60" spans="2:4">
      <c r="B60" s="144"/>
      <c r="C60" s="144"/>
      <c r="D60" s="152"/>
    </row>
    <row r="61" spans="2:4">
      <c r="B61" s="144"/>
      <c r="C61" s="144"/>
      <c r="D61" s="152"/>
    </row>
    <row r="62" spans="2:4">
      <c r="B62" s="144"/>
      <c r="C62" s="144"/>
      <c r="D62" s="152"/>
    </row>
    <row r="63" spans="2:4">
      <c r="B63" s="144"/>
      <c r="C63" s="144"/>
      <c r="D63" s="152"/>
    </row>
    <row r="64" spans="2:4">
      <c r="B64" s="144"/>
      <c r="C64" s="144"/>
      <c r="D64" s="152"/>
    </row>
    <row r="65" spans="2:4">
      <c r="B65" s="144"/>
      <c r="C65" s="144"/>
      <c r="D65" s="152"/>
    </row>
    <row r="66" spans="2:4">
      <c r="B66" s="144"/>
      <c r="C66" s="144"/>
      <c r="D66" s="152"/>
    </row>
    <row r="67" spans="2:4">
      <c r="B67" s="144"/>
      <c r="C67" s="144"/>
      <c r="D67" s="152"/>
    </row>
    <row r="68" spans="2:4">
      <c r="B68" s="144"/>
      <c r="C68" s="144"/>
      <c r="D68" s="152"/>
    </row>
    <row r="69" spans="2:4">
      <c r="B69" s="144"/>
      <c r="C69" s="144"/>
      <c r="D69" s="152"/>
    </row>
    <row r="70" spans="2:4">
      <c r="B70" s="144"/>
      <c r="C70" s="144"/>
      <c r="D70" s="152"/>
    </row>
    <row r="71" spans="2:4">
      <c r="B71" s="144"/>
      <c r="C71" s="144"/>
      <c r="D71" s="152"/>
    </row>
    <row r="72" spans="2:4">
      <c r="B72" s="144"/>
      <c r="C72" s="144"/>
      <c r="D72" s="152"/>
    </row>
    <row r="73" spans="2:4">
      <c r="B73" s="144"/>
      <c r="C73" s="144"/>
      <c r="D73" s="152"/>
    </row>
    <row r="74" spans="2:4">
      <c r="B74" s="144"/>
      <c r="C74" s="144"/>
      <c r="D74" s="152"/>
    </row>
    <row r="75" spans="2:4">
      <c r="B75" s="144"/>
      <c r="C75" s="144"/>
      <c r="D75" s="152"/>
    </row>
    <row r="76" spans="2:4">
      <c r="B76" s="144"/>
      <c r="C76" s="144"/>
      <c r="D76" s="152"/>
    </row>
    <row r="77" spans="2:4">
      <c r="B77" s="144"/>
      <c r="C77" s="144"/>
      <c r="D77" s="152"/>
    </row>
    <row r="78" spans="2:4">
      <c r="B78" s="144"/>
      <c r="C78" s="144"/>
      <c r="D78" s="152"/>
    </row>
    <row r="79" spans="2:4">
      <c r="B79" s="144"/>
      <c r="C79" s="144"/>
      <c r="D79" s="152"/>
    </row>
    <row r="80" spans="2:4">
      <c r="B80" s="144"/>
      <c r="C80" s="144"/>
      <c r="D80" s="152"/>
    </row>
    <row r="81" spans="2:4">
      <c r="B81" s="144"/>
      <c r="C81" s="144"/>
      <c r="D81" s="152"/>
    </row>
    <row r="82" spans="2:4">
      <c r="B82" s="144"/>
      <c r="C82" s="144"/>
      <c r="D82" s="152"/>
    </row>
    <row r="83" spans="2:4">
      <c r="B83" s="144"/>
      <c r="C83" s="144"/>
      <c r="D83" s="152"/>
    </row>
    <row r="84" spans="2:4">
      <c r="B84" s="144"/>
      <c r="C84" s="144"/>
      <c r="D84" s="152"/>
    </row>
    <row r="85" spans="2:4">
      <c r="B85" s="144"/>
      <c r="C85" s="144"/>
      <c r="D85" s="152"/>
    </row>
    <row r="86" spans="2:4">
      <c r="B86" s="144"/>
      <c r="C86" s="144"/>
      <c r="D86" s="152"/>
    </row>
    <row r="87" spans="2:4">
      <c r="B87" s="144"/>
      <c r="C87" s="144"/>
      <c r="D87" s="152"/>
    </row>
    <row r="88" spans="2:4">
      <c r="B88" s="144"/>
      <c r="C88" s="144"/>
      <c r="D88" s="152"/>
    </row>
    <row r="89" spans="2:4">
      <c r="B89" s="144"/>
      <c r="C89" s="144"/>
      <c r="D89" s="152"/>
    </row>
    <row r="90" spans="2:4">
      <c r="B90" s="144"/>
      <c r="C90" s="144"/>
      <c r="D90" s="152"/>
    </row>
    <row r="91" spans="2:4">
      <c r="B91" s="144"/>
      <c r="C91" s="144"/>
      <c r="D91" s="152"/>
    </row>
    <row r="92" spans="2:4">
      <c r="B92" s="144"/>
      <c r="C92" s="144"/>
      <c r="D92" s="152"/>
    </row>
    <row r="93" spans="2:4">
      <c r="B93" s="144"/>
      <c r="C93" s="144"/>
      <c r="D93" s="152"/>
    </row>
    <row r="94" spans="2:4">
      <c r="B94" s="144"/>
      <c r="C94" s="144"/>
      <c r="D94" s="152"/>
    </row>
    <row r="95" spans="2:4">
      <c r="B95" s="144"/>
      <c r="C95" s="144"/>
      <c r="D95" s="152"/>
    </row>
    <row r="96" spans="2:4">
      <c r="B96" s="144"/>
      <c r="C96" s="144"/>
      <c r="D96" s="152"/>
    </row>
    <row r="97" spans="2:4">
      <c r="B97" s="144"/>
      <c r="C97" s="144"/>
      <c r="D97" s="152"/>
    </row>
    <row r="98" spans="2:4">
      <c r="B98" s="144"/>
      <c r="C98" s="144"/>
      <c r="D98" s="152"/>
    </row>
    <row r="99" spans="2:4">
      <c r="B99" s="144"/>
      <c r="C99" s="144"/>
      <c r="D99" s="152"/>
    </row>
    <row r="100" spans="2:4">
      <c r="B100" s="144"/>
      <c r="C100" s="144"/>
      <c r="D100" s="152"/>
    </row>
    <row r="101" spans="2:4">
      <c r="B101" s="144"/>
      <c r="C101" s="144"/>
      <c r="D101" s="152"/>
    </row>
    <row r="102" spans="2:4">
      <c r="B102" s="144"/>
      <c r="C102" s="144"/>
      <c r="D102" s="152"/>
    </row>
    <row r="103" spans="2:4">
      <c r="B103" s="144"/>
      <c r="C103" s="144"/>
      <c r="D103" s="152"/>
    </row>
    <row r="104" spans="2:4">
      <c r="B104" s="144"/>
      <c r="C104" s="144"/>
      <c r="D104" s="152"/>
    </row>
    <row r="105" spans="2:4">
      <c r="B105" s="144"/>
      <c r="C105" s="144"/>
      <c r="D105" s="152"/>
    </row>
    <row r="106" spans="2:4">
      <c r="B106" s="144"/>
      <c r="C106" s="144"/>
      <c r="D106" s="152"/>
    </row>
    <row r="107" spans="2:4">
      <c r="B107" s="144"/>
      <c r="C107" s="144"/>
      <c r="D107" s="152"/>
    </row>
    <row r="108" spans="2:4">
      <c r="B108" s="144"/>
      <c r="C108" s="144"/>
      <c r="D108" s="152"/>
    </row>
    <row r="109" spans="2:4">
      <c r="B109" s="144"/>
      <c r="C109" s="144"/>
      <c r="D109" s="152"/>
    </row>
    <row r="110" spans="2:4">
      <c r="B110" s="144"/>
      <c r="C110" s="144"/>
      <c r="D110" s="152"/>
    </row>
    <row r="111" spans="2:4">
      <c r="B111" s="144"/>
      <c r="C111" s="144"/>
      <c r="D111" s="152"/>
    </row>
    <row r="112" spans="2:4">
      <c r="B112" s="144"/>
      <c r="C112" s="144"/>
      <c r="D112" s="152"/>
    </row>
    <row r="113" spans="2:4">
      <c r="B113" s="144"/>
      <c r="C113" s="144"/>
      <c r="D113" s="152"/>
    </row>
    <row r="114" spans="2:4">
      <c r="B114" s="144"/>
      <c r="C114" s="144"/>
      <c r="D114" s="152"/>
    </row>
    <row r="115" spans="2:4">
      <c r="B115" s="144"/>
      <c r="C115" s="144"/>
      <c r="D115" s="152"/>
    </row>
    <row r="116" spans="2:4">
      <c r="B116" s="144"/>
      <c r="C116" s="144"/>
      <c r="D116" s="152"/>
    </row>
    <row r="117" spans="2:4">
      <c r="B117" s="144"/>
      <c r="C117" s="144"/>
      <c r="D117" s="152"/>
    </row>
    <row r="118" spans="2:4">
      <c r="B118" s="144"/>
      <c r="C118" s="144"/>
      <c r="D118" s="152"/>
    </row>
    <row r="119" spans="2:4">
      <c r="B119" s="144"/>
      <c r="C119" s="144"/>
      <c r="D119" s="152"/>
    </row>
    <row r="120" spans="2:4">
      <c r="B120" s="144"/>
      <c r="C120" s="144"/>
      <c r="D120" s="152"/>
    </row>
    <row r="121" spans="2:4">
      <c r="B121" s="144"/>
      <c r="C121" s="144"/>
      <c r="D121" s="152"/>
    </row>
    <row r="122" spans="2:4">
      <c r="B122" s="144"/>
      <c r="C122" s="144"/>
      <c r="D122" s="152"/>
    </row>
    <row r="123" spans="2:4">
      <c r="B123" s="144"/>
      <c r="C123" s="144"/>
      <c r="D123" s="152"/>
    </row>
    <row r="124" spans="2:4">
      <c r="B124" s="144"/>
      <c r="C124" s="144"/>
      <c r="D124" s="152"/>
    </row>
    <row r="125" spans="2:4">
      <c r="B125" s="144"/>
      <c r="C125" s="144"/>
      <c r="D125" s="152"/>
    </row>
    <row r="126" spans="2:4">
      <c r="B126" s="144"/>
      <c r="C126" s="144"/>
      <c r="D126" s="152"/>
    </row>
    <row r="127" spans="2:4">
      <c r="B127" s="144"/>
      <c r="C127" s="144"/>
      <c r="D127" s="152"/>
    </row>
    <row r="128" spans="2:4">
      <c r="B128" s="144"/>
      <c r="C128" s="144"/>
      <c r="D128" s="152"/>
    </row>
    <row r="129" spans="2:4">
      <c r="B129" s="144"/>
      <c r="C129" s="144"/>
      <c r="D129" s="152"/>
    </row>
    <row r="130" spans="2:4">
      <c r="B130" s="144"/>
      <c r="C130" s="144"/>
      <c r="D130" s="152"/>
    </row>
    <row r="131" spans="2:4">
      <c r="B131" s="144"/>
      <c r="C131" s="144"/>
      <c r="D131" s="152"/>
    </row>
    <row r="132" spans="2:4">
      <c r="B132" s="144"/>
      <c r="C132" s="144"/>
      <c r="D132" s="152"/>
    </row>
    <row r="133" spans="2:4">
      <c r="B133" s="144"/>
      <c r="C133" s="144"/>
      <c r="D133" s="152"/>
    </row>
    <row r="134" spans="2:4">
      <c r="B134" s="144"/>
      <c r="C134" s="144"/>
      <c r="D134" s="152"/>
    </row>
    <row r="135" spans="2:4">
      <c r="B135" s="144"/>
      <c r="C135" s="144"/>
      <c r="D135" s="152"/>
    </row>
    <row r="136" spans="2:4">
      <c r="B136" s="144"/>
      <c r="C136" s="144"/>
      <c r="D136" s="152"/>
    </row>
    <row r="137" spans="2:4">
      <c r="B137" s="144"/>
      <c r="C137" s="144"/>
      <c r="D137" s="152"/>
    </row>
    <row r="138" spans="2:4">
      <c r="B138" s="144"/>
      <c r="C138" s="144"/>
      <c r="D138" s="152"/>
    </row>
    <row r="139" spans="2:4">
      <c r="B139" s="144"/>
      <c r="C139" s="144"/>
      <c r="D139" s="152"/>
    </row>
    <row r="140" spans="2:4">
      <c r="B140" s="144"/>
      <c r="C140" s="144"/>
      <c r="D140" s="152"/>
    </row>
    <row r="141" spans="2:4">
      <c r="B141" s="144"/>
      <c r="C141" s="144"/>
      <c r="D141" s="152"/>
    </row>
    <row r="142" spans="2:4">
      <c r="B142" s="144"/>
      <c r="C142" s="144"/>
      <c r="D142" s="152"/>
    </row>
    <row r="143" spans="2:4">
      <c r="B143" s="144"/>
      <c r="C143" s="144"/>
      <c r="D143" s="152"/>
    </row>
    <row r="144" spans="2:4">
      <c r="B144" s="144"/>
      <c r="C144" s="144"/>
      <c r="D144" s="152"/>
    </row>
    <row r="145" spans="2:4">
      <c r="B145" s="144"/>
      <c r="C145" s="144"/>
      <c r="D145" s="152"/>
    </row>
    <row r="146" spans="2:4">
      <c r="B146" s="144"/>
      <c r="C146" s="144"/>
      <c r="D146" s="152"/>
    </row>
    <row r="147" spans="2:4">
      <c r="B147" s="144"/>
      <c r="C147" s="144"/>
      <c r="D147" s="152"/>
    </row>
    <row r="148" spans="2:4">
      <c r="B148" s="144"/>
      <c r="C148" s="144"/>
      <c r="D148" s="152"/>
    </row>
    <row r="149" spans="2:4">
      <c r="B149" s="144"/>
      <c r="C149" s="144"/>
      <c r="D149" s="152"/>
    </row>
    <row r="150" spans="2:4">
      <c r="B150" s="144"/>
      <c r="C150" s="144"/>
      <c r="D150" s="152"/>
    </row>
    <row r="151" spans="2:4">
      <c r="B151" s="144"/>
      <c r="C151" s="144"/>
      <c r="D151" s="152"/>
    </row>
    <row r="152" spans="2:4">
      <c r="B152" s="144"/>
      <c r="C152" s="144"/>
      <c r="D152" s="152"/>
    </row>
    <row r="153" spans="2:4">
      <c r="B153" s="144"/>
      <c r="C153" s="144"/>
      <c r="D153" s="152"/>
    </row>
    <row r="154" spans="2:4">
      <c r="B154" s="144"/>
      <c r="C154" s="144"/>
      <c r="D154" s="152"/>
    </row>
    <row r="155" spans="2:4">
      <c r="B155" s="144"/>
      <c r="C155" s="144"/>
      <c r="D155" s="152"/>
    </row>
    <row r="156" spans="2:4">
      <c r="B156" s="144"/>
      <c r="C156" s="144"/>
      <c r="D156" s="152"/>
    </row>
    <row r="157" spans="2:4">
      <c r="B157" s="144"/>
      <c r="C157" s="144"/>
      <c r="D157" s="152"/>
    </row>
    <row r="158" spans="2:4">
      <c r="B158" s="144"/>
      <c r="C158" s="144"/>
      <c r="D158" s="152"/>
    </row>
    <row r="159" spans="2:4">
      <c r="B159" s="144"/>
      <c r="C159" s="144"/>
      <c r="D159" s="152"/>
    </row>
    <row r="160" spans="2:4">
      <c r="B160" s="144"/>
      <c r="C160" s="144"/>
      <c r="D160" s="152"/>
    </row>
    <row r="161" spans="2:4">
      <c r="B161" s="144"/>
      <c r="C161" s="144"/>
      <c r="D161" s="152"/>
    </row>
    <row r="162" spans="2:4">
      <c r="B162" s="144"/>
      <c r="C162" s="144"/>
      <c r="D162" s="152"/>
    </row>
    <row r="163" spans="2:4">
      <c r="B163" s="144"/>
      <c r="C163" s="144"/>
      <c r="D163" s="152"/>
    </row>
    <row r="164" spans="2:4">
      <c r="B164" s="144"/>
      <c r="C164" s="144"/>
      <c r="D164" s="152"/>
    </row>
    <row r="165" spans="2:4">
      <c r="B165" s="144"/>
      <c r="C165" s="144"/>
      <c r="D165" s="152"/>
    </row>
    <row r="166" spans="2:4">
      <c r="B166" s="144"/>
      <c r="C166" s="144"/>
      <c r="D166" s="152"/>
    </row>
    <row r="167" spans="2:4">
      <c r="B167" s="144"/>
      <c r="C167" s="144"/>
      <c r="D167" s="152"/>
    </row>
    <row r="168" spans="2:4">
      <c r="B168" s="144"/>
      <c r="C168" s="144"/>
      <c r="D168" s="152"/>
    </row>
    <row r="169" spans="2:4">
      <c r="B169" s="144"/>
      <c r="C169" s="144"/>
      <c r="D169" s="152"/>
    </row>
    <row r="170" spans="2:4">
      <c r="B170" s="144"/>
      <c r="C170" s="144"/>
      <c r="D170" s="152"/>
    </row>
    <row r="171" spans="2:4">
      <c r="B171" s="144"/>
      <c r="C171" s="144"/>
      <c r="D171" s="152"/>
    </row>
    <row r="172" spans="2:4">
      <c r="B172" s="144"/>
      <c r="C172" s="144"/>
      <c r="D172" s="152"/>
    </row>
    <row r="173" spans="2:4">
      <c r="B173" s="144"/>
      <c r="C173" s="144"/>
      <c r="D173" s="152"/>
    </row>
    <row r="174" spans="2:4">
      <c r="B174" s="144"/>
      <c r="C174" s="144"/>
      <c r="D174" s="152"/>
    </row>
    <row r="175" spans="2:4">
      <c r="B175" s="144"/>
      <c r="C175" s="144"/>
      <c r="D175" s="152"/>
    </row>
    <row r="176" spans="2:4">
      <c r="B176" s="144"/>
      <c r="C176" s="144"/>
      <c r="D176" s="152"/>
    </row>
    <row r="177" spans="2:4">
      <c r="B177" s="144"/>
      <c r="C177" s="144"/>
      <c r="D177" s="152"/>
    </row>
    <row r="178" spans="2:4">
      <c r="B178" s="144"/>
      <c r="C178" s="144"/>
      <c r="D178" s="152"/>
    </row>
    <row r="179" spans="2:4">
      <c r="B179" s="144"/>
      <c r="C179" s="144"/>
      <c r="D179" s="152"/>
    </row>
    <row r="180" spans="2:4">
      <c r="B180" s="144"/>
      <c r="C180" s="144"/>
      <c r="D180" s="152"/>
    </row>
    <row r="181" spans="2:4">
      <c r="B181" s="144"/>
      <c r="C181" s="144"/>
      <c r="D181" s="152"/>
    </row>
    <row r="182" spans="2:4">
      <c r="B182" s="144"/>
      <c r="C182" s="144"/>
      <c r="D182" s="152"/>
    </row>
    <row r="183" spans="2:4">
      <c r="B183" s="144"/>
      <c r="C183" s="144"/>
      <c r="D183" s="152"/>
    </row>
    <row r="184" spans="2:4">
      <c r="B184" s="144"/>
      <c r="C184" s="144"/>
      <c r="D184" s="152"/>
    </row>
    <row r="185" spans="2:4">
      <c r="B185" s="144"/>
      <c r="C185" s="144"/>
      <c r="D185" s="152"/>
    </row>
    <row r="186" spans="2:4">
      <c r="B186" s="144"/>
      <c r="C186" s="144"/>
      <c r="D186" s="152"/>
    </row>
    <row r="187" spans="2:4">
      <c r="B187" s="144"/>
      <c r="C187" s="144"/>
      <c r="D187" s="152"/>
    </row>
    <row r="188" spans="2:4">
      <c r="B188" s="144"/>
      <c r="C188" s="144"/>
      <c r="D188" s="152"/>
    </row>
    <row r="189" spans="2:4">
      <c r="B189" s="144"/>
      <c r="C189" s="144"/>
      <c r="D189" s="152"/>
    </row>
    <row r="190" spans="2:4">
      <c r="B190" s="144"/>
      <c r="C190" s="144"/>
      <c r="D190" s="152"/>
    </row>
    <row r="191" spans="2:4">
      <c r="B191" s="144"/>
      <c r="C191" s="144"/>
      <c r="D191" s="152"/>
    </row>
    <row r="192" spans="2:4">
      <c r="B192" s="144"/>
      <c r="C192" s="144"/>
      <c r="D192" s="152"/>
    </row>
    <row r="193" spans="2:4">
      <c r="B193" s="144"/>
      <c r="C193" s="144"/>
      <c r="D193" s="152"/>
    </row>
    <row r="194" spans="2:4">
      <c r="B194" s="144"/>
      <c r="C194" s="144"/>
      <c r="D194" s="152"/>
    </row>
    <row r="195" spans="2:4">
      <c r="B195" s="144"/>
      <c r="C195" s="144"/>
      <c r="D195" s="152"/>
    </row>
    <row r="196" spans="2:4">
      <c r="B196" s="144"/>
      <c r="C196" s="144"/>
      <c r="D196" s="152"/>
    </row>
    <row r="197" spans="2:4">
      <c r="B197" s="144"/>
      <c r="C197" s="144"/>
      <c r="D197" s="152"/>
    </row>
    <row r="198" spans="2:4">
      <c r="B198" s="144"/>
      <c r="C198" s="144"/>
      <c r="D198" s="152"/>
    </row>
    <row r="199" spans="2:4">
      <c r="B199" s="144"/>
      <c r="C199" s="144"/>
      <c r="D199" s="152"/>
    </row>
    <row r="200" spans="2:4">
      <c r="B200" s="144"/>
      <c r="C200" s="144"/>
      <c r="D200" s="152"/>
    </row>
    <row r="201" spans="2:4">
      <c r="B201" s="144"/>
      <c r="C201" s="144"/>
      <c r="D201" s="152"/>
    </row>
    <row r="202" spans="2:4">
      <c r="B202" s="144"/>
      <c r="C202" s="144"/>
      <c r="D202" s="152"/>
    </row>
    <row r="203" spans="2:4">
      <c r="B203" s="144"/>
      <c r="C203" s="144"/>
      <c r="D203" s="152"/>
    </row>
    <row r="204" spans="2:4">
      <c r="B204" s="144"/>
      <c r="C204" s="144"/>
      <c r="D204" s="152"/>
    </row>
    <row r="205" spans="2:4">
      <c r="B205" s="144"/>
      <c r="C205" s="144"/>
      <c r="D205" s="152"/>
    </row>
    <row r="206" spans="2:4">
      <c r="B206" s="144"/>
      <c r="C206" s="144"/>
      <c r="D206" s="152"/>
    </row>
    <row r="207" spans="2:4">
      <c r="B207" s="144"/>
      <c r="C207" s="144"/>
      <c r="D207" s="152"/>
    </row>
    <row r="208" spans="2:4">
      <c r="B208" s="144"/>
      <c r="C208" s="144"/>
      <c r="D208" s="152"/>
    </row>
    <row r="209" spans="2:4">
      <c r="B209" s="144"/>
      <c r="C209" s="144"/>
      <c r="D209" s="152"/>
    </row>
    <row r="210" spans="2:4">
      <c r="B210" s="144"/>
      <c r="C210" s="144"/>
      <c r="D210" s="152"/>
    </row>
    <row r="211" spans="2:4">
      <c r="B211" s="144"/>
      <c r="C211" s="144"/>
      <c r="D211" s="152"/>
    </row>
    <row r="212" spans="2:4">
      <c r="B212" s="144"/>
      <c r="C212" s="144"/>
      <c r="D212" s="152"/>
    </row>
    <row r="213" spans="2:4">
      <c r="B213" s="144"/>
      <c r="C213" s="144"/>
      <c r="D213" s="152"/>
    </row>
    <row r="214" spans="2:4">
      <c r="B214" s="144"/>
      <c r="C214" s="144"/>
      <c r="D214" s="152"/>
    </row>
    <row r="215" spans="2:4">
      <c r="B215" s="144"/>
      <c r="C215" s="144"/>
      <c r="D215" s="152"/>
    </row>
    <row r="216" spans="2:4">
      <c r="B216" s="144"/>
      <c r="C216" s="144"/>
      <c r="D216" s="152"/>
    </row>
    <row r="217" spans="2:4">
      <c r="B217" s="144"/>
      <c r="C217" s="144"/>
      <c r="D217" s="152"/>
    </row>
    <row r="218" spans="2:4">
      <c r="B218" s="144"/>
      <c r="C218" s="144"/>
      <c r="D218" s="152"/>
    </row>
    <row r="219" spans="2:4">
      <c r="B219" s="144"/>
      <c r="C219" s="144"/>
      <c r="D219" s="152"/>
    </row>
    <row r="220" spans="2:4">
      <c r="B220" s="144"/>
      <c r="C220" s="144"/>
      <c r="D220" s="152"/>
    </row>
    <row r="221" spans="2:4">
      <c r="B221" s="144"/>
      <c r="C221" s="144"/>
      <c r="D221" s="152"/>
    </row>
    <row r="222" spans="2:4">
      <c r="B222" s="144"/>
      <c r="C222" s="144"/>
      <c r="D222" s="152"/>
    </row>
    <row r="223" spans="2:4">
      <c r="B223" s="144"/>
      <c r="C223" s="144"/>
      <c r="D223" s="152"/>
    </row>
    <row r="224" spans="2:4">
      <c r="B224" s="144"/>
      <c r="C224" s="144"/>
      <c r="D224" s="152"/>
    </row>
    <row r="225" spans="2:4">
      <c r="B225" s="144"/>
      <c r="C225" s="144"/>
      <c r="D225" s="152"/>
    </row>
    <row r="226" spans="2:4">
      <c r="B226" s="144"/>
      <c r="C226" s="144"/>
      <c r="D226" s="152"/>
    </row>
    <row r="227" spans="2:4">
      <c r="B227" s="144"/>
      <c r="C227" s="144"/>
      <c r="D227" s="152"/>
    </row>
    <row r="228" spans="2:4">
      <c r="B228" s="144"/>
      <c r="C228" s="144"/>
      <c r="D228" s="152"/>
    </row>
    <row r="229" spans="2:4">
      <c r="B229" s="144"/>
      <c r="C229" s="144"/>
      <c r="D229" s="152"/>
    </row>
    <row r="230" spans="2:4">
      <c r="B230" s="144"/>
      <c r="C230" s="144"/>
      <c r="D230" s="152"/>
    </row>
    <row r="231" spans="2:4">
      <c r="B231" s="144"/>
      <c r="C231" s="144"/>
      <c r="D231" s="152"/>
    </row>
    <row r="232" spans="2:4">
      <c r="B232" s="144"/>
      <c r="C232" s="144"/>
      <c r="D232" s="152"/>
    </row>
    <row r="233" spans="2:4">
      <c r="B233" s="144"/>
      <c r="C233" s="144"/>
      <c r="D233" s="152"/>
    </row>
    <row r="234" spans="2:4">
      <c r="B234" s="144"/>
      <c r="C234" s="144"/>
      <c r="D234" s="152"/>
    </row>
    <row r="235" spans="2:4">
      <c r="B235" s="144"/>
      <c r="C235" s="144"/>
      <c r="D235" s="152"/>
    </row>
    <row r="236" spans="2:4">
      <c r="B236" s="144"/>
      <c r="C236" s="144"/>
      <c r="D236" s="152"/>
    </row>
    <row r="237" spans="2:4">
      <c r="B237" s="144"/>
      <c r="C237" s="144"/>
      <c r="D237" s="152"/>
    </row>
    <row r="238" spans="2:4">
      <c r="B238" s="144"/>
      <c r="C238" s="144"/>
      <c r="D238" s="152"/>
    </row>
    <row r="239" spans="2:4">
      <c r="B239" s="144"/>
      <c r="C239" s="144"/>
      <c r="D239" s="152"/>
    </row>
    <row r="240" spans="2:4">
      <c r="B240" s="144"/>
      <c r="C240" s="144"/>
      <c r="D240" s="152"/>
    </row>
    <row r="241" spans="2:4">
      <c r="B241" s="144"/>
      <c r="C241" s="144"/>
      <c r="D241" s="152"/>
    </row>
    <row r="242" spans="2:4">
      <c r="B242" s="144"/>
      <c r="C242" s="144"/>
      <c r="D242" s="152"/>
    </row>
    <row r="243" spans="2:4">
      <c r="B243" s="144"/>
      <c r="C243" s="144"/>
      <c r="D243" s="152"/>
    </row>
    <row r="244" spans="2:4">
      <c r="B244" s="144"/>
      <c r="C244" s="144"/>
      <c r="D244" s="152"/>
    </row>
    <row r="245" spans="2:4">
      <c r="B245" s="144"/>
      <c r="C245" s="144"/>
      <c r="D245" s="152"/>
    </row>
    <row r="246" spans="2:4">
      <c r="B246" s="144"/>
      <c r="C246" s="144"/>
      <c r="D246" s="152"/>
    </row>
    <row r="247" spans="2:4">
      <c r="B247" s="144"/>
      <c r="C247" s="144"/>
      <c r="D247" s="152"/>
    </row>
    <row r="248" spans="2:4">
      <c r="B248" s="144"/>
      <c r="C248" s="144"/>
      <c r="D248" s="152"/>
    </row>
    <row r="249" spans="2:4">
      <c r="B249" s="144"/>
      <c r="C249" s="144"/>
      <c r="D249" s="152"/>
    </row>
    <row r="250" spans="2:4">
      <c r="B250" s="144"/>
      <c r="C250" s="144"/>
      <c r="D250" s="152"/>
    </row>
    <row r="251" spans="2:4">
      <c r="B251" s="144"/>
      <c r="C251" s="144"/>
      <c r="D251" s="152"/>
    </row>
    <row r="252" spans="2:4">
      <c r="B252" s="144"/>
      <c r="C252" s="144"/>
      <c r="D252" s="152"/>
    </row>
    <row r="253" spans="2:4">
      <c r="B253" s="144"/>
      <c r="C253" s="144"/>
      <c r="D253" s="152"/>
    </row>
    <row r="254" spans="2:4">
      <c r="B254" s="144"/>
      <c r="C254" s="144"/>
      <c r="D254" s="152"/>
    </row>
    <row r="255" spans="2:4">
      <c r="B255" s="144"/>
      <c r="C255" s="144"/>
      <c r="D255" s="152"/>
    </row>
    <row r="256" spans="2:4">
      <c r="B256" s="144"/>
      <c r="C256" s="144"/>
      <c r="D256" s="152"/>
    </row>
    <row r="257" spans="2:4">
      <c r="B257" s="144"/>
      <c r="C257" s="144"/>
      <c r="D257" s="152"/>
    </row>
    <row r="258" spans="2:4">
      <c r="B258" s="144"/>
      <c r="C258" s="144"/>
      <c r="D258" s="152"/>
    </row>
    <row r="259" spans="2:4">
      <c r="B259" s="144"/>
      <c r="C259" s="144"/>
      <c r="D259" s="152"/>
    </row>
    <row r="260" spans="2:4">
      <c r="B260" s="144"/>
      <c r="C260" s="144"/>
      <c r="D260" s="152"/>
    </row>
    <row r="261" spans="2:4">
      <c r="B261" s="144"/>
      <c r="C261" s="144"/>
      <c r="D261" s="152"/>
    </row>
    <row r="262" spans="2:4">
      <c r="B262" s="144"/>
      <c r="C262" s="144"/>
      <c r="D262" s="152"/>
    </row>
    <row r="263" spans="2:4">
      <c r="B263" s="144"/>
      <c r="C263" s="144"/>
      <c r="D263" s="152"/>
    </row>
    <row r="264" spans="2:4">
      <c r="B264" s="144"/>
      <c r="C264" s="144"/>
      <c r="D264" s="152"/>
    </row>
    <row r="265" spans="2:4">
      <c r="B265" s="144"/>
      <c r="C265" s="144"/>
      <c r="D265" s="152"/>
    </row>
    <row r="266" spans="2:4">
      <c r="B266" s="144"/>
      <c r="C266" s="144"/>
      <c r="D266" s="152"/>
    </row>
    <row r="267" spans="2:4">
      <c r="B267" s="144"/>
      <c r="C267" s="144"/>
      <c r="D267" s="152"/>
    </row>
    <row r="268" spans="2:4">
      <c r="B268" s="144"/>
      <c r="C268" s="144"/>
      <c r="D268" s="152"/>
    </row>
    <row r="269" spans="2:4">
      <c r="B269" s="144"/>
      <c r="C269" s="144"/>
      <c r="D269" s="152"/>
    </row>
    <row r="270" spans="2:4">
      <c r="B270" s="144"/>
      <c r="C270" s="144"/>
      <c r="D270" s="152"/>
    </row>
    <row r="271" spans="2:4">
      <c r="B271" s="144"/>
      <c r="C271" s="144"/>
      <c r="D271" s="152"/>
    </row>
    <row r="272" spans="2:4">
      <c r="B272" s="144"/>
      <c r="C272" s="144"/>
      <c r="D272" s="152"/>
    </row>
    <row r="273" spans="2:4">
      <c r="B273" s="144"/>
      <c r="C273" s="144"/>
      <c r="D273" s="152"/>
    </row>
    <row r="274" spans="2:4">
      <c r="B274" s="144"/>
      <c r="C274" s="144"/>
      <c r="D274" s="152"/>
    </row>
    <row r="275" spans="2:4">
      <c r="B275" s="144"/>
      <c r="C275" s="144"/>
      <c r="D275" s="152"/>
    </row>
    <row r="276" spans="2:4">
      <c r="B276" s="144"/>
      <c r="C276" s="144"/>
      <c r="D276" s="152"/>
    </row>
    <row r="277" spans="2:4">
      <c r="B277" s="144"/>
      <c r="C277" s="144"/>
      <c r="D277" s="152"/>
    </row>
    <row r="278" spans="2:4">
      <c r="B278" s="144"/>
      <c r="C278" s="144"/>
      <c r="D278" s="152"/>
    </row>
    <row r="279" spans="2:4">
      <c r="B279" s="144"/>
      <c r="C279" s="144"/>
      <c r="D279" s="152"/>
    </row>
    <row r="280" spans="2:4">
      <c r="B280" s="144"/>
      <c r="C280" s="144"/>
      <c r="D280" s="152"/>
    </row>
    <row r="281" spans="2:4">
      <c r="B281" s="144"/>
      <c r="C281" s="144"/>
      <c r="D281" s="152"/>
    </row>
    <row r="282" spans="2:4">
      <c r="B282" s="144"/>
      <c r="C282" s="144"/>
      <c r="D282" s="152"/>
    </row>
    <row r="283" spans="2:4">
      <c r="B283" s="144"/>
      <c r="C283" s="144"/>
      <c r="D283" s="152"/>
    </row>
    <row r="284" spans="2:4">
      <c r="B284" s="144"/>
      <c r="C284" s="144"/>
      <c r="D284" s="152"/>
    </row>
    <row r="285" spans="2:4">
      <c r="B285" s="144"/>
      <c r="C285" s="144"/>
      <c r="D285" s="152"/>
    </row>
    <row r="286" spans="2:4">
      <c r="B286" s="144"/>
      <c r="C286" s="144"/>
      <c r="D286" s="152"/>
    </row>
    <row r="287" spans="2:4">
      <c r="B287" s="144"/>
      <c r="C287" s="144"/>
      <c r="D287" s="152"/>
    </row>
    <row r="288" spans="2:4">
      <c r="B288" s="144"/>
      <c r="C288" s="144"/>
      <c r="D288" s="152"/>
    </row>
    <row r="289" spans="2:4">
      <c r="B289" s="144"/>
      <c r="C289" s="144"/>
      <c r="D289" s="152"/>
    </row>
    <row r="290" spans="2:4">
      <c r="B290" s="144"/>
      <c r="C290" s="144"/>
      <c r="D290" s="152"/>
    </row>
    <row r="291" spans="2:4">
      <c r="B291" s="144"/>
      <c r="C291" s="144"/>
      <c r="D291" s="152"/>
    </row>
    <row r="292" spans="2:4">
      <c r="B292" s="144"/>
      <c r="C292" s="144"/>
      <c r="D292" s="152"/>
    </row>
    <row r="293" spans="2:4">
      <c r="B293" s="144"/>
      <c r="C293" s="144"/>
      <c r="D293" s="152"/>
    </row>
    <row r="294" spans="2:4">
      <c r="B294" s="144"/>
      <c r="C294" s="144"/>
      <c r="D294" s="152"/>
    </row>
    <row r="295" spans="2:4">
      <c r="B295" s="144"/>
      <c r="C295" s="144"/>
      <c r="D295" s="152"/>
    </row>
    <row r="296" spans="2:4">
      <c r="B296" s="144"/>
      <c r="C296" s="144"/>
      <c r="D296" s="152"/>
    </row>
    <row r="297" spans="2:4">
      <c r="B297" s="144"/>
      <c r="C297" s="144"/>
      <c r="D297" s="152"/>
    </row>
    <row r="298" spans="2:4">
      <c r="B298" s="144"/>
      <c r="C298" s="144"/>
      <c r="D298" s="152"/>
    </row>
    <row r="299" spans="2:4">
      <c r="B299" s="144"/>
      <c r="C299" s="144"/>
      <c r="D299" s="152"/>
    </row>
    <row r="300" spans="2:4">
      <c r="B300" s="144"/>
      <c r="C300" s="144"/>
      <c r="D300" s="152"/>
    </row>
    <row r="301" spans="2:4">
      <c r="B301" s="144"/>
      <c r="C301" s="144"/>
      <c r="D301" s="152"/>
    </row>
    <row r="302" spans="2:4">
      <c r="B302" s="144"/>
      <c r="C302" s="144"/>
      <c r="D302" s="152"/>
    </row>
    <row r="303" spans="2:4">
      <c r="B303" s="144"/>
      <c r="C303" s="144"/>
      <c r="D303" s="152"/>
    </row>
    <row r="304" spans="2:4">
      <c r="B304" s="144"/>
      <c r="C304" s="144"/>
      <c r="D304" s="152"/>
    </row>
    <row r="305" spans="2:4">
      <c r="B305" s="144"/>
      <c r="C305" s="144"/>
      <c r="D305" s="152"/>
    </row>
    <row r="306" spans="2:4">
      <c r="B306" s="144"/>
      <c r="C306" s="144"/>
      <c r="D306" s="152"/>
    </row>
    <row r="307" spans="2:4">
      <c r="B307" s="144"/>
      <c r="C307" s="144"/>
      <c r="D307" s="152"/>
    </row>
    <row r="308" spans="2:4">
      <c r="B308" s="144"/>
      <c r="C308" s="144"/>
      <c r="D308" s="152"/>
    </row>
    <row r="309" spans="2:4">
      <c r="B309" s="144"/>
      <c r="C309" s="144"/>
      <c r="D309" s="152"/>
    </row>
    <row r="310" spans="2:4">
      <c r="B310" s="144"/>
      <c r="C310" s="144"/>
      <c r="D310" s="152"/>
    </row>
    <row r="311" spans="2:4">
      <c r="B311" s="144"/>
      <c r="C311" s="144"/>
      <c r="D311" s="152"/>
    </row>
    <row r="312" spans="2:4">
      <c r="B312" s="144"/>
      <c r="C312" s="144"/>
      <c r="D312" s="152"/>
    </row>
    <row r="313" spans="2:4">
      <c r="B313" s="144"/>
      <c r="C313" s="144"/>
      <c r="D313" s="152"/>
    </row>
    <row r="314" spans="2:4">
      <c r="B314" s="144"/>
      <c r="C314" s="144"/>
      <c r="D314" s="152"/>
    </row>
    <row r="315" spans="2:4">
      <c r="B315" s="144"/>
      <c r="C315" s="144"/>
      <c r="D315" s="152"/>
    </row>
    <row r="316" spans="2:4">
      <c r="B316" s="144"/>
      <c r="C316" s="144"/>
      <c r="D316" s="152"/>
    </row>
    <row r="317" spans="2:4">
      <c r="B317" s="144"/>
      <c r="C317" s="144"/>
      <c r="D317" s="152"/>
    </row>
    <row r="318" spans="2:4">
      <c r="B318" s="144"/>
      <c r="C318" s="144"/>
      <c r="D318" s="152"/>
    </row>
    <row r="319" spans="2:4">
      <c r="B319" s="144"/>
      <c r="C319" s="144"/>
      <c r="D319" s="152"/>
    </row>
    <row r="320" spans="2:4">
      <c r="B320" s="144"/>
      <c r="C320" s="144"/>
      <c r="D320" s="152"/>
    </row>
    <row r="321" spans="2:4">
      <c r="B321" s="144"/>
      <c r="C321" s="144"/>
      <c r="D321" s="152"/>
    </row>
    <row r="322" spans="2:4">
      <c r="B322" s="144"/>
      <c r="C322" s="144"/>
      <c r="D322" s="152"/>
    </row>
    <row r="323" spans="2:4">
      <c r="B323" s="144"/>
      <c r="C323" s="144"/>
      <c r="D323" s="152"/>
    </row>
    <row r="324" spans="2:4">
      <c r="B324" s="144"/>
      <c r="C324" s="144"/>
      <c r="D324" s="152"/>
    </row>
    <row r="325" spans="2:4">
      <c r="B325" s="144"/>
      <c r="C325" s="144"/>
      <c r="D325" s="152"/>
    </row>
    <row r="326" spans="2:4">
      <c r="B326" s="144"/>
      <c r="C326" s="144"/>
      <c r="D326" s="152"/>
    </row>
    <row r="327" spans="2:4">
      <c r="B327" s="144"/>
      <c r="C327" s="144"/>
      <c r="D327" s="152"/>
    </row>
    <row r="328" spans="2:4">
      <c r="B328" s="144"/>
      <c r="C328" s="144"/>
      <c r="D328" s="152"/>
    </row>
    <row r="329" spans="2:4">
      <c r="B329" s="144"/>
      <c r="C329" s="144"/>
      <c r="D329" s="152"/>
    </row>
    <row r="330" spans="2:4">
      <c r="B330" s="144"/>
      <c r="C330" s="144"/>
      <c r="D330" s="152"/>
    </row>
    <row r="331" spans="2:4">
      <c r="B331" s="144"/>
      <c r="C331" s="144"/>
      <c r="D331" s="152"/>
    </row>
    <row r="332" spans="2:4">
      <c r="B332" s="144"/>
      <c r="C332" s="144"/>
      <c r="D332" s="152"/>
    </row>
    <row r="333" spans="2:4">
      <c r="B333" s="144"/>
      <c r="C333" s="144"/>
      <c r="D333" s="152"/>
    </row>
    <row r="334" spans="2:4">
      <c r="B334" s="144"/>
      <c r="C334" s="144"/>
      <c r="D334" s="152"/>
    </row>
    <row r="335" spans="2:4">
      <c r="B335" s="144"/>
      <c r="C335" s="144"/>
      <c r="D335" s="152"/>
    </row>
    <row r="336" spans="2:4">
      <c r="B336" s="144"/>
      <c r="C336" s="144"/>
      <c r="D336" s="152"/>
    </row>
    <row r="337" spans="2:4">
      <c r="B337" s="144"/>
      <c r="C337" s="144"/>
      <c r="D337" s="152"/>
    </row>
    <row r="338" spans="2:4">
      <c r="B338" s="144"/>
      <c r="C338" s="144"/>
      <c r="D338" s="152"/>
    </row>
    <row r="339" spans="2:4">
      <c r="B339" s="144"/>
      <c r="C339" s="144"/>
      <c r="D339" s="152"/>
    </row>
    <row r="340" spans="2:4">
      <c r="B340" s="144"/>
      <c r="C340" s="144"/>
      <c r="D340" s="152"/>
    </row>
    <row r="341" spans="2:4">
      <c r="B341" s="144"/>
      <c r="C341" s="144"/>
      <c r="D341" s="152"/>
    </row>
    <row r="342" spans="2:4">
      <c r="B342" s="144"/>
      <c r="C342" s="144"/>
      <c r="D342" s="152"/>
    </row>
    <row r="343" spans="2:4">
      <c r="B343" s="144"/>
      <c r="C343" s="144"/>
      <c r="D343" s="152"/>
    </row>
    <row r="344" spans="2:4">
      <c r="B344" s="144"/>
      <c r="C344" s="144"/>
      <c r="D344" s="152"/>
    </row>
    <row r="345" spans="2:4">
      <c r="B345" s="144"/>
      <c r="C345" s="144"/>
      <c r="D345" s="152"/>
    </row>
    <row r="346" spans="2:4">
      <c r="B346" s="144"/>
      <c r="C346" s="144"/>
      <c r="D346" s="152"/>
    </row>
    <row r="347" spans="2:4">
      <c r="B347" s="144"/>
      <c r="C347" s="144"/>
      <c r="D347" s="152"/>
    </row>
    <row r="348" spans="2:4">
      <c r="B348" s="144"/>
      <c r="C348" s="144"/>
      <c r="D348" s="152"/>
    </row>
    <row r="349" spans="2:4">
      <c r="B349" s="144"/>
      <c r="C349" s="144"/>
      <c r="D349" s="152"/>
    </row>
    <row r="350" spans="2:4">
      <c r="B350" s="144"/>
      <c r="C350" s="144"/>
      <c r="D350" s="152"/>
    </row>
    <row r="351" spans="2:4">
      <c r="B351" s="144"/>
      <c r="C351" s="144"/>
      <c r="D351" s="152"/>
    </row>
    <row r="352" spans="2:4">
      <c r="B352" s="144"/>
      <c r="C352" s="144"/>
      <c r="D352" s="152"/>
    </row>
    <row r="353" spans="2:4">
      <c r="B353" s="144"/>
      <c r="C353" s="144"/>
      <c r="D353" s="152"/>
    </row>
    <row r="354" spans="2:4">
      <c r="B354" s="144"/>
      <c r="C354" s="144"/>
      <c r="D354" s="152"/>
    </row>
    <row r="355" spans="2:4">
      <c r="B355" s="144"/>
      <c r="C355" s="144"/>
      <c r="D355" s="152"/>
    </row>
    <row r="356" spans="2:4">
      <c r="B356" s="144"/>
      <c r="C356" s="144"/>
      <c r="D356" s="152"/>
    </row>
    <row r="357" spans="2:4">
      <c r="B357" s="144"/>
      <c r="C357" s="144"/>
      <c r="D357" s="152"/>
    </row>
    <row r="358" spans="2:4">
      <c r="B358" s="144"/>
      <c r="C358" s="144"/>
      <c r="D358" s="152"/>
    </row>
    <row r="359" spans="2:4">
      <c r="B359" s="144"/>
      <c r="C359" s="144"/>
      <c r="D359" s="152"/>
    </row>
    <row r="360" spans="2:4">
      <c r="B360" s="144"/>
      <c r="C360" s="144"/>
      <c r="D360" s="152"/>
    </row>
    <row r="361" spans="2:4">
      <c r="B361" s="144"/>
      <c r="C361" s="144"/>
      <c r="D361" s="152"/>
    </row>
    <row r="362" spans="2:4">
      <c r="B362" s="144"/>
      <c r="C362" s="144"/>
      <c r="D362" s="152"/>
    </row>
    <row r="363" spans="2:4">
      <c r="B363" s="144"/>
      <c r="C363" s="144"/>
      <c r="D363" s="152"/>
    </row>
    <row r="364" spans="2:4">
      <c r="B364" s="144"/>
      <c r="C364" s="144"/>
      <c r="D364" s="152"/>
    </row>
    <row r="365" spans="2:4">
      <c r="B365" s="144"/>
      <c r="C365" s="144"/>
      <c r="D365" s="152"/>
    </row>
    <row r="366" spans="2:4">
      <c r="B366" s="144"/>
      <c r="C366" s="144"/>
      <c r="D366" s="152"/>
    </row>
    <row r="367" spans="2:4">
      <c r="B367" s="144"/>
      <c r="C367" s="144"/>
      <c r="D367" s="152"/>
    </row>
    <row r="368" spans="2:4">
      <c r="B368" s="144"/>
      <c r="C368" s="144"/>
      <c r="D368" s="152"/>
    </row>
    <row r="369" spans="2:4">
      <c r="B369" s="144"/>
      <c r="C369" s="144"/>
      <c r="D369" s="152"/>
    </row>
    <row r="370" spans="2:4">
      <c r="B370" s="144"/>
      <c r="C370" s="144"/>
      <c r="D370" s="152"/>
    </row>
    <row r="371" spans="2:4">
      <c r="B371" s="144"/>
      <c r="C371" s="144"/>
      <c r="D371" s="152"/>
    </row>
    <row r="372" spans="2:4">
      <c r="B372" s="144"/>
      <c r="C372" s="144"/>
      <c r="D372" s="152"/>
    </row>
    <row r="373" spans="2:4">
      <c r="B373" s="144"/>
      <c r="C373" s="144"/>
      <c r="D373" s="152"/>
    </row>
    <row r="374" spans="2:4">
      <c r="B374" s="144"/>
      <c r="C374" s="144"/>
      <c r="D374" s="152"/>
    </row>
    <row r="375" spans="2:4">
      <c r="B375" s="144"/>
      <c r="C375" s="144"/>
      <c r="D375" s="152"/>
    </row>
    <row r="376" spans="2:4">
      <c r="B376" s="144"/>
      <c r="C376" s="144"/>
      <c r="D376" s="152"/>
    </row>
    <row r="377" spans="2:4">
      <c r="B377" s="144"/>
      <c r="C377" s="144"/>
      <c r="D377" s="152"/>
    </row>
    <row r="378" spans="2:4">
      <c r="B378" s="144"/>
      <c r="C378" s="144"/>
      <c r="D378" s="152"/>
    </row>
    <row r="379" spans="2:4">
      <c r="B379" s="144"/>
      <c r="C379" s="144"/>
      <c r="D379" s="152"/>
    </row>
    <row r="380" spans="2:4">
      <c r="B380" s="144"/>
      <c r="C380" s="144"/>
      <c r="D380" s="152"/>
    </row>
    <row r="381" spans="2:4">
      <c r="B381" s="144"/>
      <c r="C381" s="144"/>
      <c r="D381" s="152"/>
    </row>
    <row r="382" spans="2:4">
      <c r="B382" s="144"/>
      <c r="C382" s="144"/>
      <c r="D382" s="152"/>
    </row>
    <row r="383" spans="2:4">
      <c r="B383" s="144"/>
      <c r="C383" s="144"/>
      <c r="D383" s="152"/>
    </row>
    <row r="384" spans="2:4">
      <c r="B384" s="144"/>
      <c r="C384" s="144"/>
      <c r="D384" s="152"/>
    </row>
    <row r="385" spans="2:4">
      <c r="B385" s="144"/>
      <c r="C385" s="144"/>
      <c r="D385" s="152"/>
    </row>
    <row r="386" spans="2:4">
      <c r="B386" s="144"/>
      <c r="C386" s="144"/>
      <c r="D386" s="152"/>
    </row>
    <row r="387" spans="2:4">
      <c r="B387" s="144"/>
      <c r="C387" s="144"/>
      <c r="D387" s="152"/>
    </row>
    <row r="388" spans="2:4">
      <c r="B388" s="144"/>
      <c r="C388" s="144"/>
      <c r="D388" s="152"/>
    </row>
    <row r="389" spans="2:4">
      <c r="B389" s="144"/>
      <c r="C389" s="144"/>
      <c r="D389" s="152"/>
    </row>
    <row r="390" spans="2:4">
      <c r="B390" s="144"/>
      <c r="C390" s="144"/>
      <c r="D390" s="152"/>
    </row>
    <row r="391" spans="2:4">
      <c r="B391" s="144"/>
      <c r="C391" s="144"/>
      <c r="D391" s="152"/>
    </row>
    <row r="392" spans="2:4">
      <c r="B392" s="144"/>
      <c r="C392" s="144"/>
      <c r="D392" s="152"/>
    </row>
    <row r="393" spans="2:4">
      <c r="B393" s="144"/>
      <c r="C393" s="144"/>
      <c r="D393" s="152"/>
    </row>
    <row r="394" spans="2:4">
      <c r="B394" s="144"/>
      <c r="C394" s="144"/>
      <c r="D394" s="152"/>
    </row>
    <row r="395" spans="2:4">
      <c r="B395" s="144"/>
      <c r="C395" s="144"/>
      <c r="D395" s="152"/>
    </row>
    <row r="396" spans="2:4">
      <c r="B396" s="144"/>
      <c r="C396" s="144"/>
      <c r="D396" s="152"/>
    </row>
    <row r="397" spans="2:4">
      <c r="B397" s="144"/>
      <c r="C397" s="144"/>
      <c r="D397" s="152"/>
    </row>
    <row r="398" spans="2:4">
      <c r="B398" s="144"/>
      <c r="C398" s="144"/>
      <c r="D398" s="152"/>
    </row>
    <row r="399" spans="2:4">
      <c r="B399" s="144"/>
      <c r="C399" s="144"/>
      <c r="D399" s="152"/>
    </row>
    <row r="400" spans="2:4">
      <c r="B400" s="144"/>
      <c r="C400" s="144"/>
      <c r="D400" s="152"/>
    </row>
    <row r="401" spans="2:4">
      <c r="B401" s="144"/>
      <c r="C401" s="144"/>
      <c r="D401" s="152"/>
    </row>
    <row r="402" spans="2:4">
      <c r="B402" s="144"/>
      <c r="C402" s="144"/>
      <c r="D402" s="152"/>
    </row>
    <row r="403" spans="2:4">
      <c r="B403" s="144"/>
      <c r="C403" s="144"/>
      <c r="D403" s="152"/>
    </row>
    <row r="404" spans="2:4">
      <c r="B404" s="144"/>
      <c r="C404" s="144"/>
      <c r="D404" s="152"/>
    </row>
    <row r="405" spans="2:4">
      <c r="B405" s="144"/>
      <c r="C405" s="144"/>
      <c r="D405" s="152"/>
    </row>
    <row r="406" spans="2:4">
      <c r="B406" s="144"/>
      <c r="C406" s="144"/>
      <c r="D406" s="152"/>
    </row>
    <row r="407" spans="2:4">
      <c r="B407" s="144"/>
      <c r="C407" s="144"/>
      <c r="D407" s="152"/>
    </row>
    <row r="408" spans="2:4">
      <c r="B408" s="144"/>
      <c r="C408" s="144"/>
      <c r="D408" s="152"/>
    </row>
    <row r="409" spans="2:4">
      <c r="B409" s="144"/>
      <c r="C409" s="144"/>
      <c r="D409" s="152"/>
    </row>
    <row r="410" spans="2:4">
      <c r="B410" s="144"/>
      <c r="C410" s="144"/>
      <c r="D410" s="152"/>
    </row>
    <row r="411" spans="2:4">
      <c r="B411" s="144"/>
      <c r="C411" s="144"/>
      <c r="D411" s="152"/>
    </row>
    <row r="412" spans="2:4">
      <c r="B412" s="144"/>
      <c r="C412" s="144"/>
      <c r="D412" s="152"/>
    </row>
    <row r="413" spans="2:4">
      <c r="B413" s="144"/>
      <c r="C413" s="144"/>
      <c r="D413" s="152"/>
    </row>
    <row r="414" spans="2:4">
      <c r="B414" s="144"/>
      <c r="C414" s="144"/>
      <c r="D414" s="152"/>
    </row>
    <row r="415" spans="2:4">
      <c r="B415" s="144"/>
      <c r="C415" s="144"/>
      <c r="D415" s="152"/>
    </row>
    <row r="416" spans="2:4">
      <c r="B416" s="144"/>
      <c r="C416" s="144"/>
      <c r="D416" s="152"/>
    </row>
    <row r="417" spans="2:4">
      <c r="B417" s="144"/>
      <c r="C417" s="144"/>
      <c r="D417" s="152"/>
    </row>
    <row r="418" spans="2:4">
      <c r="B418" s="144"/>
      <c r="C418" s="144"/>
      <c r="D418" s="152"/>
    </row>
    <row r="419" spans="2:4">
      <c r="B419" s="144"/>
      <c r="C419" s="144"/>
      <c r="D419" s="152"/>
    </row>
    <row r="420" spans="2:4">
      <c r="B420" s="144"/>
      <c r="C420" s="144"/>
      <c r="D420" s="152"/>
    </row>
    <row r="421" spans="2:4">
      <c r="B421" s="144"/>
      <c r="C421" s="144"/>
      <c r="D421" s="152"/>
    </row>
    <row r="422" spans="2:4">
      <c r="B422" s="144"/>
      <c r="C422" s="144"/>
      <c r="D422" s="152"/>
    </row>
    <row r="423" spans="2:4">
      <c r="B423" s="144"/>
      <c r="C423" s="144"/>
      <c r="D423" s="152"/>
    </row>
    <row r="424" spans="2:4">
      <c r="B424" s="144"/>
      <c r="C424" s="144"/>
      <c r="D424" s="152"/>
    </row>
    <row r="425" spans="2:4">
      <c r="B425" s="144"/>
      <c r="C425" s="144"/>
      <c r="D425" s="152"/>
    </row>
    <row r="426" spans="2:4">
      <c r="B426" s="144"/>
      <c r="C426" s="144"/>
      <c r="D426" s="152"/>
    </row>
    <row r="427" spans="2:4">
      <c r="B427" s="144"/>
      <c r="C427" s="144"/>
      <c r="D427" s="152"/>
    </row>
    <row r="428" spans="2:4">
      <c r="B428" s="144"/>
      <c r="C428" s="144"/>
      <c r="D428" s="152"/>
    </row>
    <row r="429" spans="2:4">
      <c r="B429" s="144"/>
      <c r="C429" s="144"/>
      <c r="D429" s="152"/>
    </row>
    <row r="430" spans="2:4">
      <c r="B430" s="144"/>
      <c r="C430" s="144"/>
      <c r="D430" s="152"/>
    </row>
    <row r="431" spans="2:4">
      <c r="B431" s="144"/>
      <c r="C431" s="144"/>
      <c r="D431" s="152"/>
    </row>
    <row r="432" spans="2:4">
      <c r="B432" s="144"/>
      <c r="C432" s="144"/>
      <c r="D432" s="152"/>
    </row>
    <row r="433" spans="2:4">
      <c r="B433" s="144"/>
      <c r="C433" s="144"/>
      <c r="D433" s="152"/>
    </row>
    <row r="434" spans="2:4">
      <c r="B434" s="144"/>
      <c r="C434" s="144"/>
      <c r="D434" s="152"/>
    </row>
    <row r="435" spans="2:4">
      <c r="B435" s="144"/>
      <c r="C435" s="144"/>
      <c r="D435" s="152"/>
    </row>
    <row r="436" spans="2:4">
      <c r="B436" s="144"/>
      <c r="C436" s="144"/>
      <c r="D436" s="152"/>
    </row>
    <row r="437" spans="2:4">
      <c r="B437" s="144"/>
      <c r="C437" s="144"/>
      <c r="D437" s="152"/>
    </row>
    <row r="438" spans="2:4">
      <c r="B438" s="144"/>
      <c r="C438" s="144"/>
      <c r="D438" s="152"/>
    </row>
    <row r="439" spans="2:4">
      <c r="B439" s="144"/>
      <c r="C439" s="144"/>
      <c r="D439" s="152"/>
    </row>
    <row r="440" spans="2:4">
      <c r="B440" s="144"/>
      <c r="C440" s="144"/>
      <c r="D440" s="152"/>
    </row>
    <row r="441" spans="2:4">
      <c r="B441" s="144"/>
      <c r="C441" s="144"/>
      <c r="D441" s="152"/>
    </row>
    <row r="442" spans="2:4">
      <c r="B442" s="144"/>
      <c r="C442" s="144"/>
      <c r="D442" s="152"/>
    </row>
    <row r="443" spans="2:4">
      <c r="B443" s="144"/>
      <c r="C443" s="144"/>
      <c r="D443" s="152"/>
    </row>
    <row r="444" spans="2:4">
      <c r="B444" s="144"/>
      <c r="C444" s="144"/>
      <c r="D444" s="152"/>
    </row>
    <row r="445" spans="2:4">
      <c r="B445" s="144"/>
      <c r="C445" s="144"/>
      <c r="D445" s="152"/>
    </row>
    <row r="446" spans="2:4">
      <c r="B446" s="144"/>
      <c r="C446" s="144"/>
      <c r="D446" s="152"/>
    </row>
    <row r="447" spans="2:4">
      <c r="B447" s="144"/>
      <c r="C447" s="144"/>
      <c r="D447" s="152"/>
    </row>
    <row r="448" spans="2:4">
      <c r="B448" s="144"/>
      <c r="C448" s="144"/>
      <c r="D448" s="152"/>
    </row>
    <row r="449" spans="2:4">
      <c r="B449" s="144"/>
      <c r="C449" s="144"/>
      <c r="D449" s="152"/>
    </row>
    <row r="450" spans="2:4">
      <c r="B450" s="144"/>
      <c r="C450" s="144"/>
      <c r="D450" s="152"/>
    </row>
    <row r="451" spans="2:4">
      <c r="B451" s="144"/>
      <c r="C451" s="144"/>
      <c r="D451" s="152"/>
    </row>
    <row r="452" spans="2:4">
      <c r="B452" s="144"/>
      <c r="C452" s="144"/>
      <c r="D452" s="152"/>
    </row>
    <row r="453" spans="2:4">
      <c r="B453" s="144"/>
      <c r="C453" s="144"/>
      <c r="D453" s="152"/>
    </row>
    <row r="454" spans="2:4">
      <c r="B454" s="144"/>
      <c r="C454" s="144"/>
      <c r="D454" s="152"/>
    </row>
    <row r="455" spans="2:4">
      <c r="B455" s="144"/>
      <c r="C455" s="144"/>
      <c r="D455" s="152"/>
    </row>
    <row r="456" spans="2:4">
      <c r="B456" s="144"/>
      <c r="C456" s="144"/>
      <c r="D456" s="152"/>
    </row>
    <row r="457" spans="2:4">
      <c r="B457" s="144"/>
      <c r="C457" s="144"/>
      <c r="D457" s="152"/>
    </row>
    <row r="458" spans="2:4">
      <c r="B458" s="144"/>
      <c r="C458" s="144"/>
      <c r="D458" s="152"/>
    </row>
    <row r="459" spans="2:4">
      <c r="B459" s="144"/>
      <c r="C459" s="144"/>
      <c r="D459" s="152"/>
    </row>
    <row r="460" spans="2:4">
      <c r="B460" s="144"/>
      <c r="C460" s="144"/>
      <c r="D460" s="152"/>
    </row>
    <row r="461" spans="2:4">
      <c r="B461" s="144"/>
      <c r="C461" s="144"/>
      <c r="D461" s="152"/>
    </row>
    <row r="462" spans="2:4">
      <c r="B462" s="144"/>
      <c r="C462" s="144"/>
      <c r="D462" s="152"/>
    </row>
    <row r="463" spans="2:4">
      <c r="B463" s="144"/>
      <c r="C463" s="144"/>
      <c r="D463" s="152"/>
    </row>
    <row r="464" spans="2:4">
      <c r="B464" s="144"/>
      <c r="C464" s="144"/>
      <c r="D464" s="152"/>
    </row>
    <row r="465" spans="2:4">
      <c r="B465" s="144"/>
      <c r="C465" s="144"/>
      <c r="D465" s="152"/>
    </row>
    <row r="466" spans="2:4">
      <c r="B466" s="144"/>
      <c r="C466" s="144"/>
      <c r="D466" s="152"/>
    </row>
    <row r="467" spans="2:4">
      <c r="B467" s="144"/>
      <c r="C467" s="144"/>
      <c r="D467" s="152"/>
    </row>
    <row r="468" spans="2:4">
      <c r="B468" s="144"/>
      <c r="C468" s="144"/>
      <c r="D468" s="152"/>
    </row>
    <row r="469" spans="2:4">
      <c r="B469" s="144"/>
      <c r="C469" s="144"/>
      <c r="D469" s="152"/>
    </row>
    <row r="470" spans="2:4">
      <c r="B470" s="144"/>
      <c r="C470" s="144"/>
      <c r="D470" s="152"/>
    </row>
    <row r="471" spans="2:4">
      <c r="B471" s="144"/>
      <c r="C471" s="144"/>
      <c r="D471" s="152"/>
    </row>
    <row r="472" spans="2:4">
      <c r="B472" s="144"/>
      <c r="C472" s="144"/>
      <c r="D472" s="152"/>
    </row>
    <row r="473" spans="2:4">
      <c r="B473" s="144"/>
      <c r="C473" s="144"/>
      <c r="D473" s="152"/>
    </row>
    <row r="474" spans="2:4">
      <c r="B474" s="144"/>
      <c r="C474" s="144"/>
      <c r="D474" s="152"/>
    </row>
    <row r="475" spans="2:4">
      <c r="B475" s="144"/>
      <c r="C475" s="144"/>
      <c r="D475" s="152"/>
    </row>
    <row r="476" spans="2:4">
      <c r="B476" s="144"/>
      <c r="C476" s="144"/>
      <c r="D476" s="152"/>
    </row>
    <row r="477" spans="2:4">
      <c r="B477" s="144"/>
      <c r="C477" s="144"/>
      <c r="D477" s="152"/>
    </row>
    <row r="478" spans="2:4">
      <c r="B478" s="144"/>
      <c r="C478" s="144"/>
      <c r="D478" s="152"/>
    </row>
    <row r="479" spans="2:4">
      <c r="B479" s="144"/>
      <c r="C479" s="144"/>
      <c r="D479" s="152"/>
    </row>
    <row r="480" spans="2:4">
      <c r="B480" s="144"/>
      <c r="C480" s="144"/>
      <c r="D480" s="152"/>
    </row>
    <row r="481" spans="2:4">
      <c r="B481" s="144"/>
      <c r="C481" s="144"/>
      <c r="D481" s="152"/>
    </row>
    <row r="482" spans="2:4">
      <c r="B482" s="144"/>
      <c r="C482" s="144"/>
      <c r="D482" s="152"/>
    </row>
    <row r="483" spans="2:4">
      <c r="B483" s="144"/>
      <c r="C483" s="144"/>
      <c r="D483" s="152"/>
    </row>
    <row r="484" spans="2:4">
      <c r="B484" s="144"/>
      <c r="C484" s="144"/>
      <c r="D484" s="152"/>
    </row>
    <row r="485" spans="2:4">
      <c r="B485" s="144"/>
      <c r="C485" s="144"/>
      <c r="D485" s="152"/>
    </row>
    <row r="486" spans="2:4">
      <c r="B486" s="144"/>
      <c r="C486" s="144"/>
      <c r="D486" s="152"/>
    </row>
    <row r="487" spans="2:4">
      <c r="B487" s="144"/>
      <c r="C487" s="144"/>
      <c r="D487" s="152"/>
    </row>
    <row r="488" spans="2:4">
      <c r="B488" s="144"/>
      <c r="C488" s="144"/>
      <c r="D488" s="152"/>
    </row>
    <row r="489" spans="2:4">
      <c r="B489" s="144"/>
      <c r="C489" s="144"/>
      <c r="D489" s="152"/>
    </row>
    <row r="490" spans="2:4">
      <c r="B490" s="144"/>
      <c r="C490" s="144"/>
      <c r="D490" s="152"/>
    </row>
    <row r="491" spans="2:4">
      <c r="B491" s="144"/>
      <c r="C491" s="144"/>
      <c r="D491" s="152"/>
    </row>
    <row r="492" spans="2:4">
      <c r="B492" s="144"/>
      <c r="C492" s="144"/>
      <c r="D492" s="152"/>
    </row>
    <row r="493" spans="2:4">
      <c r="B493" s="144"/>
      <c r="C493" s="144"/>
      <c r="D493" s="152"/>
    </row>
    <row r="494" spans="2:4">
      <c r="B494" s="144"/>
      <c r="C494" s="144"/>
      <c r="D494" s="152"/>
    </row>
    <row r="495" spans="2:4">
      <c r="B495" s="144"/>
      <c r="C495" s="144"/>
      <c r="D495" s="152"/>
    </row>
    <row r="496" spans="2:4">
      <c r="B496" s="144"/>
      <c r="C496" s="144"/>
      <c r="D496" s="152"/>
    </row>
    <row r="497" spans="2:4">
      <c r="B497" s="144"/>
      <c r="C497" s="144"/>
      <c r="D497" s="152"/>
    </row>
    <row r="498" spans="2:4">
      <c r="B498" s="144"/>
      <c r="C498" s="144"/>
      <c r="D498" s="152"/>
    </row>
    <row r="499" spans="2:4">
      <c r="B499" s="144"/>
      <c r="C499" s="144"/>
      <c r="D499" s="152"/>
    </row>
    <row r="500" spans="2:4">
      <c r="B500" s="144"/>
      <c r="C500" s="144"/>
      <c r="D500" s="152"/>
    </row>
    <row r="501" spans="2:4">
      <c r="B501" s="144"/>
      <c r="C501" s="144"/>
      <c r="D501" s="152"/>
    </row>
    <row r="502" spans="2:4">
      <c r="B502" s="144"/>
      <c r="C502" s="144"/>
      <c r="D502" s="152"/>
    </row>
    <row r="503" spans="2:4">
      <c r="B503" s="144"/>
      <c r="C503" s="144"/>
      <c r="D503" s="152"/>
    </row>
    <row r="504" spans="2:4">
      <c r="B504" s="144"/>
      <c r="C504" s="144"/>
      <c r="D504" s="152"/>
    </row>
    <row r="505" spans="2:4">
      <c r="B505" s="144"/>
      <c r="C505" s="144"/>
      <c r="D505" s="152"/>
    </row>
    <row r="506" spans="2:4">
      <c r="B506" s="144"/>
      <c r="C506" s="144"/>
      <c r="D506" s="152"/>
    </row>
    <row r="507" spans="2:4">
      <c r="B507" s="144"/>
      <c r="C507" s="144"/>
      <c r="D507" s="152"/>
    </row>
    <row r="508" spans="2:4">
      <c r="B508" s="144"/>
      <c r="C508" s="144"/>
      <c r="D508" s="152"/>
    </row>
    <row r="509" spans="2:4">
      <c r="B509" s="144"/>
      <c r="C509" s="144"/>
      <c r="D509" s="152"/>
    </row>
    <row r="510" spans="2:4">
      <c r="B510" s="144"/>
      <c r="C510" s="144"/>
      <c r="D510" s="152"/>
    </row>
    <row r="511" spans="2:4">
      <c r="B511" s="144"/>
      <c r="C511" s="144"/>
      <c r="D511" s="152"/>
    </row>
    <row r="512" spans="2:4">
      <c r="B512" s="144"/>
      <c r="C512" s="144"/>
      <c r="D512" s="152"/>
    </row>
    <row r="513" spans="2:4">
      <c r="B513" s="144"/>
      <c r="C513" s="144"/>
      <c r="D513" s="152"/>
    </row>
    <row r="514" spans="2:4">
      <c r="B514" s="144"/>
      <c r="C514" s="144"/>
      <c r="D514" s="152"/>
    </row>
    <row r="515" spans="2:4">
      <c r="B515" s="144"/>
      <c r="C515" s="144"/>
      <c r="D515" s="152"/>
    </row>
    <row r="516" spans="2:4">
      <c r="B516" s="144"/>
      <c r="C516" s="144"/>
      <c r="D516" s="152"/>
    </row>
    <row r="517" spans="2:4">
      <c r="B517" s="144"/>
      <c r="C517" s="144"/>
      <c r="D517" s="152"/>
    </row>
    <row r="518" spans="2:4">
      <c r="B518" s="144"/>
      <c r="C518" s="144"/>
      <c r="D518" s="152"/>
    </row>
    <row r="519" spans="2:4">
      <c r="B519" s="144"/>
      <c r="C519" s="144"/>
      <c r="D519" s="152"/>
    </row>
    <row r="520" spans="2:4">
      <c r="B520" s="144"/>
      <c r="C520" s="144"/>
      <c r="D520" s="152"/>
    </row>
    <row r="521" spans="2:4">
      <c r="B521" s="144"/>
      <c r="C521" s="144"/>
      <c r="D521" s="152"/>
    </row>
    <row r="522" spans="2:4">
      <c r="B522" s="144"/>
      <c r="C522" s="144"/>
      <c r="D522" s="152"/>
    </row>
    <row r="523" spans="2:4">
      <c r="B523" s="144"/>
      <c r="C523" s="144"/>
      <c r="D523" s="152"/>
    </row>
    <row r="524" spans="2:4">
      <c r="B524" s="144"/>
      <c r="C524" s="144"/>
      <c r="D524" s="152"/>
    </row>
    <row r="525" spans="2:4">
      <c r="B525" s="144"/>
      <c r="C525" s="144"/>
      <c r="D525" s="152"/>
    </row>
    <row r="526" spans="2:4">
      <c r="B526" s="144"/>
      <c r="C526" s="144"/>
      <c r="D526" s="152"/>
    </row>
    <row r="527" spans="2:4">
      <c r="B527" s="144"/>
      <c r="C527" s="144"/>
      <c r="D527" s="152"/>
    </row>
    <row r="528" spans="2:4">
      <c r="B528" s="144"/>
      <c r="C528" s="144"/>
      <c r="D528" s="152"/>
    </row>
    <row r="529" spans="2:4">
      <c r="B529" s="144"/>
      <c r="C529" s="144"/>
      <c r="D529" s="152"/>
    </row>
    <row r="530" spans="2:4">
      <c r="B530" s="144"/>
      <c r="C530" s="144"/>
      <c r="D530" s="152"/>
    </row>
    <row r="531" spans="2:4">
      <c r="B531" s="144"/>
      <c r="C531" s="144"/>
      <c r="D531" s="152"/>
    </row>
    <row r="532" spans="2:4">
      <c r="B532" s="144"/>
      <c r="C532" s="144"/>
      <c r="D532" s="152"/>
    </row>
    <row r="533" spans="2:4">
      <c r="B533" s="144"/>
      <c r="C533" s="144"/>
      <c r="D533" s="152"/>
    </row>
    <row r="534" spans="2:4">
      <c r="B534" s="144"/>
      <c r="C534" s="144"/>
      <c r="D534" s="152"/>
    </row>
    <row r="535" spans="2:4">
      <c r="B535" s="144"/>
      <c r="C535" s="144"/>
      <c r="D535" s="152"/>
    </row>
    <row r="536" spans="2:4">
      <c r="B536" s="144"/>
      <c r="C536" s="144"/>
      <c r="D536" s="152"/>
    </row>
    <row r="537" spans="2:4">
      <c r="B537" s="144"/>
      <c r="C537" s="144"/>
      <c r="D537" s="152"/>
    </row>
    <row r="538" spans="2:4">
      <c r="B538" s="144"/>
      <c r="C538" s="144"/>
      <c r="D538" s="152"/>
    </row>
    <row r="539" spans="2:4">
      <c r="B539" s="144"/>
      <c r="C539" s="144"/>
      <c r="D539" s="152"/>
    </row>
    <row r="540" spans="2:4">
      <c r="B540" s="144"/>
      <c r="C540" s="144"/>
      <c r="D540" s="152"/>
    </row>
    <row r="541" spans="2:4">
      <c r="B541" s="144"/>
      <c r="C541" s="144"/>
      <c r="D541" s="152"/>
    </row>
    <row r="542" spans="2:4">
      <c r="B542" s="144"/>
      <c r="C542" s="144"/>
      <c r="D542" s="152"/>
    </row>
    <row r="543" spans="2:4">
      <c r="B543" s="144"/>
      <c r="C543" s="144"/>
      <c r="D543" s="152"/>
    </row>
    <row r="544" spans="2:4">
      <c r="B544" s="144"/>
      <c r="C544" s="144"/>
      <c r="D544" s="152"/>
    </row>
    <row r="545" spans="2:4">
      <c r="B545" s="144"/>
      <c r="C545" s="144"/>
      <c r="D545" s="152"/>
    </row>
    <row r="546" spans="2:4">
      <c r="B546" s="144"/>
      <c r="C546" s="144"/>
      <c r="D546" s="152"/>
    </row>
    <row r="547" spans="2:4">
      <c r="B547" s="144"/>
      <c r="C547" s="144"/>
      <c r="D547" s="152"/>
    </row>
    <row r="548" spans="2:4">
      <c r="B548" s="144"/>
      <c r="C548" s="144"/>
      <c r="D548" s="152"/>
    </row>
    <row r="549" spans="2:4">
      <c r="B549" s="144"/>
      <c r="C549" s="144"/>
      <c r="D549" s="152"/>
    </row>
    <row r="550" spans="2:4">
      <c r="B550" s="144"/>
      <c r="C550" s="144"/>
      <c r="D550" s="152"/>
    </row>
    <row r="551" spans="2:4">
      <c r="B551" s="144"/>
      <c r="C551" s="144"/>
      <c r="D551" s="152"/>
    </row>
    <row r="552" spans="2:4">
      <c r="B552" s="144"/>
      <c r="C552" s="144"/>
      <c r="D552" s="152"/>
    </row>
    <row r="553" spans="2:4">
      <c r="B553" s="144"/>
      <c r="C553" s="144"/>
      <c r="D553" s="152"/>
    </row>
    <row r="554" spans="2:4">
      <c r="B554" s="144"/>
      <c r="C554" s="144"/>
      <c r="D554" s="152"/>
    </row>
    <row r="555" spans="2:4">
      <c r="B555" s="144"/>
      <c r="C555" s="144"/>
      <c r="D555" s="152"/>
    </row>
    <row r="556" spans="2:4">
      <c r="B556" s="144"/>
      <c r="C556" s="144"/>
      <c r="D556" s="152"/>
    </row>
    <row r="557" spans="2:4">
      <c r="B557" s="144"/>
      <c r="C557" s="144"/>
      <c r="D557" s="152"/>
    </row>
    <row r="558" spans="2:4">
      <c r="B558" s="144"/>
      <c r="C558" s="144"/>
      <c r="D558" s="152"/>
    </row>
    <row r="559" spans="2:4">
      <c r="B559" s="144"/>
      <c r="C559" s="144"/>
      <c r="D559" s="152"/>
    </row>
    <row r="560" spans="2:4">
      <c r="B560" s="144"/>
      <c r="C560" s="144"/>
      <c r="D560" s="152"/>
    </row>
    <row r="561" spans="2:4">
      <c r="B561" s="144"/>
      <c r="C561" s="144"/>
      <c r="D561" s="152"/>
    </row>
    <row r="562" spans="2:4">
      <c r="B562" s="144"/>
      <c r="C562" s="144"/>
      <c r="D562" s="152"/>
    </row>
    <row r="563" spans="2:4">
      <c r="B563" s="144"/>
      <c r="C563" s="144"/>
      <c r="D563" s="152"/>
    </row>
    <row r="564" spans="2:4">
      <c r="B564" s="144"/>
      <c r="C564" s="144"/>
      <c r="D564" s="152"/>
    </row>
    <row r="565" spans="2:4">
      <c r="B565" s="144"/>
      <c r="C565" s="144"/>
      <c r="D565" s="152"/>
    </row>
    <row r="566" spans="2:4">
      <c r="B566" s="144"/>
      <c r="C566" s="144"/>
      <c r="D566" s="152"/>
    </row>
    <row r="567" spans="2:4">
      <c r="B567" s="144"/>
      <c r="C567" s="144"/>
      <c r="D567" s="152"/>
    </row>
    <row r="568" spans="2:4">
      <c r="B568" s="144"/>
      <c r="C568" s="144"/>
      <c r="D568" s="152"/>
    </row>
    <row r="569" spans="2:4">
      <c r="B569" s="144"/>
      <c r="C569" s="144"/>
      <c r="D569" s="152"/>
    </row>
    <row r="570" spans="2:4">
      <c r="B570" s="144"/>
      <c r="C570" s="144"/>
      <c r="D570" s="152"/>
    </row>
    <row r="571" spans="2:4">
      <c r="B571" s="144"/>
      <c r="C571" s="144"/>
      <c r="D571" s="152"/>
    </row>
    <row r="572" spans="2:4">
      <c r="B572" s="144"/>
      <c r="C572" s="144"/>
      <c r="D572" s="152"/>
    </row>
    <row r="573" spans="2:4">
      <c r="B573" s="144"/>
      <c r="C573" s="144"/>
      <c r="D573" s="152"/>
    </row>
    <row r="574" spans="2:4">
      <c r="B574" s="144"/>
      <c r="C574" s="144"/>
      <c r="D574" s="152"/>
    </row>
    <row r="575" spans="2:4">
      <c r="B575" s="144"/>
      <c r="C575" s="144"/>
      <c r="D575" s="152"/>
    </row>
    <row r="576" spans="2:4">
      <c r="B576" s="144"/>
      <c r="C576" s="144"/>
      <c r="D576" s="152"/>
    </row>
    <row r="577" spans="2:4">
      <c r="B577" s="144"/>
      <c r="C577" s="144"/>
      <c r="D577" s="152"/>
    </row>
    <row r="578" spans="2:4">
      <c r="B578" s="144"/>
      <c r="C578" s="144"/>
      <c r="D578" s="152"/>
    </row>
    <row r="579" spans="2:4">
      <c r="B579" s="144"/>
      <c r="C579" s="144"/>
      <c r="D579" s="152"/>
    </row>
    <row r="580" spans="2:4">
      <c r="B580" s="144"/>
      <c r="C580" s="144"/>
      <c r="D580" s="152"/>
    </row>
    <row r="581" spans="2:4">
      <c r="B581" s="144"/>
      <c r="C581" s="144"/>
      <c r="D581" s="152"/>
    </row>
    <row r="582" spans="2:4">
      <c r="B582" s="144"/>
      <c r="C582" s="144"/>
      <c r="D582" s="152"/>
    </row>
    <row r="583" spans="2:4">
      <c r="B583" s="144"/>
      <c r="C583" s="144"/>
      <c r="D583" s="152"/>
    </row>
    <row r="584" spans="2:4">
      <c r="B584" s="144"/>
      <c r="C584" s="144"/>
      <c r="D584" s="152"/>
    </row>
    <row r="585" spans="2:4">
      <c r="B585" s="144"/>
      <c r="C585" s="144"/>
      <c r="D585" s="152"/>
    </row>
    <row r="586" spans="2:4">
      <c r="B586" s="144"/>
      <c r="C586" s="144"/>
      <c r="D586" s="152"/>
    </row>
    <row r="587" spans="2:4">
      <c r="B587" s="144"/>
      <c r="C587" s="144"/>
      <c r="D587" s="152"/>
    </row>
    <row r="588" spans="2:4">
      <c r="B588" s="144"/>
      <c r="C588" s="144"/>
      <c r="D588" s="152"/>
    </row>
    <row r="589" spans="2:4">
      <c r="B589" s="144"/>
      <c r="C589" s="144"/>
      <c r="D589" s="152"/>
    </row>
    <row r="590" spans="2:4">
      <c r="B590" s="144"/>
      <c r="C590" s="144"/>
      <c r="D590" s="152"/>
    </row>
    <row r="591" spans="2:4">
      <c r="B591" s="144"/>
      <c r="C591" s="144"/>
      <c r="D591" s="152"/>
    </row>
    <row r="592" spans="2:4">
      <c r="B592" s="144"/>
      <c r="C592" s="144"/>
      <c r="D592" s="152"/>
    </row>
    <row r="593" spans="2:4">
      <c r="B593" s="144"/>
      <c r="C593" s="144"/>
      <c r="D593" s="152"/>
    </row>
    <row r="594" spans="2:4">
      <c r="B594" s="144"/>
      <c r="C594" s="144"/>
      <c r="D594" s="152"/>
    </row>
    <row r="595" spans="2:4">
      <c r="B595" s="144"/>
      <c r="C595" s="144"/>
      <c r="D595" s="152"/>
    </row>
    <row r="596" spans="2:4">
      <c r="B596" s="144"/>
      <c r="C596" s="144"/>
      <c r="D596" s="152"/>
    </row>
    <row r="597" spans="2:4">
      <c r="B597" s="144"/>
      <c r="C597" s="144"/>
      <c r="D597" s="152"/>
    </row>
    <row r="598" spans="2:4">
      <c r="B598" s="144"/>
      <c r="C598" s="144"/>
      <c r="D598" s="152"/>
    </row>
    <row r="599" spans="2:4">
      <c r="B599" s="144"/>
      <c r="C599" s="144"/>
      <c r="D599" s="152"/>
    </row>
    <row r="600" spans="2:4">
      <c r="B600" s="144"/>
      <c r="C600" s="144"/>
      <c r="D600" s="152"/>
    </row>
    <row r="601" spans="2:4">
      <c r="B601" s="144"/>
      <c r="C601" s="144"/>
      <c r="D601" s="152"/>
    </row>
    <row r="602" spans="2:4">
      <c r="B602" s="144"/>
      <c r="C602" s="144"/>
      <c r="D602" s="152"/>
    </row>
    <row r="603" spans="2:4">
      <c r="B603" s="144"/>
      <c r="C603" s="144"/>
      <c r="D603" s="152"/>
    </row>
    <row r="604" spans="2:4">
      <c r="B604" s="144"/>
      <c r="C604" s="144"/>
      <c r="D604" s="152"/>
    </row>
    <row r="605" spans="2:4">
      <c r="B605" s="144"/>
      <c r="C605" s="144"/>
      <c r="D605" s="152"/>
    </row>
    <row r="606" spans="2:4">
      <c r="B606" s="144"/>
      <c r="C606" s="144"/>
      <c r="D606" s="152"/>
    </row>
    <row r="607" spans="2:4">
      <c r="B607" s="144"/>
      <c r="C607" s="144"/>
      <c r="D607" s="152"/>
    </row>
    <row r="608" spans="2:4">
      <c r="B608" s="144"/>
      <c r="C608" s="144"/>
      <c r="D608" s="152"/>
    </row>
    <row r="609" spans="2:4">
      <c r="B609" s="144"/>
      <c r="C609" s="144"/>
      <c r="D609" s="152"/>
    </row>
    <row r="610" spans="2:4">
      <c r="B610" s="144"/>
      <c r="C610" s="144"/>
      <c r="D610" s="152"/>
    </row>
    <row r="611" spans="2:4">
      <c r="B611" s="144"/>
      <c r="C611" s="144"/>
      <c r="D611" s="152"/>
    </row>
    <row r="612" spans="2:4">
      <c r="B612" s="144"/>
      <c r="C612" s="144"/>
      <c r="D612" s="152"/>
    </row>
    <row r="613" spans="2:4">
      <c r="B613" s="144"/>
      <c r="C613" s="144"/>
      <c r="D613" s="152"/>
    </row>
    <row r="614" spans="2:4">
      <c r="B614" s="144"/>
      <c r="C614" s="144"/>
      <c r="D614" s="152"/>
    </row>
    <row r="615" spans="2:4">
      <c r="B615" s="144"/>
      <c r="C615" s="144"/>
      <c r="D615" s="152"/>
    </row>
    <row r="616" spans="2:4">
      <c r="B616" s="144"/>
      <c r="C616" s="144"/>
      <c r="D616" s="152"/>
    </row>
    <row r="617" spans="2:4">
      <c r="B617" s="144"/>
      <c r="C617" s="144"/>
      <c r="D617" s="152"/>
    </row>
    <row r="618" spans="2:4">
      <c r="B618" s="144"/>
      <c r="C618" s="144"/>
      <c r="D618" s="152"/>
    </row>
    <row r="619" spans="2:4">
      <c r="B619" s="144"/>
      <c r="C619" s="144"/>
      <c r="D619" s="152"/>
    </row>
    <row r="620" spans="2:4">
      <c r="B620" s="144"/>
      <c r="C620" s="144"/>
      <c r="D620" s="152"/>
    </row>
    <row r="621" spans="2:4">
      <c r="B621" s="144"/>
      <c r="C621" s="144"/>
      <c r="D621" s="152"/>
    </row>
    <row r="622" spans="2:4">
      <c r="B622" s="144"/>
      <c r="C622" s="144"/>
      <c r="D622" s="152"/>
    </row>
    <row r="623" spans="2:4">
      <c r="B623" s="144"/>
      <c r="C623" s="144"/>
      <c r="D623" s="152"/>
    </row>
    <row r="624" spans="2:4">
      <c r="B624" s="144"/>
      <c r="C624" s="144"/>
      <c r="D624" s="152"/>
    </row>
    <row r="625" spans="2:4">
      <c r="B625" s="144"/>
      <c r="C625" s="144"/>
      <c r="D625" s="152"/>
    </row>
    <row r="626" spans="2:4">
      <c r="B626" s="144"/>
      <c r="C626" s="144"/>
      <c r="D626" s="152"/>
    </row>
    <row r="627" spans="2:4">
      <c r="B627" s="144"/>
      <c r="C627" s="144"/>
      <c r="D627" s="152"/>
    </row>
    <row r="628" spans="2:4">
      <c r="B628" s="144"/>
      <c r="C628" s="144"/>
      <c r="D628" s="152"/>
    </row>
    <row r="629" spans="2:4">
      <c r="B629" s="144"/>
      <c r="C629" s="144"/>
      <c r="D629" s="152"/>
    </row>
    <row r="630" spans="2:4">
      <c r="B630" s="144"/>
      <c r="C630" s="144"/>
      <c r="D630" s="152"/>
    </row>
    <row r="631" spans="2:4">
      <c r="B631" s="144"/>
      <c r="C631" s="144"/>
      <c r="D631" s="152"/>
    </row>
    <row r="632" spans="2:4">
      <c r="B632" s="144"/>
      <c r="C632" s="144"/>
      <c r="D632" s="152"/>
    </row>
    <row r="633" spans="2:4">
      <c r="B633" s="144"/>
      <c r="C633" s="144"/>
      <c r="D633" s="152"/>
    </row>
    <row r="634" spans="2:4">
      <c r="B634" s="144"/>
      <c r="C634" s="144"/>
      <c r="D634" s="152"/>
    </row>
    <row r="635" spans="2:4">
      <c r="B635" s="144"/>
      <c r="C635" s="144"/>
      <c r="D635" s="152"/>
    </row>
    <row r="636" spans="2:4">
      <c r="B636" s="144"/>
      <c r="C636" s="144"/>
      <c r="D636" s="152"/>
    </row>
    <row r="637" spans="2:4">
      <c r="B637" s="144"/>
      <c r="C637" s="144"/>
      <c r="D637" s="152"/>
    </row>
    <row r="638" spans="2:4">
      <c r="B638" s="144"/>
      <c r="C638" s="144"/>
      <c r="D638" s="152"/>
    </row>
    <row r="639" spans="2:4">
      <c r="B639" s="144"/>
      <c r="C639" s="144"/>
      <c r="D639" s="152"/>
    </row>
    <row r="640" spans="2:4">
      <c r="B640" s="144"/>
      <c r="C640" s="144"/>
      <c r="D640" s="152"/>
    </row>
    <row r="641" spans="2:4">
      <c r="B641" s="144"/>
      <c r="C641" s="144"/>
      <c r="D641" s="152"/>
    </row>
    <row r="642" spans="2:4">
      <c r="B642" s="144"/>
      <c r="C642" s="144"/>
      <c r="D642" s="152"/>
    </row>
    <row r="643" spans="2:4">
      <c r="B643" s="144"/>
      <c r="C643" s="144"/>
      <c r="D643" s="152"/>
    </row>
    <row r="644" spans="2:4">
      <c r="B644" s="144"/>
      <c r="C644" s="144"/>
      <c r="D644" s="152"/>
    </row>
    <row r="645" spans="2:4">
      <c r="B645" s="144"/>
      <c r="C645" s="144"/>
      <c r="D645" s="152"/>
    </row>
    <row r="646" spans="2:4">
      <c r="B646" s="144"/>
      <c r="C646" s="144"/>
      <c r="D646" s="152"/>
    </row>
    <row r="647" spans="2:4">
      <c r="B647" s="144"/>
      <c r="C647" s="144"/>
      <c r="D647" s="152"/>
    </row>
    <row r="648" spans="2:4">
      <c r="B648" s="144"/>
      <c r="C648" s="144"/>
      <c r="D648" s="152"/>
    </row>
    <row r="649" spans="2:4">
      <c r="B649" s="144"/>
      <c r="C649" s="144"/>
      <c r="D649" s="152"/>
    </row>
    <row r="650" spans="2:4">
      <c r="B650" s="144"/>
      <c r="C650" s="144"/>
      <c r="D650" s="152"/>
    </row>
    <row r="651" spans="2:4">
      <c r="B651" s="144"/>
      <c r="C651" s="144"/>
      <c r="D651" s="152"/>
    </row>
    <row r="652" spans="2:4">
      <c r="B652" s="144"/>
      <c r="C652" s="144"/>
      <c r="D652" s="152"/>
    </row>
    <row r="653" spans="2:4">
      <c r="B653" s="144"/>
      <c r="C653" s="144"/>
      <c r="D653" s="152"/>
    </row>
    <row r="654" spans="2:4">
      <c r="B654" s="144"/>
      <c r="C654" s="144"/>
      <c r="D654" s="152"/>
    </row>
    <row r="655" spans="2:4">
      <c r="B655" s="144"/>
      <c r="C655" s="144"/>
      <c r="D655" s="152"/>
    </row>
    <row r="656" spans="2:4">
      <c r="B656" s="144"/>
      <c r="C656" s="144"/>
      <c r="D656" s="152"/>
    </row>
    <row r="657" spans="2:4">
      <c r="B657" s="144"/>
      <c r="C657" s="144"/>
      <c r="D657" s="152"/>
    </row>
    <row r="658" spans="2:4">
      <c r="B658" s="144"/>
      <c r="C658" s="144"/>
      <c r="D658" s="152"/>
    </row>
    <row r="659" spans="2:4">
      <c r="B659" s="144"/>
      <c r="C659" s="144"/>
      <c r="D659" s="152"/>
    </row>
    <row r="660" spans="2:4">
      <c r="B660" s="144"/>
      <c r="C660" s="144"/>
      <c r="D660" s="152"/>
    </row>
    <row r="661" spans="2:4">
      <c r="B661" s="144"/>
      <c r="C661" s="144"/>
      <c r="D661" s="152"/>
    </row>
    <row r="662" spans="2:4">
      <c r="B662" s="144"/>
      <c r="C662" s="144"/>
      <c r="D662" s="152"/>
    </row>
    <row r="663" spans="2:4">
      <c r="B663" s="144"/>
      <c r="C663" s="144"/>
      <c r="D663" s="152"/>
    </row>
    <row r="664" spans="2:4">
      <c r="B664" s="144"/>
      <c r="C664" s="144"/>
      <c r="D664" s="152"/>
    </row>
    <row r="665" spans="2:4">
      <c r="B665" s="144"/>
      <c r="C665" s="144"/>
      <c r="D665" s="152"/>
    </row>
    <row r="666" spans="2:4">
      <c r="B666" s="144"/>
      <c r="C666" s="144"/>
      <c r="D666" s="152"/>
    </row>
    <row r="667" spans="2:4">
      <c r="B667" s="144"/>
      <c r="C667" s="144"/>
      <c r="D667" s="152"/>
    </row>
    <row r="668" spans="2:4">
      <c r="B668" s="144"/>
      <c r="C668" s="144"/>
      <c r="D668" s="152"/>
    </row>
    <row r="669" spans="2:4">
      <c r="B669" s="144"/>
      <c r="C669" s="144"/>
      <c r="D669" s="152"/>
    </row>
    <row r="670" spans="2:4">
      <c r="B670" s="144"/>
      <c r="C670" s="144"/>
      <c r="D670" s="152"/>
    </row>
    <row r="671" spans="2:4">
      <c r="B671" s="144"/>
      <c r="C671" s="144"/>
      <c r="D671" s="152"/>
    </row>
    <row r="672" spans="2:4">
      <c r="B672" s="144"/>
      <c r="C672" s="144"/>
      <c r="D672" s="152"/>
    </row>
    <row r="673" spans="2:4">
      <c r="B673" s="144"/>
      <c r="C673" s="144"/>
      <c r="D673" s="152"/>
    </row>
    <row r="674" spans="2:4">
      <c r="B674" s="144"/>
      <c r="C674" s="144"/>
      <c r="D674" s="152"/>
    </row>
    <row r="675" spans="2:4">
      <c r="B675" s="144"/>
      <c r="C675" s="144"/>
      <c r="D675" s="152"/>
    </row>
    <row r="676" spans="2:4">
      <c r="B676" s="144"/>
      <c r="C676" s="144"/>
      <c r="D676" s="152"/>
    </row>
    <row r="677" spans="2:4">
      <c r="B677" s="144"/>
      <c r="C677" s="144"/>
      <c r="D677" s="152"/>
    </row>
    <row r="678" spans="2:4">
      <c r="B678" s="144"/>
      <c r="C678" s="144"/>
      <c r="D678" s="152"/>
    </row>
    <row r="679" spans="2:4">
      <c r="B679" s="144"/>
      <c r="C679" s="144"/>
      <c r="D679" s="152"/>
    </row>
    <row r="680" spans="2:4">
      <c r="B680" s="144"/>
      <c r="C680" s="144"/>
      <c r="D680" s="152"/>
    </row>
    <row r="681" spans="2:4">
      <c r="B681" s="144"/>
      <c r="C681" s="144"/>
      <c r="D681" s="152"/>
    </row>
    <row r="682" spans="2:4">
      <c r="B682" s="144"/>
      <c r="C682" s="144"/>
      <c r="D682" s="152"/>
    </row>
    <row r="683" spans="2:4">
      <c r="B683" s="144"/>
      <c r="C683" s="144"/>
      <c r="D683" s="152"/>
    </row>
    <row r="684" spans="2:4">
      <c r="B684" s="144"/>
      <c r="C684" s="144"/>
      <c r="D684" s="152"/>
    </row>
    <row r="685" spans="2:4">
      <c r="B685" s="144"/>
      <c r="C685" s="144"/>
      <c r="D685" s="152"/>
    </row>
    <row r="686" spans="2:4">
      <c r="B686" s="144"/>
      <c r="C686" s="144"/>
      <c r="D686" s="152"/>
    </row>
    <row r="687" spans="2:4">
      <c r="B687" s="144"/>
      <c r="C687" s="144"/>
      <c r="D687" s="152"/>
    </row>
    <row r="688" spans="2:4">
      <c r="B688" s="144"/>
      <c r="C688" s="144"/>
      <c r="D688" s="152"/>
    </row>
    <row r="689" spans="2:4">
      <c r="B689" s="144"/>
      <c r="C689" s="144"/>
      <c r="D689" s="152"/>
    </row>
    <row r="690" spans="2:4">
      <c r="B690" s="144"/>
      <c r="C690" s="144"/>
      <c r="D690" s="152"/>
    </row>
    <row r="691" spans="2:4">
      <c r="B691" s="144"/>
      <c r="C691" s="144"/>
      <c r="D691" s="152"/>
    </row>
    <row r="692" spans="2:4">
      <c r="B692" s="144"/>
      <c r="C692" s="144"/>
      <c r="D692" s="152"/>
    </row>
    <row r="693" spans="2:4">
      <c r="B693" s="144"/>
      <c r="C693" s="144"/>
      <c r="D693" s="152"/>
    </row>
    <row r="694" spans="2:4">
      <c r="B694" s="144"/>
      <c r="C694" s="144"/>
      <c r="D694" s="152"/>
    </row>
    <row r="695" spans="2:4">
      <c r="B695" s="144"/>
      <c r="C695" s="144"/>
      <c r="D695" s="152"/>
    </row>
    <row r="696" spans="2:4">
      <c r="B696" s="144"/>
      <c r="C696" s="144"/>
      <c r="D696" s="152"/>
    </row>
    <row r="697" spans="2:4">
      <c r="B697" s="144"/>
      <c r="C697" s="144"/>
      <c r="D697" s="152"/>
    </row>
    <row r="698" spans="2:4">
      <c r="B698" s="144"/>
      <c r="C698" s="144"/>
      <c r="D698" s="152"/>
    </row>
    <row r="699" spans="2:4">
      <c r="B699" s="144"/>
      <c r="C699" s="144"/>
      <c r="D699" s="152"/>
    </row>
    <row r="700" spans="2:4">
      <c r="B700" s="144"/>
      <c r="C700" s="144"/>
      <c r="D700" s="152"/>
    </row>
    <row r="701" spans="2:4">
      <c r="B701" s="144"/>
      <c r="C701" s="144"/>
      <c r="D701" s="152"/>
    </row>
    <row r="702" spans="2:4">
      <c r="B702" s="144"/>
      <c r="C702" s="144"/>
      <c r="D702" s="152"/>
    </row>
    <row r="703" spans="2:4">
      <c r="B703" s="144"/>
      <c r="C703" s="144"/>
      <c r="D703" s="152"/>
    </row>
    <row r="704" spans="2:4">
      <c r="B704" s="144"/>
      <c r="C704" s="144"/>
      <c r="D704" s="152"/>
    </row>
    <row r="705" spans="2:4">
      <c r="B705" s="144"/>
      <c r="C705" s="144"/>
      <c r="D705" s="152"/>
    </row>
    <row r="706" spans="2:4">
      <c r="B706" s="144"/>
      <c r="C706" s="144"/>
      <c r="D706" s="152"/>
    </row>
    <row r="707" spans="2:4">
      <c r="B707" s="144"/>
      <c r="C707" s="144"/>
      <c r="D707" s="152"/>
    </row>
    <row r="708" spans="2:4">
      <c r="B708" s="144"/>
      <c r="C708" s="144"/>
      <c r="D708" s="152"/>
    </row>
    <row r="709" spans="2:4">
      <c r="B709" s="144"/>
      <c r="C709" s="144"/>
      <c r="D709" s="152"/>
    </row>
    <row r="710" spans="2:4">
      <c r="B710" s="144"/>
      <c r="C710" s="144"/>
      <c r="D710" s="152"/>
    </row>
    <row r="711" spans="2:4">
      <c r="B711" s="144"/>
      <c r="C711" s="144"/>
      <c r="D711" s="152"/>
    </row>
    <row r="712" spans="2:4">
      <c r="B712" s="144"/>
      <c r="C712" s="144"/>
      <c r="D712" s="152"/>
    </row>
    <row r="713" spans="2:4">
      <c r="B713" s="144"/>
      <c r="C713" s="144"/>
      <c r="D713" s="152"/>
    </row>
    <row r="714" spans="2:4">
      <c r="B714" s="144"/>
      <c r="C714" s="144"/>
      <c r="D714" s="152"/>
    </row>
    <row r="715" spans="2:4">
      <c r="B715" s="144"/>
      <c r="C715" s="144"/>
      <c r="D715" s="152"/>
    </row>
    <row r="716" spans="2:4">
      <c r="B716" s="144"/>
      <c r="C716" s="144"/>
      <c r="D716" s="152"/>
    </row>
    <row r="717" spans="2:4">
      <c r="B717" s="144"/>
      <c r="C717" s="144"/>
      <c r="D717" s="152"/>
    </row>
    <row r="718" spans="2:4">
      <c r="B718" s="144"/>
      <c r="C718" s="144"/>
      <c r="D718" s="152"/>
    </row>
    <row r="719" spans="2:4">
      <c r="B719" s="144"/>
      <c r="C719" s="144"/>
      <c r="D719" s="152"/>
    </row>
    <row r="720" spans="2:4">
      <c r="B720" s="144"/>
      <c r="C720" s="144"/>
      <c r="D720" s="152"/>
    </row>
    <row r="721" spans="2:4">
      <c r="B721" s="144"/>
      <c r="C721" s="144"/>
      <c r="D721" s="152"/>
    </row>
    <row r="722" spans="2:4">
      <c r="B722" s="144"/>
      <c r="C722" s="144"/>
      <c r="D722" s="152"/>
    </row>
    <row r="723" spans="2:4">
      <c r="B723" s="144"/>
      <c r="C723" s="144"/>
      <c r="D723" s="152"/>
    </row>
    <row r="724" spans="2:4">
      <c r="B724" s="144"/>
      <c r="C724" s="144"/>
      <c r="D724" s="152"/>
    </row>
    <row r="725" spans="2:4">
      <c r="B725" s="144"/>
      <c r="C725" s="144"/>
      <c r="D725" s="152"/>
    </row>
    <row r="726" spans="2:4">
      <c r="B726" s="144"/>
      <c r="C726" s="144"/>
      <c r="D726" s="152"/>
    </row>
    <row r="727" spans="2:4">
      <c r="B727" s="144"/>
      <c r="C727" s="144"/>
      <c r="D727" s="152"/>
    </row>
    <row r="728" spans="2:4">
      <c r="B728" s="144"/>
      <c r="C728" s="144"/>
      <c r="D728" s="152"/>
    </row>
    <row r="729" spans="2:4">
      <c r="B729" s="144"/>
      <c r="C729" s="144"/>
      <c r="D729" s="152"/>
    </row>
    <row r="730" spans="2:4">
      <c r="B730" s="144"/>
      <c r="C730" s="144"/>
      <c r="D730" s="152"/>
    </row>
    <row r="731" spans="2:4">
      <c r="B731" s="144"/>
      <c r="C731" s="144"/>
      <c r="D731" s="152"/>
    </row>
    <row r="732" spans="2:4">
      <c r="B732" s="144"/>
      <c r="C732" s="144"/>
      <c r="D732" s="152"/>
    </row>
    <row r="733" spans="2:4">
      <c r="B733" s="144"/>
      <c r="C733" s="144"/>
      <c r="D733" s="152"/>
    </row>
    <row r="734" spans="2:4">
      <c r="B734" s="144"/>
      <c r="C734" s="144"/>
      <c r="D734" s="152"/>
    </row>
    <row r="735" spans="2:4">
      <c r="B735" s="144"/>
      <c r="C735" s="144"/>
      <c r="D735" s="152"/>
    </row>
    <row r="736" spans="2:4">
      <c r="B736" s="144"/>
      <c r="C736" s="144"/>
      <c r="D736" s="152"/>
    </row>
    <row r="737" spans="2:4">
      <c r="B737" s="144"/>
      <c r="C737" s="144"/>
      <c r="D737" s="152"/>
    </row>
    <row r="738" spans="2:4">
      <c r="B738" s="144"/>
      <c r="C738" s="144"/>
      <c r="D738" s="152"/>
    </row>
    <row r="739" spans="2:4">
      <c r="B739" s="144"/>
      <c r="C739" s="144"/>
      <c r="D739" s="152"/>
    </row>
    <row r="740" spans="2:4">
      <c r="B740" s="144"/>
      <c r="C740" s="144"/>
      <c r="D740" s="152"/>
    </row>
    <row r="741" spans="2:4">
      <c r="B741" s="144"/>
      <c r="C741" s="144"/>
      <c r="D741" s="152"/>
    </row>
    <row r="742" spans="2:4">
      <c r="B742" s="144"/>
      <c r="C742" s="144"/>
      <c r="D742" s="152"/>
    </row>
    <row r="743" spans="2:4">
      <c r="B743" s="144"/>
      <c r="C743" s="144"/>
      <c r="D743" s="152"/>
    </row>
    <row r="744" spans="2:4">
      <c r="B744" s="144"/>
      <c r="C744" s="144"/>
      <c r="D744" s="152"/>
    </row>
    <row r="745" spans="2:4">
      <c r="B745" s="144"/>
      <c r="C745" s="144"/>
      <c r="D745" s="152"/>
    </row>
    <row r="746" spans="2:4">
      <c r="B746" s="144"/>
      <c r="C746" s="144"/>
      <c r="D746" s="152"/>
    </row>
    <row r="747" spans="2:4">
      <c r="B747" s="144"/>
      <c r="C747" s="144"/>
      <c r="D747" s="152"/>
    </row>
    <row r="748" spans="2:4">
      <c r="B748" s="144"/>
      <c r="C748" s="144"/>
      <c r="D748" s="152"/>
    </row>
    <row r="749" spans="2:4">
      <c r="B749" s="144"/>
      <c r="C749" s="144"/>
      <c r="D749" s="152"/>
    </row>
    <row r="750" spans="2:4">
      <c r="B750" s="144"/>
      <c r="C750" s="144"/>
      <c r="D750" s="152"/>
    </row>
    <row r="751" spans="2:4">
      <c r="B751" s="144"/>
      <c r="C751" s="144"/>
      <c r="D751" s="152"/>
    </row>
    <row r="752" spans="2:4">
      <c r="B752" s="144"/>
      <c r="C752" s="144"/>
      <c r="D752" s="152"/>
    </row>
    <row r="753" spans="2:4">
      <c r="B753" s="144"/>
      <c r="C753" s="144"/>
      <c r="D753" s="152"/>
    </row>
    <row r="754" spans="2:4">
      <c r="B754" s="144"/>
      <c r="C754" s="144"/>
      <c r="D754" s="152"/>
    </row>
    <row r="755" spans="2:4">
      <c r="B755" s="144"/>
      <c r="C755" s="144"/>
      <c r="D755" s="152"/>
    </row>
    <row r="756" spans="2:4">
      <c r="B756" s="144"/>
      <c r="C756" s="144"/>
      <c r="D756" s="152"/>
    </row>
    <row r="757" spans="2:4">
      <c r="B757" s="144"/>
      <c r="C757" s="144"/>
      <c r="D757" s="152"/>
    </row>
    <row r="758" spans="2:4">
      <c r="B758" s="144"/>
      <c r="C758" s="144"/>
      <c r="D758" s="152"/>
    </row>
    <row r="759" spans="2:4">
      <c r="B759" s="144"/>
      <c r="C759" s="144"/>
      <c r="D759" s="152"/>
    </row>
    <row r="760" spans="2:4">
      <c r="B760" s="144"/>
      <c r="C760" s="144"/>
      <c r="D760" s="152"/>
    </row>
    <row r="761" spans="2:4">
      <c r="B761" s="144"/>
      <c r="C761" s="144"/>
      <c r="D761" s="152"/>
    </row>
    <row r="762" spans="2:4">
      <c r="B762" s="144"/>
      <c r="C762" s="144"/>
      <c r="D762" s="152"/>
    </row>
    <row r="763" spans="2:4">
      <c r="B763" s="144"/>
      <c r="C763" s="144"/>
      <c r="D763" s="152"/>
    </row>
    <row r="764" spans="2:4">
      <c r="B764" s="144"/>
      <c r="C764" s="144"/>
      <c r="D764" s="152"/>
    </row>
    <row r="765" spans="2:4">
      <c r="B765" s="144"/>
      <c r="C765" s="144"/>
      <c r="D765" s="152"/>
    </row>
    <row r="766" spans="2:4">
      <c r="B766" s="144"/>
      <c r="C766" s="144"/>
      <c r="D766" s="152"/>
    </row>
    <row r="767" spans="2:4">
      <c r="B767" s="144"/>
      <c r="C767" s="144"/>
      <c r="D767" s="152"/>
    </row>
    <row r="768" spans="2:4">
      <c r="B768" s="144"/>
      <c r="C768" s="144"/>
      <c r="D768" s="152"/>
    </row>
    <row r="769" spans="2:4">
      <c r="B769" s="144"/>
      <c r="C769" s="144"/>
      <c r="D769" s="152"/>
    </row>
    <row r="770" spans="2:4">
      <c r="B770" s="144"/>
      <c r="C770" s="144"/>
      <c r="D770" s="152"/>
    </row>
    <row r="771" spans="2:4">
      <c r="B771" s="144"/>
      <c r="C771" s="144"/>
      <c r="D771" s="152"/>
    </row>
    <row r="772" spans="2:4">
      <c r="B772" s="144"/>
      <c r="C772" s="144"/>
      <c r="D772" s="152"/>
    </row>
    <row r="773" spans="2:4">
      <c r="B773" s="144"/>
      <c r="C773" s="144"/>
      <c r="D773" s="152"/>
    </row>
    <row r="774" spans="2:4">
      <c r="B774" s="144"/>
      <c r="C774" s="144"/>
      <c r="D774" s="152"/>
    </row>
    <row r="775" spans="2:4">
      <c r="B775" s="144"/>
      <c r="C775" s="144"/>
      <c r="D775" s="152"/>
    </row>
    <row r="776" spans="2:4">
      <c r="B776" s="144"/>
      <c r="C776" s="144"/>
      <c r="D776" s="152"/>
    </row>
    <row r="777" spans="2:4">
      <c r="B777" s="144"/>
      <c r="C777" s="144"/>
      <c r="D777" s="152"/>
    </row>
    <row r="778" spans="2:4">
      <c r="B778" s="144"/>
      <c r="C778" s="144"/>
      <c r="D778" s="152"/>
    </row>
    <row r="779" spans="2:4">
      <c r="B779" s="144"/>
      <c r="C779" s="144"/>
      <c r="D779" s="152"/>
    </row>
    <row r="780" spans="2:4">
      <c r="B780" s="144"/>
      <c r="C780" s="144"/>
      <c r="D780" s="152"/>
    </row>
    <row r="781" spans="2:4">
      <c r="B781" s="144"/>
      <c r="C781" s="144"/>
      <c r="D781" s="152"/>
    </row>
    <row r="782" spans="2:4">
      <c r="B782" s="144"/>
      <c r="C782" s="144"/>
      <c r="D782" s="152"/>
    </row>
    <row r="783" spans="2:4">
      <c r="B783" s="144"/>
      <c r="C783" s="144"/>
      <c r="D783" s="152"/>
    </row>
    <row r="784" spans="2:4">
      <c r="B784" s="144"/>
      <c r="C784" s="144"/>
      <c r="D784" s="152"/>
    </row>
    <row r="785" spans="2:4">
      <c r="B785" s="144"/>
      <c r="C785" s="144"/>
      <c r="D785" s="152"/>
    </row>
    <row r="786" spans="2:4">
      <c r="B786" s="144"/>
      <c r="C786" s="144"/>
      <c r="D786" s="152"/>
    </row>
    <row r="787" spans="2:4">
      <c r="B787" s="144"/>
      <c r="C787" s="144"/>
      <c r="D787" s="152"/>
    </row>
    <row r="788" spans="2:4">
      <c r="B788" s="144"/>
      <c r="C788" s="144"/>
      <c r="D788" s="152"/>
    </row>
    <row r="789" spans="2:4">
      <c r="B789" s="144"/>
      <c r="C789" s="144"/>
      <c r="D789" s="152"/>
    </row>
    <row r="790" spans="2:4">
      <c r="B790" s="144"/>
      <c r="C790" s="144"/>
      <c r="D790" s="152"/>
    </row>
    <row r="791" spans="2:4">
      <c r="B791" s="144"/>
      <c r="C791" s="144"/>
      <c r="D791" s="152"/>
    </row>
    <row r="792" spans="2:4">
      <c r="B792" s="144"/>
      <c r="C792" s="144"/>
      <c r="D792" s="152"/>
    </row>
    <row r="793" spans="2:4">
      <c r="B793" s="144"/>
      <c r="C793" s="144"/>
      <c r="D793" s="152"/>
    </row>
    <row r="794" spans="2:4">
      <c r="B794" s="144"/>
      <c r="C794" s="144"/>
      <c r="D794" s="152"/>
    </row>
    <row r="795" spans="2:4">
      <c r="B795" s="144"/>
      <c r="C795" s="144"/>
      <c r="D795" s="152"/>
    </row>
    <row r="796" spans="2:4">
      <c r="B796" s="144"/>
      <c r="C796" s="144"/>
      <c r="D796" s="152"/>
    </row>
    <row r="797" spans="2:4">
      <c r="B797" s="144"/>
      <c r="C797" s="144"/>
      <c r="D797" s="152"/>
    </row>
    <row r="798" spans="2:4">
      <c r="B798" s="144"/>
      <c r="C798" s="144"/>
      <c r="D798" s="152"/>
    </row>
    <row r="799" spans="2:4">
      <c r="B799" s="144"/>
      <c r="C799" s="144"/>
      <c r="D799" s="152"/>
    </row>
    <row r="800" spans="2:4">
      <c r="B800" s="144"/>
      <c r="C800" s="144"/>
      <c r="D800" s="152"/>
    </row>
    <row r="801" spans="2:4">
      <c r="B801" s="144"/>
      <c r="C801" s="144"/>
      <c r="D801" s="152"/>
    </row>
    <row r="802" spans="2:4">
      <c r="B802" s="144"/>
      <c r="C802" s="144"/>
      <c r="D802" s="152"/>
    </row>
    <row r="803" spans="2:4">
      <c r="B803" s="144"/>
      <c r="C803" s="144"/>
      <c r="D803" s="152"/>
    </row>
    <row r="804" spans="2:4">
      <c r="B804" s="144"/>
      <c r="C804" s="144"/>
      <c r="D804" s="152"/>
    </row>
    <row r="805" spans="2:4">
      <c r="B805" s="144"/>
      <c r="C805" s="144"/>
      <c r="D805" s="152"/>
    </row>
    <row r="806" spans="2:4">
      <c r="B806" s="144"/>
      <c r="C806" s="144"/>
      <c r="D806" s="152"/>
    </row>
    <row r="807" spans="2:4">
      <c r="B807" s="144"/>
      <c r="C807" s="144"/>
      <c r="D807" s="152"/>
    </row>
    <row r="808" spans="2:4">
      <c r="B808" s="144"/>
      <c r="C808" s="144"/>
      <c r="D808" s="152"/>
    </row>
    <row r="809" spans="2:4">
      <c r="B809" s="144"/>
      <c r="C809" s="144"/>
      <c r="D809" s="152"/>
    </row>
    <row r="810" spans="2:4">
      <c r="B810" s="144"/>
      <c r="C810" s="144"/>
      <c r="D810" s="152"/>
    </row>
    <row r="811" spans="2:4">
      <c r="B811" s="144"/>
      <c r="C811" s="144"/>
      <c r="D811" s="152"/>
    </row>
    <row r="812" spans="2:4">
      <c r="B812" s="144"/>
      <c r="C812" s="144"/>
      <c r="D812" s="152"/>
    </row>
    <row r="813" spans="2:4">
      <c r="B813" s="144"/>
      <c r="C813" s="144"/>
      <c r="D813" s="152"/>
    </row>
    <row r="814" spans="2:4">
      <c r="B814" s="144"/>
      <c r="C814" s="144"/>
      <c r="D814" s="152"/>
    </row>
    <row r="815" spans="2:4">
      <c r="B815" s="144"/>
      <c r="C815" s="144"/>
      <c r="D815" s="152"/>
    </row>
    <row r="816" spans="2:4">
      <c r="B816" s="144"/>
      <c r="C816" s="144"/>
      <c r="D816" s="152"/>
    </row>
    <row r="817" spans="2:4">
      <c r="B817" s="144"/>
      <c r="C817" s="144"/>
      <c r="D817" s="152"/>
    </row>
    <row r="818" spans="2:4">
      <c r="B818" s="144"/>
      <c r="C818" s="144"/>
      <c r="D818" s="152"/>
    </row>
    <row r="819" spans="2:4">
      <c r="B819" s="144"/>
      <c r="C819" s="144"/>
      <c r="D819" s="152"/>
    </row>
    <row r="820" spans="2:4">
      <c r="B820" s="144"/>
      <c r="C820" s="144"/>
      <c r="D820" s="152"/>
    </row>
    <row r="821" spans="2:4">
      <c r="B821" s="144"/>
      <c r="C821" s="144"/>
      <c r="D821" s="152"/>
    </row>
    <row r="822" spans="2:4">
      <c r="B822" s="144"/>
      <c r="C822" s="144"/>
      <c r="D822" s="152"/>
    </row>
    <row r="823" spans="2:4">
      <c r="B823" s="144"/>
      <c r="C823" s="144"/>
      <c r="D823" s="152"/>
    </row>
    <row r="824" spans="2:4">
      <c r="B824" s="144"/>
      <c r="C824" s="144"/>
      <c r="D824" s="152"/>
    </row>
    <row r="825" spans="2:4">
      <c r="B825" s="144"/>
      <c r="C825" s="144"/>
      <c r="D825" s="152"/>
    </row>
    <row r="826" spans="2:4">
      <c r="B826" s="144"/>
      <c r="C826" s="144"/>
      <c r="D826" s="152"/>
    </row>
    <row r="827" spans="2:4">
      <c r="B827" s="144"/>
      <c r="C827" s="144"/>
      <c r="D827" s="152"/>
    </row>
    <row r="828" spans="2:4">
      <c r="B828" s="144"/>
      <c r="C828" s="144"/>
      <c r="D828" s="152"/>
    </row>
    <row r="829" spans="2:4">
      <c r="B829" s="144"/>
      <c r="C829" s="144"/>
      <c r="D829" s="152"/>
    </row>
    <row r="830" spans="2:4">
      <c r="B830" s="144"/>
      <c r="C830" s="144"/>
      <c r="D830" s="152"/>
    </row>
    <row r="831" spans="2:4">
      <c r="B831" s="144"/>
      <c r="C831" s="144"/>
      <c r="D831" s="152"/>
    </row>
    <row r="832" spans="2:4">
      <c r="B832" s="144"/>
      <c r="C832" s="144"/>
      <c r="D832" s="152"/>
    </row>
    <row r="833" spans="2:4">
      <c r="B833" s="144"/>
      <c r="C833" s="144"/>
      <c r="D833" s="152"/>
    </row>
    <row r="834" spans="2:4">
      <c r="B834" s="144"/>
      <c r="C834" s="144"/>
      <c r="D834" s="152"/>
    </row>
    <row r="835" spans="2:4">
      <c r="B835" s="144"/>
      <c r="C835" s="144"/>
      <c r="D835" s="152"/>
    </row>
    <row r="836" spans="2:4">
      <c r="B836" s="144"/>
      <c r="C836" s="144"/>
      <c r="D836" s="152"/>
    </row>
    <row r="837" spans="2:4">
      <c r="B837" s="144"/>
      <c r="C837" s="144"/>
      <c r="D837" s="152"/>
    </row>
    <row r="838" spans="2:4">
      <c r="B838" s="144"/>
      <c r="C838" s="144"/>
      <c r="D838" s="152"/>
    </row>
    <row r="839" spans="2:4">
      <c r="B839" s="144"/>
      <c r="C839" s="144"/>
      <c r="D839" s="152"/>
    </row>
    <row r="840" spans="2:4">
      <c r="B840" s="144"/>
      <c r="C840" s="144"/>
      <c r="D840" s="152"/>
    </row>
    <row r="841" spans="2:4">
      <c r="B841" s="144"/>
      <c r="C841" s="144"/>
      <c r="D841" s="152"/>
    </row>
    <row r="842" spans="2:4">
      <c r="B842" s="144"/>
      <c r="C842" s="144"/>
      <c r="D842" s="152"/>
    </row>
    <row r="843" spans="2:4">
      <c r="B843" s="144"/>
      <c r="C843" s="144"/>
      <c r="D843" s="152"/>
    </row>
    <row r="844" spans="2:4">
      <c r="B844" s="144"/>
      <c r="C844" s="144"/>
      <c r="D844" s="152"/>
    </row>
    <row r="845" spans="2:4">
      <c r="B845" s="144"/>
      <c r="C845" s="144"/>
      <c r="D845" s="152"/>
    </row>
    <row r="846" spans="2:4">
      <c r="B846" s="144"/>
      <c r="C846" s="144"/>
      <c r="D846" s="152"/>
    </row>
    <row r="847" spans="2:4">
      <c r="B847" s="144"/>
      <c r="C847" s="144"/>
      <c r="D847" s="152"/>
    </row>
    <row r="848" spans="2:4">
      <c r="B848" s="144"/>
      <c r="C848" s="144"/>
      <c r="D848" s="152"/>
    </row>
    <row r="849" spans="2:4">
      <c r="B849" s="144"/>
      <c r="C849" s="144"/>
      <c r="D849" s="152"/>
    </row>
    <row r="850" spans="2:4">
      <c r="B850" s="144"/>
      <c r="C850" s="144"/>
      <c r="D850" s="152"/>
    </row>
    <row r="851" spans="2:4">
      <c r="B851" s="144"/>
      <c r="C851" s="144"/>
      <c r="D851" s="152"/>
    </row>
    <row r="852" spans="2:4">
      <c r="B852" s="144"/>
      <c r="C852" s="144"/>
      <c r="D852" s="152"/>
    </row>
    <row r="853" spans="2:4">
      <c r="B853" s="144"/>
      <c r="C853" s="144"/>
      <c r="D853" s="152"/>
    </row>
    <row r="854" spans="2:4">
      <c r="B854" s="144"/>
      <c r="C854" s="144"/>
      <c r="D854" s="152"/>
    </row>
    <row r="855" spans="2:4">
      <c r="B855" s="144"/>
      <c r="C855" s="144"/>
      <c r="D855" s="152"/>
    </row>
    <row r="856" spans="2:4">
      <c r="B856" s="144"/>
      <c r="C856" s="144"/>
      <c r="D856" s="152"/>
    </row>
    <row r="857" spans="2:4">
      <c r="B857" s="144"/>
      <c r="C857" s="144"/>
      <c r="D857" s="152"/>
    </row>
    <row r="858" spans="2:4">
      <c r="B858" s="144"/>
      <c r="C858" s="144"/>
      <c r="D858" s="152"/>
    </row>
    <row r="859" spans="2:4">
      <c r="B859" s="144"/>
      <c r="C859" s="144"/>
      <c r="D859" s="152"/>
    </row>
    <row r="860" spans="2:4">
      <c r="B860" s="144"/>
      <c r="C860" s="144"/>
      <c r="D860" s="152"/>
    </row>
    <row r="861" spans="2:4">
      <c r="B861" s="144"/>
      <c r="C861" s="144"/>
      <c r="D861" s="152"/>
    </row>
    <row r="862" spans="2:4">
      <c r="B862" s="144"/>
      <c r="C862" s="144"/>
      <c r="D862" s="152"/>
    </row>
    <row r="863" spans="2:4">
      <c r="B863" s="144"/>
      <c r="C863" s="144"/>
      <c r="D863" s="152"/>
    </row>
    <row r="864" spans="2:4">
      <c r="B864" s="144"/>
      <c r="C864" s="144"/>
      <c r="D864" s="152"/>
    </row>
    <row r="865" spans="2:4">
      <c r="B865" s="144"/>
      <c r="C865" s="144"/>
      <c r="D865" s="152"/>
    </row>
    <row r="866" spans="2:4">
      <c r="B866" s="144"/>
      <c r="C866" s="144"/>
      <c r="D866" s="152"/>
    </row>
    <row r="867" spans="2:4">
      <c r="B867" s="144"/>
      <c r="C867" s="144"/>
      <c r="D867" s="152"/>
    </row>
    <row r="868" spans="2:4">
      <c r="B868" s="144"/>
      <c r="C868" s="144"/>
      <c r="D868" s="152"/>
    </row>
    <row r="869" spans="2:4">
      <c r="B869" s="144"/>
      <c r="C869" s="144"/>
      <c r="D869" s="152"/>
    </row>
    <row r="870" spans="2:4">
      <c r="B870" s="144"/>
      <c r="C870" s="144"/>
      <c r="D870" s="152"/>
    </row>
    <row r="871" spans="2:4">
      <c r="B871" s="144"/>
      <c r="C871" s="144"/>
      <c r="D871" s="152"/>
    </row>
    <row r="872" spans="2:4">
      <c r="B872" s="144"/>
      <c r="C872" s="144"/>
      <c r="D872" s="152"/>
    </row>
    <row r="873" spans="2:4">
      <c r="B873" s="144"/>
      <c r="C873" s="144"/>
      <c r="D873" s="152"/>
    </row>
    <row r="874" spans="2:4">
      <c r="B874" s="144"/>
      <c r="C874" s="144"/>
      <c r="D874" s="152"/>
    </row>
    <row r="875" spans="2:4">
      <c r="B875" s="144"/>
      <c r="C875" s="144"/>
      <c r="D875" s="152"/>
    </row>
    <row r="876" spans="2:4">
      <c r="B876" s="144"/>
      <c r="C876" s="144"/>
      <c r="D876" s="152"/>
    </row>
    <row r="877" spans="2:4">
      <c r="B877" s="144"/>
      <c r="C877" s="144"/>
      <c r="D877" s="152"/>
    </row>
    <row r="878" spans="2:4">
      <c r="B878" s="144"/>
      <c r="C878" s="144"/>
      <c r="D878" s="152"/>
    </row>
    <row r="879" spans="2:4">
      <c r="B879" s="144"/>
      <c r="C879" s="144"/>
      <c r="D879" s="152"/>
    </row>
    <row r="880" spans="2:4">
      <c r="B880" s="144"/>
      <c r="C880" s="144"/>
      <c r="D880" s="152"/>
    </row>
    <row r="881" spans="2:4">
      <c r="B881" s="144"/>
      <c r="C881" s="144"/>
      <c r="D881" s="152"/>
    </row>
    <row r="882" spans="2:4">
      <c r="B882" s="144"/>
      <c r="C882" s="144"/>
      <c r="D882" s="152"/>
    </row>
    <row r="883" spans="2:4">
      <c r="B883" s="144"/>
      <c r="C883" s="144"/>
      <c r="D883" s="152"/>
    </row>
    <row r="884" spans="2:4">
      <c r="B884" s="144"/>
      <c r="C884" s="144"/>
      <c r="D884" s="152"/>
    </row>
    <row r="885" spans="2:4">
      <c r="B885" s="144"/>
      <c r="C885" s="144"/>
      <c r="D885" s="152"/>
    </row>
    <row r="886" spans="2:4">
      <c r="B886" s="144"/>
      <c r="C886" s="144"/>
      <c r="D886" s="152"/>
    </row>
    <row r="887" spans="2:4">
      <c r="B887" s="144"/>
      <c r="C887" s="144"/>
      <c r="D887" s="152"/>
    </row>
    <row r="888" spans="2:4">
      <c r="B888" s="144"/>
      <c r="C888" s="144"/>
      <c r="D888" s="152"/>
    </row>
    <row r="889" spans="2:4">
      <c r="B889" s="144"/>
      <c r="C889" s="144"/>
      <c r="D889" s="152"/>
    </row>
    <row r="890" spans="2:4">
      <c r="B890" s="144"/>
      <c r="C890" s="144"/>
      <c r="D890" s="152"/>
    </row>
    <row r="891" spans="2:4">
      <c r="B891" s="144"/>
      <c r="C891" s="144"/>
      <c r="D891" s="152"/>
    </row>
    <row r="892" spans="2:4">
      <c r="B892" s="144"/>
      <c r="C892" s="144"/>
      <c r="D892" s="152"/>
    </row>
    <row r="893" spans="2:4">
      <c r="B893" s="144"/>
      <c r="C893" s="144"/>
      <c r="D893" s="152"/>
    </row>
    <row r="894" spans="2:4">
      <c r="B894" s="144"/>
      <c r="C894" s="144"/>
      <c r="D894" s="152"/>
    </row>
    <row r="895" spans="2:4">
      <c r="B895" s="144"/>
      <c r="C895" s="144"/>
      <c r="D895" s="152"/>
    </row>
    <row r="896" spans="2:4">
      <c r="B896" s="144"/>
      <c r="C896" s="144"/>
      <c r="D896" s="152"/>
    </row>
    <row r="897" spans="2:4">
      <c r="B897" s="144"/>
      <c r="C897" s="144"/>
      <c r="D897" s="152"/>
    </row>
    <row r="898" spans="2:4">
      <c r="B898" s="144"/>
      <c r="C898" s="144"/>
      <c r="D898" s="152"/>
    </row>
    <row r="899" spans="2:4">
      <c r="B899" s="144"/>
      <c r="C899" s="144"/>
      <c r="D899" s="152"/>
    </row>
    <row r="900" spans="2:4">
      <c r="B900" s="144"/>
      <c r="C900" s="144"/>
      <c r="D900" s="152"/>
    </row>
    <row r="901" spans="2:4">
      <c r="B901" s="144"/>
      <c r="C901" s="144"/>
      <c r="D901" s="152"/>
    </row>
    <row r="902" spans="2:4">
      <c r="B902" s="144"/>
      <c r="C902" s="144"/>
      <c r="D902" s="152"/>
    </row>
    <row r="903" spans="2:4">
      <c r="B903" s="144"/>
      <c r="C903" s="144"/>
      <c r="D903" s="152"/>
    </row>
    <row r="904" spans="2:4">
      <c r="B904" s="144"/>
      <c r="C904" s="144"/>
      <c r="D904" s="152"/>
    </row>
    <row r="905" spans="2:4">
      <c r="B905" s="144"/>
      <c r="C905" s="144"/>
      <c r="D905" s="152"/>
    </row>
    <row r="906" spans="2:4">
      <c r="B906" s="144"/>
      <c r="C906" s="144"/>
      <c r="D906" s="152"/>
    </row>
    <row r="907" spans="2:4">
      <c r="B907" s="144"/>
      <c r="C907" s="144"/>
      <c r="D907" s="152"/>
    </row>
    <row r="908" spans="2:4">
      <c r="B908" s="144"/>
      <c r="C908" s="144"/>
      <c r="D908" s="152"/>
    </row>
    <row r="909" spans="2:4">
      <c r="B909" s="144"/>
      <c r="C909" s="144"/>
      <c r="D909" s="152"/>
    </row>
    <row r="910" spans="2:4">
      <c r="B910" s="144"/>
      <c r="C910" s="144"/>
      <c r="D910" s="152"/>
    </row>
    <row r="911" spans="2:4">
      <c r="B911" s="144"/>
      <c r="C911" s="144"/>
      <c r="D911" s="152"/>
    </row>
    <row r="912" spans="2:4">
      <c r="B912" s="144"/>
      <c r="C912" s="144"/>
      <c r="D912" s="152"/>
    </row>
    <row r="913" spans="2:4">
      <c r="B913" s="144"/>
      <c r="C913" s="144"/>
      <c r="D913" s="152"/>
    </row>
    <row r="914" spans="2:4">
      <c r="B914" s="144"/>
      <c r="C914" s="144"/>
      <c r="D914" s="152"/>
    </row>
    <row r="915" spans="2:4">
      <c r="B915" s="144"/>
      <c r="C915" s="144"/>
      <c r="D915" s="152"/>
    </row>
    <row r="916" spans="2:4">
      <c r="B916" s="144"/>
      <c r="C916" s="144"/>
      <c r="D916" s="152"/>
    </row>
    <row r="917" spans="2:4">
      <c r="B917" s="144"/>
      <c r="C917" s="144"/>
      <c r="D917" s="152"/>
    </row>
    <row r="918" spans="2:4">
      <c r="B918" s="144"/>
      <c r="C918" s="144"/>
      <c r="D918" s="152"/>
    </row>
    <row r="919" spans="2:4">
      <c r="B919" s="144"/>
      <c r="C919" s="144"/>
      <c r="D919" s="152"/>
    </row>
    <row r="920" spans="2:4">
      <c r="B920" s="144"/>
      <c r="C920" s="144"/>
      <c r="D920" s="152"/>
    </row>
    <row r="921" spans="2:4">
      <c r="B921" s="144"/>
      <c r="C921" s="144"/>
      <c r="D921" s="152"/>
    </row>
    <row r="922" spans="2:4">
      <c r="B922" s="144"/>
      <c r="C922" s="144"/>
      <c r="D922" s="152"/>
    </row>
    <row r="923" spans="2:4">
      <c r="B923" s="144"/>
      <c r="C923" s="144"/>
      <c r="D923" s="152"/>
    </row>
    <row r="924" spans="2:4">
      <c r="B924" s="144"/>
      <c r="C924" s="144"/>
      <c r="D924" s="152"/>
    </row>
    <row r="925" spans="2:4">
      <c r="B925" s="144"/>
      <c r="C925" s="144"/>
      <c r="D925" s="152"/>
    </row>
    <row r="926" spans="2:4">
      <c r="B926" s="144"/>
      <c r="C926" s="144"/>
      <c r="D926" s="152"/>
    </row>
    <row r="927" spans="2:4">
      <c r="B927" s="144"/>
      <c r="C927" s="144"/>
      <c r="D927" s="152"/>
    </row>
    <row r="928" spans="2:4">
      <c r="B928" s="144"/>
      <c r="C928" s="144"/>
      <c r="D928" s="152"/>
    </row>
    <row r="929" spans="2:4">
      <c r="B929" s="144"/>
      <c r="C929" s="144"/>
      <c r="D929" s="152"/>
    </row>
    <row r="930" spans="2:4">
      <c r="B930" s="144"/>
      <c r="C930" s="144"/>
      <c r="D930" s="152"/>
    </row>
    <row r="931" spans="2:4">
      <c r="B931" s="144"/>
      <c r="C931" s="144"/>
      <c r="D931" s="152"/>
    </row>
    <row r="932" spans="2:4">
      <c r="B932" s="144"/>
      <c r="C932" s="144"/>
      <c r="D932" s="152"/>
    </row>
    <row r="933" spans="2:4">
      <c r="B933" s="144"/>
      <c r="C933" s="144"/>
      <c r="D933" s="152"/>
    </row>
    <row r="934" spans="2:4">
      <c r="B934" s="144"/>
      <c r="C934" s="144"/>
      <c r="D934" s="152"/>
    </row>
    <row r="935" spans="2:4">
      <c r="B935" s="144"/>
      <c r="C935" s="144"/>
      <c r="D935" s="152"/>
    </row>
    <row r="936" spans="2:4">
      <c r="B936" s="144"/>
      <c r="C936" s="144"/>
      <c r="D936" s="152"/>
    </row>
    <row r="937" spans="2:4">
      <c r="B937" s="144"/>
      <c r="C937" s="144"/>
      <c r="D937" s="152"/>
    </row>
    <row r="938" spans="2:4">
      <c r="B938" s="144"/>
      <c r="C938" s="144"/>
      <c r="D938" s="152"/>
    </row>
    <row r="939" spans="2:4">
      <c r="B939" s="144"/>
      <c r="C939" s="144"/>
      <c r="D939" s="152"/>
    </row>
    <row r="940" spans="2:4">
      <c r="B940" s="144"/>
      <c r="C940" s="144"/>
      <c r="D940" s="152"/>
    </row>
    <row r="941" spans="2:4">
      <c r="B941" s="144"/>
      <c r="C941" s="144"/>
      <c r="D941" s="152"/>
    </row>
    <row r="942" spans="2:4">
      <c r="B942" s="144"/>
      <c r="C942" s="144"/>
      <c r="D942" s="152"/>
    </row>
    <row r="943" spans="2:4">
      <c r="B943" s="144"/>
      <c r="C943" s="144"/>
      <c r="D943" s="152"/>
    </row>
    <row r="944" spans="2:4">
      <c r="B944" s="144"/>
      <c r="C944" s="144"/>
      <c r="D944" s="152"/>
    </row>
    <row r="945" spans="2:4">
      <c r="B945" s="144"/>
      <c r="C945" s="144"/>
      <c r="D945" s="152"/>
    </row>
    <row r="946" spans="2:4">
      <c r="B946" s="144"/>
      <c r="C946" s="144"/>
      <c r="D946" s="152"/>
    </row>
    <row r="947" spans="2:4">
      <c r="B947" s="144"/>
      <c r="C947" s="144"/>
      <c r="D947" s="152"/>
    </row>
    <row r="948" spans="2:4">
      <c r="B948" s="144"/>
      <c r="C948" s="144"/>
      <c r="D948" s="152"/>
    </row>
    <row r="949" spans="2:4">
      <c r="B949" s="144"/>
      <c r="C949" s="144"/>
      <c r="D949" s="152"/>
    </row>
    <row r="950" spans="2:4">
      <c r="B950" s="144"/>
      <c r="C950" s="144"/>
      <c r="D950" s="152"/>
    </row>
    <row r="951" spans="2:4">
      <c r="B951" s="144"/>
      <c r="C951" s="144"/>
      <c r="D951" s="152"/>
    </row>
    <row r="952" spans="2:4">
      <c r="B952" s="144"/>
      <c r="C952" s="144"/>
      <c r="D952" s="152"/>
    </row>
    <row r="953" spans="2:4">
      <c r="B953" s="144"/>
      <c r="C953" s="144"/>
      <c r="D953" s="152"/>
    </row>
    <row r="954" spans="2:4">
      <c r="B954" s="144"/>
      <c r="C954" s="144"/>
      <c r="D954" s="152"/>
    </row>
    <row r="955" spans="2:4">
      <c r="B955" s="144"/>
      <c r="C955" s="144"/>
      <c r="D955" s="152"/>
    </row>
    <row r="956" spans="2:4">
      <c r="B956" s="144"/>
      <c r="C956" s="144"/>
      <c r="D956" s="152"/>
    </row>
    <row r="957" spans="2:4">
      <c r="B957" s="144"/>
      <c r="C957" s="144"/>
      <c r="D957" s="152"/>
    </row>
    <row r="958" spans="2:4">
      <c r="B958" s="144"/>
      <c r="C958" s="144"/>
      <c r="D958" s="152"/>
    </row>
    <row r="959" spans="2:4">
      <c r="B959" s="144"/>
      <c r="C959" s="144"/>
      <c r="D959" s="152"/>
    </row>
    <row r="960" spans="2:4">
      <c r="B960" s="144"/>
      <c r="C960" s="144"/>
      <c r="D960" s="152"/>
    </row>
    <row r="961" spans="2:4">
      <c r="B961" s="144"/>
      <c r="C961" s="144"/>
      <c r="D961" s="152"/>
    </row>
    <row r="962" spans="2:4">
      <c r="B962" s="144"/>
      <c r="C962" s="144"/>
      <c r="D962" s="152"/>
    </row>
    <row r="963" spans="2:4">
      <c r="B963" s="144"/>
      <c r="C963" s="144"/>
      <c r="D963" s="152"/>
    </row>
    <row r="964" spans="2:4">
      <c r="B964" s="144"/>
      <c r="C964" s="144"/>
      <c r="D964" s="152"/>
    </row>
    <row r="965" spans="2:4">
      <c r="B965" s="144"/>
      <c r="C965" s="144"/>
      <c r="D965" s="152"/>
    </row>
    <row r="966" spans="2:4">
      <c r="B966" s="144"/>
      <c r="C966" s="144"/>
      <c r="D966" s="152"/>
    </row>
    <row r="967" spans="2:4">
      <c r="B967" s="144"/>
      <c r="C967" s="144"/>
      <c r="D967" s="152"/>
    </row>
    <row r="968" spans="2:4">
      <c r="B968" s="144"/>
      <c r="C968" s="144"/>
      <c r="D968" s="152"/>
    </row>
    <row r="969" spans="2:4">
      <c r="B969" s="144"/>
      <c r="C969" s="144"/>
      <c r="D969" s="152"/>
    </row>
    <row r="970" spans="2:4">
      <c r="B970" s="144"/>
      <c r="C970" s="144"/>
      <c r="D970" s="152"/>
    </row>
    <row r="971" spans="2:4">
      <c r="B971" s="144"/>
      <c r="C971" s="144"/>
      <c r="D971" s="152"/>
    </row>
    <row r="972" spans="2:4">
      <c r="B972" s="144"/>
      <c r="C972" s="144"/>
      <c r="D972" s="152"/>
    </row>
    <row r="973" spans="2:4">
      <c r="B973" s="144"/>
      <c r="C973" s="144"/>
      <c r="D973" s="152"/>
    </row>
    <row r="974" spans="2:4">
      <c r="B974" s="144"/>
      <c r="C974" s="144"/>
      <c r="D974" s="152"/>
    </row>
    <row r="975" spans="2:4">
      <c r="B975" s="144"/>
      <c r="C975" s="144"/>
      <c r="D975" s="152"/>
    </row>
    <row r="976" spans="2:4">
      <c r="B976" s="144"/>
      <c r="C976" s="144"/>
      <c r="D976" s="152"/>
    </row>
    <row r="977" spans="2:4">
      <c r="B977" s="144"/>
      <c r="C977" s="144"/>
      <c r="D977" s="152"/>
    </row>
    <row r="978" spans="2:4">
      <c r="B978" s="144"/>
      <c r="C978" s="144"/>
      <c r="D978" s="152"/>
    </row>
    <row r="979" spans="2:4">
      <c r="B979" s="144"/>
      <c r="C979" s="144"/>
      <c r="D979" s="152"/>
    </row>
    <row r="980" spans="2:4">
      <c r="B980" s="144"/>
      <c r="C980" s="144"/>
      <c r="D980" s="152"/>
    </row>
  </sheetData>
  <autoFilter ref="B3:D3" xr:uid="{00000000-0009-0000-0000-000006000000}"/>
  <mergeCells count="1">
    <mergeCell ref="B2:D2"/>
  </mergeCells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980"/>
  <sheetViews>
    <sheetView topLeftCell="A3" zoomScale="140" zoomScaleNormal="140" workbookViewId="0">
      <pane xSplit="2" ySplit="1" topLeftCell="C4" activePane="bottomRight" state="frozen"/>
      <selection activeCell="A3" sqref="A3"/>
      <selection pane="topRight" activeCell="C3" sqref="C3"/>
      <selection pane="bottomLeft" activeCell="A4" sqref="A4"/>
      <selection pane="bottomRight" activeCell="B7" sqref="B7"/>
    </sheetView>
  </sheetViews>
  <sheetFormatPr defaultColWidth="9" defaultRowHeight="15"/>
  <cols>
    <col min="1" max="1" width="9" style="131"/>
    <col min="2" max="2" width="18.125" style="131" customWidth="1"/>
    <col min="3" max="3" width="38.375" style="131" customWidth="1"/>
    <col min="4" max="4" width="9.125" style="195" customWidth="1"/>
    <col min="5" max="5" width="9" style="131"/>
    <col min="6" max="6" width="19.5" style="131" bestFit="1" customWidth="1"/>
    <col min="7" max="16384" width="9" style="131"/>
  </cols>
  <sheetData>
    <row r="1" spans="2:7">
      <c r="B1" s="144"/>
      <c r="C1" s="144"/>
      <c r="D1" s="152"/>
    </row>
    <row r="2" spans="2:7">
      <c r="B2" s="443" t="s">
        <v>419</v>
      </c>
      <c r="C2" s="442"/>
      <c r="D2" s="442"/>
    </row>
    <row r="3" spans="2:7">
      <c r="B3" s="153" t="s">
        <v>341</v>
      </c>
      <c r="C3" s="154" t="s">
        <v>342</v>
      </c>
      <c r="D3" s="155" t="s">
        <v>13</v>
      </c>
    </row>
    <row r="4" spans="2:7" ht="60">
      <c r="B4" s="190" t="s">
        <v>420</v>
      </c>
      <c r="C4" s="190" t="s">
        <v>421</v>
      </c>
      <c r="D4" s="136">
        <v>0.95</v>
      </c>
      <c r="E4" s="139" t="s">
        <v>422</v>
      </c>
      <c r="G4" s="191"/>
    </row>
    <row r="5" spans="2:7" ht="45">
      <c r="B5" s="144" t="s">
        <v>423</v>
      </c>
      <c r="C5" s="144" t="s">
        <v>424</v>
      </c>
      <c r="D5" s="136">
        <v>1</v>
      </c>
    </row>
    <row r="6" spans="2:7" ht="30">
      <c r="B6" s="144" t="s">
        <v>425</v>
      </c>
      <c r="C6" s="144" t="s">
        <v>426</v>
      </c>
      <c r="D6" s="136">
        <v>0.7</v>
      </c>
      <c r="E6" s="191">
        <f>700/3500</f>
        <v>0.2</v>
      </c>
      <c r="F6" s="192">
        <f>250/3500</f>
        <v>7.1428571428571425E-2</v>
      </c>
    </row>
    <row r="7" spans="2:7" ht="45">
      <c r="B7" s="135" t="s">
        <v>348</v>
      </c>
      <c r="C7" s="135" t="s">
        <v>283</v>
      </c>
      <c r="D7" s="137" t="s">
        <v>349</v>
      </c>
      <c r="F7" s="139" t="s">
        <v>351</v>
      </c>
    </row>
    <row r="8" spans="2:7" ht="60">
      <c r="B8" s="189" t="s">
        <v>358</v>
      </c>
      <c r="C8" s="184" t="s">
        <v>418</v>
      </c>
      <c r="D8" s="187">
        <v>1</v>
      </c>
    </row>
    <row r="9" spans="2:7" ht="60">
      <c r="B9" s="147" t="s">
        <v>427</v>
      </c>
      <c r="C9" s="157" t="s">
        <v>357</v>
      </c>
      <c r="D9" s="193">
        <v>0.5</v>
      </c>
    </row>
    <row r="10" spans="2:7" ht="45">
      <c r="B10" s="157" t="s">
        <v>359</v>
      </c>
      <c r="C10" s="157" t="s">
        <v>360</v>
      </c>
      <c r="D10" s="159">
        <v>0.83</v>
      </c>
    </row>
    <row r="11" spans="2:7" ht="45">
      <c r="B11" s="145" t="s">
        <v>363</v>
      </c>
      <c r="C11" s="145" t="s">
        <v>364</v>
      </c>
      <c r="D11" s="146">
        <v>0.73</v>
      </c>
    </row>
    <row r="12" spans="2:7" ht="60">
      <c r="B12" s="145" t="s">
        <v>365</v>
      </c>
      <c r="C12" s="145" t="s">
        <v>366</v>
      </c>
      <c r="D12" s="150" t="s">
        <v>158</v>
      </c>
    </row>
    <row r="13" spans="2:7" ht="60">
      <c r="B13" s="145" t="s">
        <v>367</v>
      </c>
      <c r="C13" s="145" t="s">
        <v>368</v>
      </c>
      <c r="D13" s="146">
        <v>0.75</v>
      </c>
    </row>
    <row r="14" spans="2:7" ht="30">
      <c r="B14" s="145" t="s">
        <v>369</v>
      </c>
      <c r="C14" s="145" t="s">
        <v>370</v>
      </c>
      <c r="D14" s="146">
        <v>0.9</v>
      </c>
    </row>
    <row r="15" spans="2:7" ht="60">
      <c r="B15" s="145" t="s">
        <v>371</v>
      </c>
      <c r="C15" s="157" t="s">
        <v>372</v>
      </c>
      <c r="D15" s="194" t="s">
        <v>19</v>
      </c>
    </row>
    <row r="16" spans="2:7" ht="60">
      <c r="B16" s="145" t="s">
        <v>356</v>
      </c>
      <c r="C16" s="145" t="s">
        <v>357</v>
      </c>
      <c r="D16" s="146">
        <v>0.5</v>
      </c>
    </row>
    <row r="17" spans="2:4" ht="45">
      <c r="B17" s="147" t="s">
        <v>373</v>
      </c>
      <c r="C17" s="157" t="e">
        <f>VLOOKUP(B17,#REF!,2,0)</f>
        <v>#REF!</v>
      </c>
      <c r="D17" s="159" t="e">
        <f>VLOOKUP(B17,#REF!,3,0)</f>
        <v>#REF!</v>
      </c>
    </row>
    <row r="18" spans="2:4">
      <c r="B18" s="144"/>
      <c r="C18" s="144"/>
      <c r="D18" s="152"/>
    </row>
    <row r="19" spans="2:4">
      <c r="B19" s="144"/>
      <c r="C19" s="144"/>
      <c r="D19" s="152"/>
    </row>
    <row r="20" spans="2:4">
      <c r="B20" s="144"/>
      <c r="C20" s="144"/>
      <c r="D20" s="152"/>
    </row>
    <row r="21" spans="2:4">
      <c r="B21" s="144"/>
      <c r="C21" s="144"/>
      <c r="D21" s="152"/>
    </row>
    <row r="22" spans="2:4">
      <c r="B22" s="144"/>
      <c r="C22" s="144"/>
      <c r="D22" s="152"/>
    </row>
    <row r="23" spans="2:4">
      <c r="B23" s="144"/>
      <c r="C23" s="144"/>
      <c r="D23" s="152"/>
    </row>
    <row r="24" spans="2:4">
      <c r="B24" s="144"/>
      <c r="C24" s="144"/>
      <c r="D24" s="152"/>
    </row>
    <row r="25" spans="2:4">
      <c r="B25" s="144"/>
      <c r="C25" s="144"/>
      <c r="D25" s="152"/>
    </row>
    <row r="26" spans="2:4">
      <c r="B26" s="144"/>
      <c r="C26" s="144"/>
      <c r="D26" s="152"/>
    </row>
    <row r="27" spans="2:4">
      <c r="B27" s="144"/>
      <c r="C27" s="144"/>
      <c r="D27" s="152"/>
    </row>
    <row r="28" spans="2:4">
      <c r="B28" s="144"/>
      <c r="C28" s="144"/>
      <c r="D28" s="152"/>
    </row>
    <row r="29" spans="2:4">
      <c r="B29" s="144"/>
      <c r="C29" s="144"/>
      <c r="D29" s="152"/>
    </row>
    <row r="30" spans="2:4">
      <c r="B30" s="144"/>
      <c r="C30" s="144"/>
      <c r="D30" s="152"/>
    </row>
    <row r="31" spans="2:4">
      <c r="B31" s="144"/>
      <c r="C31" s="144"/>
      <c r="D31" s="152"/>
    </row>
    <row r="32" spans="2:4">
      <c r="B32" s="144"/>
      <c r="C32" s="144"/>
      <c r="D32" s="152"/>
    </row>
    <row r="33" spans="2:4">
      <c r="B33" s="144"/>
      <c r="C33" s="144"/>
      <c r="D33" s="152"/>
    </row>
    <row r="34" spans="2:4">
      <c r="B34" s="144"/>
      <c r="C34" s="144"/>
      <c r="D34" s="152"/>
    </row>
    <row r="35" spans="2:4">
      <c r="B35" s="144"/>
      <c r="C35" s="144"/>
      <c r="D35" s="152"/>
    </row>
    <row r="36" spans="2:4">
      <c r="B36" s="144"/>
      <c r="C36" s="144"/>
      <c r="D36" s="152"/>
    </row>
    <row r="37" spans="2:4">
      <c r="B37" s="144"/>
      <c r="C37" s="144"/>
      <c r="D37" s="152"/>
    </row>
    <row r="38" spans="2:4">
      <c r="B38" s="144"/>
      <c r="C38" s="144"/>
      <c r="D38" s="152"/>
    </row>
    <row r="39" spans="2:4">
      <c r="B39" s="144"/>
      <c r="C39" s="144"/>
      <c r="D39" s="152"/>
    </row>
    <row r="40" spans="2:4">
      <c r="B40" s="144"/>
      <c r="C40" s="144"/>
      <c r="D40" s="152"/>
    </row>
    <row r="41" spans="2:4">
      <c r="B41" s="144"/>
      <c r="C41" s="144"/>
      <c r="D41" s="152"/>
    </row>
    <row r="42" spans="2:4">
      <c r="B42" s="144"/>
      <c r="C42" s="144"/>
      <c r="D42" s="152"/>
    </row>
    <row r="43" spans="2:4">
      <c r="B43" s="144"/>
      <c r="C43" s="144"/>
      <c r="D43" s="152"/>
    </row>
    <row r="44" spans="2:4">
      <c r="B44" s="144"/>
      <c r="C44" s="144"/>
      <c r="D44" s="152"/>
    </row>
    <row r="45" spans="2:4">
      <c r="B45" s="144"/>
      <c r="C45" s="144"/>
      <c r="D45" s="152"/>
    </row>
    <row r="46" spans="2:4">
      <c r="B46" s="144"/>
      <c r="C46" s="144"/>
      <c r="D46" s="152"/>
    </row>
    <row r="47" spans="2:4">
      <c r="B47" s="144"/>
      <c r="C47" s="144"/>
      <c r="D47" s="152"/>
    </row>
    <row r="48" spans="2:4">
      <c r="B48" s="144"/>
      <c r="C48" s="144"/>
      <c r="D48" s="152"/>
    </row>
    <row r="49" spans="2:4">
      <c r="B49" s="144"/>
      <c r="C49" s="144"/>
      <c r="D49" s="152"/>
    </row>
    <row r="50" spans="2:4">
      <c r="B50" s="144"/>
      <c r="C50" s="144"/>
      <c r="D50" s="152"/>
    </row>
    <row r="51" spans="2:4">
      <c r="B51" s="144"/>
      <c r="C51" s="144"/>
      <c r="D51" s="152"/>
    </row>
    <row r="52" spans="2:4">
      <c r="B52" s="144"/>
      <c r="C52" s="144"/>
      <c r="D52" s="152"/>
    </row>
    <row r="53" spans="2:4">
      <c r="B53" s="144"/>
      <c r="C53" s="144"/>
      <c r="D53" s="152"/>
    </row>
    <row r="54" spans="2:4">
      <c r="B54" s="144"/>
      <c r="C54" s="144"/>
      <c r="D54" s="152"/>
    </row>
    <row r="55" spans="2:4">
      <c r="B55" s="144"/>
      <c r="C55" s="144"/>
      <c r="D55" s="152"/>
    </row>
    <row r="56" spans="2:4">
      <c r="B56" s="144"/>
      <c r="C56" s="144"/>
      <c r="D56" s="152"/>
    </row>
    <row r="57" spans="2:4">
      <c r="B57" s="144"/>
      <c r="C57" s="144"/>
      <c r="D57" s="152"/>
    </row>
    <row r="58" spans="2:4">
      <c r="B58" s="144"/>
      <c r="C58" s="144"/>
      <c r="D58" s="152"/>
    </row>
    <row r="59" spans="2:4">
      <c r="B59" s="144"/>
      <c r="C59" s="144"/>
      <c r="D59" s="152"/>
    </row>
    <row r="60" spans="2:4">
      <c r="B60" s="144"/>
      <c r="C60" s="144"/>
      <c r="D60" s="152"/>
    </row>
    <row r="61" spans="2:4">
      <c r="B61" s="144"/>
      <c r="C61" s="144"/>
      <c r="D61" s="152"/>
    </row>
    <row r="62" spans="2:4">
      <c r="B62" s="144"/>
      <c r="C62" s="144"/>
      <c r="D62" s="152"/>
    </row>
    <row r="63" spans="2:4">
      <c r="B63" s="144"/>
      <c r="C63" s="144"/>
      <c r="D63" s="152"/>
    </row>
    <row r="64" spans="2:4">
      <c r="B64" s="144"/>
      <c r="C64" s="144"/>
      <c r="D64" s="152"/>
    </row>
    <row r="65" spans="2:4">
      <c r="B65" s="144"/>
      <c r="C65" s="144"/>
      <c r="D65" s="152"/>
    </row>
    <row r="66" spans="2:4">
      <c r="B66" s="144"/>
      <c r="C66" s="144"/>
      <c r="D66" s="152"/>
    </row>
    <row r="67" spans="2:4">
      <c r="B67" s="144"/>
      <c r="C67" s="144"/>
      <c r="D67" s="152"/>
    </row>
    <row r="68" spans="2:4">
      <c r="B68" s="144"/>
      <c r="C68" s="144"/>
      <c r="D68" s="152"/>
    </row>
    <row r="69" spans="2:4">
      <c r="B69" s="144"/>
      <c r="C69" s="144"/>
      <c r="D69" s="152"/>
    </row>
    <row r="70" spans="2:4">
      <c r="B70" s="144"/>
      <c r="C70" s="144"/>
      <c r="D70" s="152"/>
    </row>
    <row r="71" spans="2:4">
      <c r="B71" s="144"/>
      <c r="C71" s="144"/>
      <c r="D71" s="152"/>
    </row>
    <row r="72" spans="2:4">
      <c r="B72" s="144"/>
      <c r="C72" s="144"/>
      <c r="D72" s="152"/>
    </row>
    <row r="73" spans="2:4">
      <c r="B73" s="144"/>
      <c r="C73" s="144"/>
      <c r="D73" s="152"/>
    </row>
    <row r="74" spans="2:4">
      <c r="B74" s="144"/>
      <c r="C74" s="144"/>
      <c r="D74" s="152"/>
    </row>
    <row r="75" spans="2:4">
      <c r="B75" s="144"/>
      <c r="C75" s="144"/>
      <c r="D75" s="152"/>
    </row>
    <row r="76" spans="2:4">
      <c r="B76" s="144"/>
      <c r="C76" s="144"/>
      <c r="D76" s="152"/>
    </row>
    <row r="77" spans="2:4">
      <c r="B77" s="144"/>
      <c r="C77" s="144"/>
      <c r="D77" s="152"/>
    </row>
    <row r="78" spans="2:4">
      <c r="B78" s="144"/>
      <c r="C78" s="144"/>
      <c r="D78" s="152"/>
    </row>
    <row r="79" spans="2:4">
      <c r="B79" s="144"/>
      <c r="C79" s="144"/>
      <c r="D79" s="152"/>
    </row>
    <row r="80" spans="2:4">
      <c r="B80" s="144"/>
      <c r="C80" s="144"/>
      <c r="D80" s="152"/>
    </row>
    <row r="81" spans="2:4">
      <c r="B81" s="144"/>
      <c r="C81" s="144"/>
      <c r="D81" s="152"/>
    </row>
    <row r="82" spans="2:4">
      <c r="B82" s="144"/>
      <c r="C82" s="144"/>
      <c r="D82" s="152"/>
    </row>
    <row r="83" spans="2:4">
      <c r="B83" s="144"/>
      <c r="C83" s="144"/>
      <c r="D83" s="152"/>
    </row>
    <row r="84" spans="2:4">
      <c r="B84" s="144"/>
      <c r="C84" s="144"/>
      <c r="D84" s="152"/>
    </row>
    <row r="85" spans="2:4">
      <c r="B85" s="144"/>
      <c r="C85" s="144"/>
      <c r="D85" s="152"/>
    </row>
    <row r="86" spans="2:4">
      <c r="B86" s="144"/>
      <c r="C86" s="144"/>
      <c r="D86" s="152"/>
    </row>
    <row r="87" spans="2:4">
      <c r="B87" s="144"/>
      <c r="C87" s="144"/>
      <c r="D87" s="152"/>
    </row>
    <row r="88" spans="2:4">
      <c r="B88" s="144"/>
      <c r="C88" s="144"/>
      <c r="D88" s="152"/>
    </row>
    <row r="89" spans="2:4">
      <c r="B89" s="144"/>
      <c r="C89" s="144"/>
      <c r="D89" s="152"/>
    </row>
    <row r="90" spans="2:4">
      <c r="B90" s="144"/>
      <c r="C90" s="144"/>
      <c r="D90" s="152"/>
    </row>
    <row r="91" spans="2:4">
      <c r="B91" s="144"/>
      <c r="C91" s="144"/>
      <c r="D91" s="152"/>
    </row>
    <row r="92" spans="2:4">
      <c r="B92" s="144"/>
      <c r="C92" s="144"/>
      <c r="D92" s="152"/>
    </row>
    <row r="93" spans="2:4">
      <c r="B93" s="144"/>
      <c r="C93" s="144"/>
      <c r="D93" s="152"/>
    </row>
    <row r="94" spans="2:4">
      <c r="B94" s="144"/>
      <c r="C94" s="144"/>
      <c r="D94" s="152"/>
    </row>
    <row r="95" spans="2:4">
      <c r="B95" s="144"/>
      <c r="C95" s="144"/>
      <c r="D95" s="152"/>
    </row>
    <row r="96" spans="2:4">
      <c r="B96" s="144"/>
      <c r="C96" s="144"/>
      <c r="D96" s="152"/>
    </row>
    <row r="97" spans="2:4">
      <c r="B97" s="144"/>
      <c r="C97" s="144"/>
      <c r="D97" s="152"/>
    </row>
    <row r="98" spans="2:4">
      <c r="B98" s="144"/>
      <c r="C98" s="144"/>
      <c r="D98" s="152"/>
    </row>
    <row r="99" spans="2:4">
      <c r="B99" s="144"/>
      <c r="C99" s="144"/>
      <c r="D99" s="152"/>
    </row>
    <row r="100" spans="2:4">
      <c r="B100" s="144"/>
      <c r="C100" s="144"/>
      <c r="D100" s="152"/>
    </row>
    <row r="101" spans="2:4">
      <c r="B101" s="144"/>
      <c r="C101" s="144"/>
      <c r="D101" s="152"/>
    </row>
    <row r="102" spans="2:4">
      <c r="B102" s="144"/>
      <c r="C102" s="144"/>
      <c r="D102" s="152"/>
    </row>
    <row r="103" spans="2:4">
      <c r="B103" s="144"/>
      <c r="C103" s="144"/>
      <c r="D103" s="152"/>
    </row>
    <row r="104" spans="2:4">
      <c r="B104" s="144"/>
      <c r="C104" s="144"/>
      <c r="D104" s="152"/>
    </row>
    <row r="105" spans="2:4">
      <c r="B105" s="144"/>
      <c r="C105" s="144"/>
      <c r="D105" s="152"/>
    </row>
    <row r="106" spans="2:4">
      <c r="B106" s="144"/>
      <c r="C106" s="144"/>
      <c r="D106" s="152"/>
    </row>
    <row r="107" spans="2:4">
      <c r="B107" s="144"/>
      <c r="C107" s="144"/>
      <c r="D107" s="152"/>
    </row>
    <row r="108" spans="2:4">
      <c r="B108" s="144"/>
      <c r="C108" s="144"/>
      <c r="D108" s="152"/>
    </row>
    <row r="109" spans="2:4">
      <c r="B109" s="144"/>
      <c r="C109" s="144"/>
      <c r="D109" s="152"/>
    </row>
    <row r="110" spans="2:4">
      <c r="B110" s="144"/>
      <c r="C110" s="144"/>
      <c r="D110" s="152"/>
    </row>
    <row r="111" spans="2:4">
      <c r="B111" s="144"/>
      <c r="C111" s="144"/>
      <c r="D111" s="152"/>
    </row>
    <row r="112" spans="2:4">
      <c r="B112" s="144"/>
      <c r="C112" s="144"/>
      <c r="D112" s="152"/>
    </row>
    <row r="113" spans="2:4">
      <c r="B113" s="144"/>
      <c r="C113" s="144"/>
      <c r="D113" s="152"/>
    </row>
    <row r="114" spans="2:4">
      <c r="B114" s="144"/>
      <c r="C114" s="144"/>
      <c r="D114" s="152"/>
    </row>
    <row r="115" spans="2:4">
      <c r="B115" s="144"/>
      <c r="C115" s="144"/>
      <c r="D115" s="152"/>
    </row>
    <row r="116" spans="2:4">
      <c r="B116" s="144"/>
      <c r="C116" s="144"/>
      <c r="D116" s="152"/>
    </row>
    <row r="117" spans="2:4">
      <c r="B117" s="144"/>
      <c r="C117" s="144"/>
      <c r="D117" s="152"/>
    </row>
    <row r="118" spans="2:4">
      <c r="B118" s="144"/>
      <c r="C118" s="144"/>
      <c r="D118" s="152"/>
    </row>
    <row r="119" spans="2:4">
      <c r="B119" s="144"/>
      <c r="C119" s="144"/>
      <c r="D119" s="152"/>
    </row>
    <row r="120" spans="2:4">
      <c r="B120" s="144"/>
      <c r="C120" s="144"/>
      <c r="D120" s="152"/>
    </row>
    <row r="121" spans="2:4">
      <c r="B121" s="144"/>
      <c r="C121" s="144"/>
      <c r="D121" s="152"/>
    </row>
    <row r="122" spans="2:4">
      <c r="B122" s="144"/>
      <c r="C122" s="144"/>
      <c r="D122" s="152"/>
    </row>
    <row r="123" spans="2:4">
      <c r="B123" s="144"/>
      <c r="C123" s="144"/>
      <c r="D123" s="152"/>
    </row>
    <row r="124" spans="2:4">
      <c r="B124" s="144"/>
      <c r="C124" s="144"/>
      <c r="D124" s="152"/>
    </row>
    <row r="125" spans="2:4">
      <c r="B125" s="144"/>
      <c r="C125" s="144"/>
      <c r="D125" s="152"/>
    </row>
    <row r="126" spans="2:4">
      <c r="B126" s="144"/>
      <c r="C126" s="144"/>
      <c r="D126" s="152"/>
    </row>
    <row r="127" spans="2:4">
      <c r="B127" s="144"/>
      <c r="C127" s="144"/>
      <c r="D127" s="152"/>
    </row>
    <row r="128" spans="2:4">
      <c r="B128" s="144"/>
      <c r="C128" s="144"/>
      <c r="D128" s="152"/>
    </row>
    <row r="129" spans="2:4">
      <c r="B129" s="144"/>
      <c r="C129" s="144"/>
      <c r="D129" s="152"/>
    </row>
    <row r="130" spans="2:4">
      <c r="B130" s="144"/>
      <c r="C130" s="144"/>
      <c r="D130" s="152"/>
    </row>
    <row r="131" spans="2:4">
      <c r="B131" s="144"/>
      <c r="C131" s="144"/>
      <c r="D131" s="152"/>
    </row>
    <row r="132" spans="2:4">
      <c r="B132" s="144"/>
      <c r="C132" s="144"/>
      <c r="D132" s="152"/>
    </row>
    <row r="133" spans="2:4">
      <c r="B133" s="144"/>
      <c r="C133" s="144"/>
      <c r="D133" s="152"/>
    </row>
    <row r="134" spans="2:4">
      <c r="B134" s="144"/>
      <c r="C134" s="144"/>
      <c r="D134" s="152"/>
    </row>
    <row r="135" spans="2:4">
      <c r="B135" s="144"/>
      <c r="C135" s="144"/>
      <c r="D135" s="152"/>
    </row>
    <row r="136" spans="2:4">
      <c r="B136" s="144"/>
      <c r="C136" s="144"/>
      <c r="D136" s="152"/>
    </row>
    <row r="137" spans="2:4">
      <c r="B137" s="144"/>
      <c r="C137" s="144"/>
      <c r="D137" s="152"/>
    </row>
    <row r="138" spans="2:4">
      <c r="B138" s="144"/>
      <c r="C138" s="144"/>
      <c r="D138" s="152"/>
    </row>
    <row r="139" spans="2:4">
      <c r="B139" s="144"/>
      <c r="C139" s="144"/>
      <c r="D139" s="152"/>
    </row>
    <row r="140" spans="2:4">
      <c r="B140" s="144"/>
      <c r="C140" s="144"/>
      <c r="D140" s="152"/>
    </row>
    <row r="141" spans="2:4">
      <c r="B141" s="144"/>
      <c r="C141" s="144"/>
      <c r="D141" s="152"/>
    </row>
    <row r="142" spans="2:4">
      <c r="B142" s="144"/>
      <c r="C142" s="144"/>
      <c r="D142" s="152"/>
    </row>
    <row r="143" spans="2:4">
      <c r="B143" s="144"/>
      <c r="C143" s="144"/>
      <c r="D143" s="152"/>
    </row>
    <row r="144" spans="2:4">
      <c r="B144" s="144"/>
      <c r="C144" s="144"/>
      <c r="D144" s="152"/>
    </row>
    <row r="145" spans="2:4">
      <c r="B145" s="144"/>
      <c r="C145" s="144"/>
      <c r="D145" s="152"/>
    </row>
    <row r="146" spans="2:4">
      <c r="B146" s="144"/>
      <c r="C146" s="144"/>
      <c r="D146" s="152"/>
    </row>
    <row r="147" spans="2:4">
      <c r="B147" s="144"/>
      <c r="C147" s="144"/>
      <c r="D147" s="152"/>
    </row>
    <row r="148" spans="2:4">
      <c r="B148" s="144"/>
      <c r="C148" s="144"/>
      <c r="D148" s="152"/>
    </row>
    <row r="149" spans="2:4">
      <c r="B149" s="144"/>
      <c r="C149" s="144"/>
      <c r="D149" s="152"/>
    </row>
    <row r="150" spans="2:4">
      <c r="B150" s="144"/>
      <c r="C150" s="144"/>
      <c r="D150" s="152"/>
    </row>
    <row r="151" spans="2:4">
      <c r="B151" s="144"/>
      <c r="C151" s="144"/>
      <c r="D151" s="152"/>
    </row>
    <row r="152" spans="2:4">
      <c r="B152" s="144"/>
      <c r="C152" s="144"/>
      <c r="D152" s="152"/>
    </row>
    <row r="153" spans="2:4">
      <c r="B153" s="144"/>
      <c r="C153" s="144"/>
      <c r="D153" s="152"/>
    </row>
    <row r="154" spans="2:4">
      <c r="B154" s="144"/>
      <c r="C154" s="144"/>
      <c r="D154" s="152"/>
    </row>
    <row r="155" spans="2:4">
      <c r="B155" s="144"/>
      <c r="C155" s="144"/>
      <c r="D155" s="152"/>
    </row>
    <row r="156" spans="2:4">
      <c r="B156" s="144"/>
      <c r="C156" s="144"/>
      <c r="D156" s="152"/>
    </row>
    <row r="157" spans="2:4">
      <c r="B157" s="144"/>
      <c r="C157" s="144"/>
      <c r="D157" s="152"/>
    </row>
    <row r="158" spans="2:4">
      <c r="B158" s="144"/>
      <c r="C158" s="144"/>
      <c r="D158" s="152"/>
    </row>
    <row r="159" spans="2:4">
      <c r="B159" s="144"/>
      <c r="C159" s="144"/>
      <c r="D159" s="152"/>
    </row>
    <row r="160" spans="2:4">
      <c r="B160" s="144"/>
      <c r="C160" s="144"/>
      <c r="D160" s="152"/>
    </row>
    <row r="161" spans="2:4">
      <c r="B161" s="144"/>
      <c r="C161" s="144"/>
      <c r="D161" s="152"/>
    </row>
    <row r="162" spans="2:4">
      <c r="B162" s="144"/>
      <c r="C162" s="144"/>
      <c r="D162" s="152"/>
    </row>
    <row r="163" spans="2:4">
      <c r="B163" s="144"/>
      <c r="C163" s="144"/>
      <c r="D163" s="152"/>
    </row>
    <row r="164" spans="2:4">
      <c r="B164" s="144"/>
      <c r="C164" s="144"/>
      <c r="D164" s="152"/>
    </row>
    <row r="165" spans="2:4">
      <c r="B165" s="144"/>
      <c r="C165" s="144"/>
      <c r="D165" s="152"/>
    </row>
    <row r="166" spans="2:4">
      <c r="B166" s="144"/>
      <c r="C166" s="144"/>
      <c r="D166" s="152"/>
    </row>
    <row r="167" spans="2:4">
      <c r="B167" s="144"/>
      <c r="C167" s="144"/>
      <c r="D167" s="152"/>
    </row>
    <row r="168" spans="2:4">
      <c r="B168" s="144"/>
      <c r="C168" s="144"/>
      <c r="D168" s="152"/>
    </row>
    <row r="169" spans="2:4">
      <c r="B169" s="144"/>
      <c r="C169" s="144"/>
      <c r="D169" s="152"/>
    </row>
    <row r="170" spans="2:4">
      <c r="B170" s="144"/>
      <c r="C170" s="144"/>
      <c r="D170" s="152"/>
    </row>
    <row r="171" spans="2:4">
      <c r="B171" s="144"/>
      <c r="C171" s="144"/>
      <c r="D171" s="152"/>
    </row>
    <row r="172" spans="2:4">
      <c r="B172" s="144"/>
      <c r="C172" s="144"/>
      <c r="D172" s="152"/>
    </row>
    <row r="173" spans="2:4">
      <c r="B173" s="144"/>
      <c r="C173" s="144"/>
      <c r="D173" s="152"/>
    </row>
    <row r="174" spans="2:4">
      <c r="B174" s="144"/>
      <c r="C174" s="144"/>
      <c r="D174" s="152"/>
    </row>
    <row r="175" spans="2:4">
      <c r="B175" s="144"/>
      <c r="C175" s="144"/>
      <c r="D175" s="152"/>
    </row>
    <row r="176" spans="2:4">
      <c r="B176" s="144"/>
      <c r="C176" s="144"/>
      <c r="D176" s="152"/>
    </row>
    <row r="177" spans="2:4">
      <c r="B177" s="144"/>
      <c r="C177" s="144"/>
      <c r="D177" s="152"/>
    </row>
    <row r="178" spans="2:4">
      <c r="B178" s="144"/>
      <c r="C178" s="144"/>
      <c r="D178" s="152"/>
    </row>
    <row r="179" spans="2:4">
      <c r="B179" s="144"/>
      <c r="C179" s="144"/>
      <c r="D179" s="152"/>
    </row>
    <row r="180" spans="2:4">
      <c r="B180" s="144"/>
      <c r="C180" s="144"/>
      <c r="D180" s="152"/>
    </row>
    <row r="181" spans="2:4">
      <c r="B181" s="144"/>
      <c r="C181" s="144"/>
      <c r="D181" s="152"/>
    </row>
    <row r="182" spans="2:4">
      <c r="B182" s="144"/>
      <c r="C182" s="144"/>
      <c r="D182" s="152"/>
    </row>
    <row r="183" spans="2:4">
      <c r="B183" s="144"/>
      <c r="C183" s="144"/>
      <c r="D183" s="152"/>
    </row>
    <row r="184" spans="2:4">
      <c r="B184" s="144"/>
      <c r="C184" s="144"/>
      <c r="D184" s="152"/>
    </row>
    <row r="185" spans="2:4">
      <c r="B185" s="144"/>
      <c r="C185" s="144"/>
      <c r="D185" s="152"/>
    </row>
    <row r="186" spans="2:4">
      <c r="B186" s="144"/>
      <c r="C186" s="144"/>
      <c r="D186" s="152"/>
    </row>
    <row r="187" spans="2:4">
      <c r="B187" s="144"/>
      <c r="C187" s="144"/>
      <c r="D187" s="152"/>
    </row>
    <row r="188" spans="2:4">
      <c r="B188" s="144"/>
      <c r="C188" s="144"/>
      <c r="D188" s="152"/>
    </row>
    <row r="189" spans="2:4">
      <c r="B189" s="144"/>
      <c r="C189" s="144"/>
      <c r="D189" s="152"/>
    </row>
    <row r="190" spans="2:4">
      <c r="B190" s="144"/>
      <c r="C190" s="144"/>
      <c r="D190" s="152"/>
    </row>
    <row r="191" spans="2:4">
      <c r="B191" s="144"/>
      <c r="C191" s="144"/>
      <c r="D191" s="152"/>
    </row>
    <row r="192" spans="2:4">
      <c r="B192" s="144"/>
      <c r="C192" s="144"/>
      <c r="D192" s="152"/>
    </row>
    <row r="193" spans="2:4">
      <c r="B193" s="144"/>
      <c r="C193" s="144"/>
      <c r="D193" s="152"/>
    </row>
    <row r="194" spans="2:4">
      <c r="B194" s="144"/>
      <c r="C194" s="144"/>
      <c r="D194" s="152"/>
    </row>
    <row r="195" spans="2:4">
      <c r="B195" s="144"/>
      <c r="C195" s="144"/>
      <c r="D195" s="152"/>
    </row>
    <row r="196" spans="2:4">
      <c r="B196" s="144"/>
      <c r="C196" s="144"/>
      <c r="D196" s="152"/>
    </row>
    <row r="197" spans="2:4">
      <c r="B197" s="144"/>
      <c r="C197" s="144"/>
      <c r="D197" s="152"/>
    </row>
    <row r="198" spans="2:4">
      <c r="B198" s="144"/>
      <c r="C198" s="144"/>
      <c r="D198" s="152"/>
    </row>
    <row r="199" spans="2:4">
      <c r="B199" s="144"/>
      <c r="C199" s="144"/>
      <c r="D199" s="152"/>
    </row>
    <row r="200" spans="2:4">
      <c r="B200" s="144"/>
      <c r="C200" s="144"/>
      <c r="D200" s="152"/>
    </row>
    <row r="201" spans="2:4">
      <c r="B201" s="144"/>
      <c r="C201" s="144"/>
      <c r="D201" s="152"/>
    </row>
    <row r="202" spans="2:4">
      <c r="B202" s="144"/>
      <c r="C202" s="144"/>
      <c r="D202" s="152"/>
    </row>
    <row r="203" spans="2:4">
      <c r="B203" s="144"/>
      <c r="C203" s="144"/>
      <c r="D203" s="152"/>
    </row>
    <row r="204" spans="2:4">
      <c r="B204" s="144"/>
      <c r="C204" s="144"/>
      <c r="D204" s="152"/>
    </row>
    <row r="205" spans="2:4">
      <c r="B205" s="144"/>
      <c r="C205" s="144"/>
      <c r="D205" s="152"/>
    </row>
    <row r="206" spans="2:4">
      <c r="B206" s="144"/>
      <c r="C206" s="144"/>
      <c r="D206" s="152"/>
    </row>
    <row r="207" spans="2:4">
      <c r="B207" s="144"/>
      <c r="C207" s="144"/>
      <c r="D207" s="152"/>
    </row>
    <row r="208" spans="2:4">
      <c r="B208" s="144"/>
      <c r="C208" s="144"/>
      <c r="D208" s="152"/>
    </row>
    <row r="209" spans="2:4">
      <c r="B209" s="144"/>
      <c r="C209" s="144"/>
      <c r="D209" s="152"/>
    </row>
    <row r="210" spans="2:4">
      <c r="B210" s="144"/>
      <c r="C210" s="144"/>
      <c r="D210" s="152"/>
    </row>
    <row r="211" spans="2:4">
      <c r="B211" s="144"/>
      <c r="C211" s="144"/>
      <c r="D211" s="152"/>
    </row>
    <row r="212" spans="2:4">
      <c r="B212" s="144"/>
      <c r="C212" s="144"/>
      <c r="D212" s="152"/>
    </row>
    <row r="213" spans="2:4">
      <c r="B213" s="144"/>
      <c r="C213" s="144"/>
      <c r="D213" s="152"/>
    </row>
    <row r="214" spans="2:4">
      <c r="B214" s="144"/>
      <c r="C214" s="144"/>
      <c r="D214" s="152"/>
    </row>
    <row r="215" spans="2:4">
      <c r="B215" s="144"/>
      <c r="C215" s="144"/>
      <c r="D215" s="152"/>
    </row>
    <row r="216" spans="2:4">
      <c r="B216" s="144"/>
      <c r="C216" s="144"/>
      <c r="D216" s="152"/>
    </row>
    <row r="217" spans="2:4">
      <c r="B217" s="144"/>
      <c r="C217" s="144"/>
      <c r="D217" s="152"/>
    </row>
    <row r="218" spans="2:4">
      <c r="B218" s="144"/>
      <c r="C218" s="144"/>
      <c r="D218" s="152"/>
    </row>
    <row r="219" spans="2:4">
      <c r="B219" s="144"/>
      <c r="C219" s="144"/>
      <c r="D219" s="152"/>
    </row>
    <row r="220" spans="2:4">
      <c r="B220" s="144"/>
      <c r="C220" s="144"/>
      <c r="D220" s="152"/>
    </row>
    <row r="221" spans="2:4">
      <c r="B221" s="144"/>
      <c r="C221" s="144"/>
      <c r="D221" s="152"/>
    </row>
    <row r="222" spans="2:4">
      <c r="B222" s="144"/>
      <c r="C222" s="144"/>
      <c r="D222" s="152"/>
    </row>
    <row r="223" spans="2:4">
      <c r="B223" s="144"/>
      <c r="C223" s="144"/>
      <c r="D223" s="152"/>
    </row>
    <row r="224" spans="2:4">
      <c r="B224" s="144"/>
      <c r="C224" s="144"/>
      <c r="D224" s="152"/>
    </row>
    <row r="225" spans="2:4">
      <c r="B225" s="144"/>
      <c r="C225" s="144"/>
      <c r="D225" s="152"/>
    </row>
    <row r="226" spans="2:4">
      <c r="B226" s="144"/>
      <c r="C226" s="144"/>
      <c r="D226" s="152"/>
    </row>
    <row r="227" spans="2:4">
      <c r="B227" s="144"/>
      <c r="C227" s="144"/>
      <c r="D227" s="152"/>
    </row>
    <row r="228" spans="2:4">
      <c r="B228" s="144"/>
      <c r="C228" s="144"/>
      <c r="D228" s="152"/>
    </row>
    <row r="229" spans="2:4">
      <c r="B229" s="144"/>
      <c r="C229" s="144"/>
      <c r="D229" s="152"/>
    </row>
    <row r="230" spans="2:4">
      <c r="B230" s="144"/>
      <c r="C230" s="144"/>
      <c r="D230" s="152"/>
    </row>
    <row r="231" spans="2:4">
      <c r="B231" s="144"/>
      <c r="C231" s="144"/>
      <c r="D231" s="152"/>
    </row>
    <row r="232" spans="2:4">
      <c r="B232" s="144"/>
      <c r="C232" s="144"/>
      <c r="D232" s="152"/>
    </row>
    <row r="233" spans="2:4">
      <c r="B233" s="144"/>
      <c r="C233" s="144"/>
      <c r="D233" s="152"/>
    </row>
    <row r="234" spans="2:4">
      <c r="B234" s="144"/>
      <c r="C234" s="144"/>
      <c r="D234" s="152"/>
    </row>
    <row r="235" spans="2:4">
      <c r="B235" s="144"/>
      <c r="C235" s="144"/>
      <c r="D235" s="152"/>
    </row>
    <row r="236" spans="2:4">
      <c r="B236" s="144"/>
      <c r="C236" s="144"/>
      <c r="D236" s="152"/>
    </row>
    <row r="237" spans="2:4">
      <c r="B237" s="144"/>
      <c r="C237" s="144"/>
      <c r="D237" s="152"/>
    </row>
    <row r="238" spans="2:4">
      <c r="B238" s="144"/>
      <c r="C238" s="144"/>
      <c r="D238" s="152"/>
    </row>
    <row r="239" spans="2:4">
      <c r="B239" s="144"/>
      <c r="C239" s="144"/>
      <c r="D239" s="152"/>
    </row>
    <row r="240" spans="2:4">
      <c r="B240" s="144"/>
      <c r="C240" s="144"/>
      <c r="D240" s="152"/>
    </row>
    <row r="241" spans="2:4">
      <c r="B241" s="144"/>
      <c r="C241" s="144"/>
      <c r="D241" s="152"/>
    </row>
    <row r="242" spans="2:4">
      <c r="B242" s="144"/>
      <c r="C242" s="144"/>
      <c r="D242" s="152"/>
    </row>
    <row r="243" spans="2:4">
      <c r="B243" s="144"/>
      <c r="C243" s="144"/>
      <c r="D243" s="152"/>
    </row>
    <row r="244" spans="2:4">
      <c r="B244" s="144"/>
      <c r="C244" s="144"/>
      <c r="D244" s="152"/>
    </row>
    <row r="245" spans="2:4">
      <c r="B245" s="144"/>
      <c r="C245" s="144"/>
      <c r="D245" s="152"/>
    </row>
    <row r="246" spans="2:4">
      <c r="B246" s="144"/>
      <c r="C246" s="144"/>
      <c r="D246" s="152"/>
    </row>
    <row r="247" spans="2:4">
      <c r="B247" s="144"/>
      <c r="C247" s="144"/>
      <c r="D247" s="152"/>
    </row>
    <row r="248" spans="2:4">
      <c r="B248" s="144"/>
      <c r="C248" s="144"/>
      <c r="D248" s="152"/>
    </row>
    <row r="249" spans="2:4">
      <c r="B249" s="144"/>
      <c r="C249" s="144"/>
      <c r="D249" s="152"/>
    </row>
    <row r="250" spans="2:4">
      <c r="B250" s="144"/>
      <c r="C250" s="144"/>
      <c r="D250" s="152"/>
    </row>
    <row r="251" spans="2:4">
      <c r="B251" s="144"/>
      <c r="C251" s="144"/>
      <c r="D251" s="152"/>
    </row>
    <row r="252" spans="2:4">
      <c r="B252" s="144"/>
      <c r="C252" s="144"/>
      <c r="D252" s="152"/>
    </row>
    <row r="253" spans="2:4">
      <c r="B253" s="144"/>
      <c r="C253" s="144"/>
      <c r="D253" s="152"/>
    </row>
    <row r="254" spans="2:4">
      <c r="B254" s="144"/>
      <c r="C254" s="144"/>
      <c r="D254" s="152"/>
    </row>
    <row r="255" spans="2:4">
      <c r="B255" s="144"/>
      <c r="C255" s="144"/>
      <c r="D255" s="152"/>
    </row>
    <row r="256" spans="2:4">
      <c r="B256" s="144"/>
      <c r="C256" s="144"/>
      <c r="D256" s="152"/>
    </row>
    <row r="257" spans="2:4">
      <c r="B257" s="144"/>
      <c r="C257" s="144"/>
      <c r="D257" s="152"/>
    </row>
    <row r="258" spans="2:4">
      <c r="B258" s="144"/>
      <c r="C258" s="144"/>
      <c r="D258" s="152"/>
    </row>
    <row r="259" spans="2:4">
      <c r="B259" s="144"/>
      <c r="C259" s="144"/>
      <c r="D259" s="152"/>
    </row>
    <row r="260" spans="2:4">
      <c r="B260" s="144"/>
      <c r="C260" s="144"/>
      <c r="D260" s="152"/>
    </row>
    <row r="261" spans="2:4">
      <c r="B261" s="144"/>
      <c r="C261" s="144"/>
      <c r="D261" s="152"/>
    </row>
    <row r="262" spans="2:4">
      <c r="B262" s="144"/>
      <c r="C262" s="144"/>
      <c r="D262" s="152"/>
    </row>
    <row r="263" spans="2:4">
      <c r="B263" s="144"/>
      <c r="C263" s="144"/>
      <c r="D263" s="152"/>
    </row>
    <row r="264" spans="2:4">
      <c r="B264" s="144"/>
      <c r="C264" s="144"/>
      <c r="D264" s="152"/>
    </row>
    <row r="265" spans="2:4">
      <c r="B265" s="144"/>
      <c r="C265" s="144"/>
      <c r="D265" s="152"/>
    </row>
    <row r="266" spans="2:4">
      <c r="B266" s="144"/>
      <c r="C266" s="144"/>
      <c r="D266" s="152"/>
    </row>
    <row r="267" spans="2:4">
      <c r="B267" s="144"/>
      <c r="C267" s="144"/>
      <c r="D267" s="152"/>
    </row>
    <row r="268" spans="2:4">
      <c r="B268" s="144"/>
      <c r="C268" s="144"/>
      <c r="D268" s="152"/>
    </row>
    <row r="269" spans="2:4">
      <c r="B269" s="144"/>
      <c r="C269" s="144"/>
      <c r="D269" s="152"/>
    </row>
    <row r="270" spans="2:4">
      <c r="B270" s="144"/>
      <c r="C270" s="144"/>
      <c r="D270" s="152"/>
    </row>
    <row r="271" spans="2:4">
      <c r="B271" s="144"/>
      <c r="C271" s="144"/>
      <c r="D271" s="152"/>
    </row>
    <row r="272" spans="2:4">
      <c r="B272" s="144"/>
      <c r="C272" s="144"/>
      <c r="D272" s="152"/>
    </row>
    <row r="273" spans="2:4">
      <c r="B273" s="144"/>
      <c r="C273" s="144"/>
      <c r="D273" s="152"/>
    </row>
    <row r="274" spans="2:4">
      <c r="B274" s="144"/>
      <c r="C274" s="144"/>
      <c r="D274" s="152"/>
    </row>
    <row r="275" spans="2:4">
      <c r="B275" s="144"/>
      <c r="C275" s="144"/>
      <c r="D275" s="152"/>
    </row>
    <row r="276" spans="2:4">
      <c r="B276" s="144"/>
      <c r="C276" s="144"/>
      <c r="D276" s="152"/>
    </row>
    <row r="277" spans="2:4">
      <c r="B277" s="144"/>
      <c r="C277" s="144"/>
      <c r="D277" s="152"/>
    </row>
    <row r="278" spans="2:4">
      <c r="B278" s="144"/>
      <c r="C278" s="144"/>
      <c r="D278" s="152"/>
    </row>
    <row r="279" spans="2:4">
      <c r="B279" s="144"/>
      <c r="C279" s="144"/>
      <c r="D279" s="152"/>
    </row>
    <row r="280" spans="2:4">
      <c r="B280" s="144"/>
      <c r="C280" s="144"/>
      <c r="D280" s="152"/>
    </row>
    <row r="281" spans="2:4">
      <c r="B281" s="144"/>
      <c r="C281" s="144"/>
      <c r="D281" s="152"/>
    </row>
    <row r="282" spans="2:4">
      <c r="B282" s="144"/>
      <c r="C282" s="144"/>
      <c r="D282" s="152"/>
    </row>
    <row r="283" spans="2:4">
      <c r="B283" s="144"/>
      <c r="C283" s="144"/>
      <c r="D283" s="152"/>
    </row>
    <row r="284" spans="2:4">
      <c r="B284" s="144"/>
      <c r="C284" s="144"/>
      <c r="D284" s="152"/>
    </row>
    <row r="285" spans="2:4">
      <c r="B285" s="144"/>
      <c r="C285" s="144"/>
      <c r="D285" s="152"/>
    </row>
    <row r="286" spans="2:4">
      <c r="B286" s="144"/>
      <c r="C286" s="144"/>
      <c r="D286" s="152"/>
    </row>
    <row r="287" spans="2:4">
      <c r="B287" s="144"/>
      <c r="C287" s="144"/>
      <c r="D287" s="152"/>
    </row>
    <row r="288" spans="2:4">
      <c r="B288" s="144"/>
      <c r="C288" s="144"/>
      <c r="D288" s="152"/>
    </row>
    <row r="289" spans="2:4">
      <c r="B289" s="144"/>
      <c r="C289" s="144"/>
      <c r="D289" s="152"/>
    </row>
    <row r="290" spans="2:4">
      <c r="B290" s="144"/>
      <c r="C290" s="144"/>
      <c r="D290" s="152"/>
    </row>
    <row r="291" spans="2:4">
      <c r="B291" s="144"/>
      <c r="C291" s="144"/>
      <c r="D291" s="152"/>
    </row>
    <row r="292" spans="2:4">
      <c r="B292" s="144"/>
      <c r="C292" s="144"/>
      <c r="D292" s="152"/>
    </row>
    <row r="293" spans="2:4">
      <c r="B293" s="144"/>
      <c r="C293" s="144"/>
      <c r="D293" s="152"/>
    </row>
    <row r="294" spans="2:4">
      <c r="B294" s="144"/>
      <c r="C294" s="144"/>
      <c r="D294" s="152"/>
    </row>
    <row r="295" spans="2:4">
      <c r="B295" s="144"/>
      <c r="C295" s="144"/>
      <c r="D295" s="152"/>
    </row>
    <row r="296" spans="2:4">
      <c r="B296" s="144"/>
      <c r="C296" s="144"/>
      <c r="D296" s="152"/>
    </row>
    <row r="297" spans="2:4">
      <c r="B297" s="144"/>
      <c r="C297" s="144"/>
      <c r="D297" s="152"/>
    </row>
    <row r="298" spans="2:4">
      <c r="B298" s="144"/>
      <c r="C298" s="144"/>
      <c r="D298" s="152"/>
    </row>
    <row r="299" spans="2:4">
      <c r="B299" s="144"/>
      <c r="C299" s="144"/>
      <c r="D299" s="152"/>
    </row>
    <row r="300" spans="2:4">
      <c r="B300" s="144"/>
      <c r="C300" s="144"/>
      <c r="D300" s="152"/>
    </row>
    <row r="301" spans="2:4">
      <c r="B301" s="144"/>
      <c r="C301" s="144"/>
      <c r="D301" s="152"/>
    </row>
    <row r="302" spans="2:4">
      <c r="B302" s="144"/>
      <c r="C302" s="144"/>
      <c r="D302" s="152"/>
    </row>
    <row r="303" spans="2:4">
      <c r="B303" s="144"/>
      <c r="C303" s="144"/>
      <c r="D303" s="152"/>
    </row>
    <row r="304" spans="2:4">
      <c r="B304" s="144"/>
      <c r="C304" s="144"/>
      <c r="D304" s="152"/>
    </row>
    <row r="305" spans="2:4">
      <c r="B305" s="144"/>
      <c r="C305" s="144"/>
      <c r="D305" s="152"/>
    </row>
    <row r="306" spans="2:4">
      <c r="B306" s="144"/>
      <c r="C306" s="144"/>
      <c r="D306" s="152"/>
    </row>
    <row r="307" spans="2:4">
      <c r="B307" s="144"/>
      <c r="C307" s="144"/>
      <c r="D307" s="152"/>
    </row>
    <row r="308" spans="2:4">
      <c r="B308" s="144"/>
      <c r="C308" s="144"/>
      <c r="D308" s="152"/>
    </row>
    <row r="309" spans="2:4">
      <c r="B309" s="144"/>
      <c r="C309" s="144"/>
      <c r="D309" s="152"/>
    </row>
    <row r="310" spans="2:4">
      <c r="B310" s="144"/>
      <c r="C310" s="144"/>
      <c r="D310" s="152"/>
    </row>
    <row r="311" spans="2:4">
      <c r="B311" s="144"/>
      <c r="C311" s="144"/>
      <c r="D311" s="152"/>
    </row>
    <row r="312" spans="2:4">
      <c r="B312" s="144"/>
      <c r="C312" s="144"/>
      <c r="D312" s="152"/>
    </row>
    <row r="313" spans="2:4">
      <c r="B313" s="144"/>
      <c r="C313" s="144"/>
      <c r="D313" s="152"/>
    </row>
    <row r="314" spans="2:4">
      <c r="B314" s="144"/>
      <c r="C314" s="144"/>
      <c r="D314" s="152"/>
    </row>
    <row r="315" spans="2:4">
      <c r="B315" s="144"/>
      <c r="C315" s="144"/>
      <c r="D315" s="152"/>
    </row>
    <row r="316" spans="2:4">
      <c r="B316" s="144"/>
      <c r="C316" s="144"/>
      <c r="D316" s="152"/>
    </row>
    <row r="317" spans="2:4">
      <c r="B317" s="144"/>
      <c r="C317" s="144"/>
      <c r="D317" s="152"/>
    </row>
    <row r="318" spans="2:4">
      <c r="B318" s="144"/>
      <c r="C318" s="144"/>
      <c r="D318" s="152"/>
    </row>
    <row r="319" spans="2:4">
      <c r="B319" s="144"/>
      <c r="C319" s="144"/>
      <c r="D319" s="152"/>
    </row>
    <row r="320" spans="2:4">
      <c r="B320" s="144"/>
      <c r="C320" s="144"/>
      <c r="D320" s="152"/>
    </row>
    <row r="321" spans="2:4">
      <c r="B321" s="144"/>
      <c r="C321" s="144"/>
      <c r="D321" s="152"/>
    </row>
    <row r="322" spans="2:4">
      <c r="B322" s="144"/>
      <c r="C322" s="144"/>
      <c r="D322" s="152"/>
    </row>
    <row r="323" spans="2:4">
      <c r="B323" s="144"/>
      <c r="C323" s="144"/>
      <c r="D323" s="152"/>
    </row>
    <row r="324" spans="2:4">
      <c r="B324" s="144"/>
      <c r="C324" s="144"/>
      <c r="D324" s="152"/>
    </row>
    <row r="325" spans="2:4">
      <c r="B325" s="144"/>
      <c r="C325" s="144"/>
      <c r="D325" s="152"/>
    </row>
    <row r="326" spans="2:4">
      <c r="B326" s="144"/>
      <c r="C326" s="144"/>
      <c r="D326" s="152"/>
    </row>
    <row r="327" spans="2:4">
      <c r="B327" s="144"/>
      <c r="C327" s="144"/>
      <c r="D327" s="152"/>
    </row>
    <row r="328" spans="2:4">
      <c r="B328" s="144"/>
      <c r="C328" s="144"/>
      <c r="D328" s="152"/>
    </row>
    <row r="329" spans="2:4">
      <c r="B329" s="144"/>
      <c r="C329" s="144"/>
      <c r="D329" s="152"/>
    </row>
    <row r="330" spans="2:4">
      <c r="B330" s="144"/>
      <c r="C330" s="144"/>
      <c r="D330" s="152"/>
    </row>
    <row r="331" spans="2:4">
      <c r="B331" s="144"/>
      <c r="C331" s="144"/>
      <c r="D331" s="152"/>
    </row>
    <row r="332" spans="2:4">
      <c r="B332" s="144"/>
      <c r="C332" s="144"/>
      <c r="D332" s="152"/>
    </row>
    <row r="333" spans="2:4">
      <c r="B333" s="144"/>
      <c r="C333" s="144"/>
      <c r="D333" s="152"/>
    </row>
    <row r="334" spans="2:4">
      <c r="B334" s="144"/>
      <c r="C334" s="144"/>
      <c r="D334" s="152"/>
    </row>
    <row r="335" spans="2:4">
      <c r="B335" s="144"/>
      <c r="C335" s="144"/>
      <c r="D335" s="152"/>
    </row>
    <row r="336" spans="2:4">
      <c r="B336" s="144"/>
      <c r="C336" s="144"/>
      <c r="D336" s="152"/>
    </row>
    <row r="337" spans="2:4">
      <c r="B337" s="144"/>
      <c r="C337" s="144"/>
      <c r="D337" s="152"/>
    </row>
    <row r="338" spans="2:4">
      <c r="B338" s="144"/>
      <c r="C338" s="144"/>
      <c r="D338" s="152"/>
    </row>
    <row r="339" spans="2:4">
      <c r="B339" s="144"/>
      <c r="C339" s="144"/>
      <c r="D339" s="152"/>
    </row>
    <row r="340" spans="2:4">
      <c r="B340" s="144"/>
      <c r="C340" s="144"/>
      <c r="D340" s="152"/>
    </row>
    <row r="341" spans="2:4">
      <c r="B341" s="144"/>
      <c r="C341" s="144"/>
      <c r="D341" s="152"/>
    </row>
    <row r="342" spans="2:4">
      <c r="B342" s="144"/>
      <c r="C342" s="144"/>
      <c r="D342" s="152"/>
    </row>
    <row r="343" spans="2:4">
      <c r="B343" s="144"/>
      <c r="C343" s="144"/>
      <c r="D343" s="152"/>
    </row>
    <row r="344" spans="2:4">
      <c r="B344" s="144"/>
      <c r="C344" s="144"/>
      <c r="D344" s="152"/>
    </row>
    <row r="345" spans="2:4">
      <c r="B345" s="144"/>
      <c r="C345" s="144"/>
      <c r="D345" s="152"/>
    </row>
    <row r="346" spans="2:4">
      <c r="B346" s="144"/>
      <c r="C346" s="144"/>
      <c r="D346" s="152"/>
    </row>
    <row r="347" spans="2:4">
      <c r="B347" s="144"/>
      <c r="C347" s="144"/>
      <c r="D347" s="152"/>
    </row>
    <row r="348" spans="2:4">
      <c r="B348" s="144"/>
      <c r="C348" s="144"/>
      <c r="D348" s="152"/>
    </row>
    <row r="349" spans="2:4">
      <c r="B349" s="144"/>
      <c r="C349" s="144"/>
      <c r="D349" s="152"/>
    </row>
    <row r="350" spans="2:4">
      <c r="B350" s="144"/>
      <c r="C350" s="144"/>
      <c r="D350" s="152"/>
    </row>
    <row r="351" spans="2:4">
      <c r="B351" s="144"/>
      <c r="C351" s="144"/>
      <c r="D351" s="152"/>
    </row>
    <row r="352" spans="2:4">
      <c r="B352" s="144"/>
      <c r="C352" s="144"/>
      <c r="D352" s="152"/>
    </row>
    <row r="353" spans="2:4">
      <c r="B353" s="144"/>
      <c r="C353" s="144"/>
      <c r="D353" s="152"/>
    </row>
    <row r="354" spans="2:4">
      <c r="B354" s="144"/>
      <c r="C354" s="144"/>
      <c r="D354" s="152"/>
    </row>
    <row r="355" spans="2:4">
      <c r="B355" s="144"/>
      <c r="C355" s="144"/>
      <c r="D355" s="152"/>
    </row>
    <row r="356" spans="2:4">
      <c r="B356" s="144"/>
      <c r="C356" s="144"/>
      <c r="D356" s="152"/>
    </row>
    <row r="357" spans="2:4">
      <c r="B357" s="144"/>
      <c r="C357" s="144"/>
      <c r="D357" s="152"/>
    </row>
    <row r="358" spans="2:4">
      <c r="B358" s="144"/>
      <c r="C358" s="144"/>
      <c r="D358" s="152"/>
    </row>
    <row r="359" spans="2:4">
      <c r="B359" s="144"/>
      <c r="C359" s="144"/>
      <c r="D359" s="152"/>
    </row>
    <row r="360" spans="2:4">
      <c r="B360" s="144"/>
      <c r="C360" s="144"/>
      <c r="D360" s="152"/>
    </row>
    <row r="361" spans="2:4">
      <c r="B361" s="144"/>
      <c r="C361" s="144"/>
      <c r="D361" s="152"/>
    </row>
    <row r="362" spans="2:4">
      <c r="B362" s="144"/>
      <c r="C362" s="144"/>
      <c r="D362" s="152"/>
    </row>
    <row r="363" spans="2:4">
      <c r="B363" s="144"/>
      <c r="C363" s="144"/>
      <c r="D363" s="152"/>
    </row>
    <row r="364" spans="2:4">
      <c r="B364" s="144"/>
      <c r="C364" s="144"/>
      <c r="D364" s="152"/>
    </row>
    <row r="365" spans="2:4">
      <c r="B365" s="144"/>
      <c r="C365" s="144"/>
      <c r="D365" s="152"/>
    </row>
    <row r="366" spans="2:4">
      <c r="B366" s="144"/>
      <c r="C366" s="144"/>
      <c r="D366" s="152"/>
    </row>
    <row r="367" spans="2:4">
      <c r="B367" s="144"/>
      <c r="C367" s="144"/>
      <c r="D367" s="152"/>
    </row>
    <row r="368" spans="2:4">
      <c r="B368" s="144"/>
      <c r="C368" s="144"/>
      <c r="D368" s="152"/>
    </row>
    <row r="369" spans="2:4">
      <c r="B369" s="144"/>
      <c r="C369" s="144"/>
      <c r="D369" s="152"/>
    </row>
    <row r="370" spans="2:4">
      <c r="B370" s="144"/>
      <c r="C370" s="144"/>
      <c r="D370" s="152"/>
    </row>
    <row r="371" spans="2:4">
      <c r="B371" s="144"/>
      <c r="C371" s="144"/>
      <c r="D371" s="152"/>
    </row>
    <row r="372" spans="2:4">
      <c r="B372" s="144"/>
      <c r="C372" s="144"/>
      <c r="D372" s="152"/>
    </row>
    <row r="373" spans="2:4">
      <c r="B373" s="144"/>
      <c r="C373" s="144"/>
      <c r="D373" s="152"/>
    </row>
    <row r="374" spans="2:4">
      <c r="B374" s="144"/>
      <c r="C374" s="144"/>
      <c r="D374" s="152"/>
    </row>
    <row r="375" spans="2:4">
      <c r="B375" s="144"/>
      <c r="C375" s="144"/>
      <c r="D375" s="152"/>
    </row>
    <row r="376" spans="2:4">
      <c r="B376" s="144"/>
      <c r="C376" s="144"/>
      <c r="D376" s="152"/>
    </row>
    <row r="377" spans="2:4">
      <c r="B377" s="144"/>
      <c r="C377" s="144"/>
      <c r="D377" s="152"/>
    </row>
    <row r="378" spans="2:4">
      <c r="B378" s="144"/>
      <c r="C378" s="144"/>
      <c r="D378" s="152"/>
    </row>
    <row r="379" spans="2:4">
      <c r="B379" s="144"/>
      <c r="C379" s="144"/>
      <c r="D379" s="152"/>
    </row>
    <row r="380" spans="2:4">
      <c r="B380" s="144"/>
      <c r="C380" s="144"/>
      <c r="D380" s="152"/>
    </row>
    <row r="381" spans="2:4">
      <c r="B381" s="144"/>
      <c r="C381" s="144"/>
      <c r="D381" s="152"/>
    </row>
    <row r="382" spans="2:4">
      <c r="B382" s="144"/>
      <c r="C382" s="144"/>
      <c r="D382" s="152"/>
    </row>
    <row r="383" spans="2:4">
      <c r="B383" s="144"/>
      <c r="C383" s="144"/>
      <c r="D383" s="152"/>
    </row>
    <row r="384" spans="2:4">
      <c r="B384" s="144"/>
      <c r="C384" s="144"/>
      <c r="D384" s="152"/>
    </row>
    <row r="385" spans="2:4">
      <c r="B385" s="144"/>
      <c r="C385" s="144"/>
      <c r="D385" s="152"/>
    </row>
    <row r="386" spans="2:4">
      <c r="B386" s="144"/>
      <c r="C386" s="144"/>
      <c r="D386" s="152"/>
    </row>
    <row r="387" spans="2:4">
      <c r="B387" s="144"/>
      <c r="C387" s="144"/>
      <c r="D387" s="152"/>
    </row>
    <row r="388" spans="2:4">
      <c r="B388" s="144"/>
      <c r="C388" s="144"/>
      <c r="D388" s="152"/>
    </row>
    <row r="389" spans="2:4">
      <c r="B389" s="144"/>
      <c r="C389" s="144"/>
      <c r="D389" s="152"/>
    </row>
    <row r="390" spans="2:4">
      <c r="B390" s="144"/>
      <c r="C390" s="144"/>
      <c r="D390" s="152"/>
    </row>
    <row r="391" spans="2:4">
      <c r="B391" s="144"/>
      <c r="C391" s="144"/>
      <c r="D391" s="152"/>
    </row>
    <row r="392" spans="2:4">
      <c r="B392" s="144"/>
      <c r="C392" s="144"/>
      <c r="D392" s="152"/>
    </row>
    <row r="393" spans="2:4">
      <c r="B393" s="144"/>
      <c r="C393" s="144"/>
      <c r="D393" s="152"/>
    </row>
    <row r="394" spans="2:4">
      <c r="B394" s="144"/>
      <c r="C394" s="144"/>
      <c r="D394" s="152"/>
    </row>
    <row r="395" spans="2:4">
      <c r="B395" s="144"/>
      <c r="C395" s="144"/>
      <c r="D395" s="152"/>
    </row>
    <row r="396" spans="2:4">
      <c r="B396" s="144"/>
      <c r="C396" s="144"/>
      <c r="D396" s="152"/>
    </row>
    <row r="397" spans="2:4">
      <c r="B397" s="144"/>
      <c r="C397" s="144"/>
      <c r="D397" s="152"/>
    </row>
    <row r="398" spans="2:4">
      <c r="B398" s="144"/>
      <c r="C398" s="144"/>
      <c r="D398" s="152"/>
    </row>
    <row r="399" spans="2:4">
      <c r="B399" s="144"/>
      <c r="C399" s="144"/>
      <c r="D399" s="152"/>
    </row>
    <row r="400" spans="2:4">
      <c r="B400" s="144"/>
      <c r="C400" s="144"/>
      <c r="D400" s="152"/>
    </row>
    <row r="401" spans="2:4">
      <c r="B401" s="144"/>
      <c r="C401" s="144"/>
      <c r="D401" s="152"/>
    </row>
    <row r="402" spans="2:4">
      <c r="B402" s="144"/>
      <c r="C402" s="144"/>
      <c r="D402" s="152"/>
    </row>
    <row r="403" spans="2:4">
      <c r="B403" s="144"/>
      <c r="C403" s="144"/>
      <c r="D403" s="152"/>
    </row>
    <row r="404" spans="2:4">
      <c r="B404" s="144"/>
      <c r="C404" s="144"/>
      <c r="D404" s="152"/>
    </row>
    <row r="405" spans="2:4">
      <c r="B405" s="144"/>
      <c r="C405" s="144"/>
      <c r="D405" s="152"/>
    </row>
    <row r="406" spans="2:4">
      <c r="B406" s="144"/>
      <c r="C406" s="144"/>
      <c r="D406" s="152"/>
    </row>
    <row r="407" spans="2:4">
      <c r="B407" s="144"/>
      <c r="C407" s="144"/>
      <c r="D407" s="152"/>
    </row>
    <row r="408" spans="2:4">
      <c r="B408" s="144"/>
      <c r="C408" s="144"/>
      <c r="D408" s="152"/>
    </row>
    <row r="409" spans="2:4">
      <c r="B409" s="144"/>
      <c r="C409" s="144"/>
      <c r="D409" s="152"/>
    </row>
    <row r="410" spans="2:4">
      <c r="B410" s="144"/>
      <c r="C410" s="144"/>
      <c r="D410" s="152"/>
    </row>
    <row r="411" spans="2:4">
      <c r="B411" s="144"/>
      <c r="C411" s="144"/>
      <c r="D411" s="152"/>
    </row>
    <row r="412" spans="2:4">
      <c r="B412" s="144"/>
      <c r="C412" s="144"/>
      <c r="D412" s="152"/>
    </row>
    <row r="413" spans="2:4">
      <c r="B413" s="144"/>
      <c r="C413" s="144"/>
      <c r="D413" s="152"/>
    </row>
    <row r="414" spans="2:4">
      <c r="B414" s="144"/>
      <c r="C414" s="144"/>
      <c r="D414" s="152"/>
    </row>
    <row r="415" spans="2:4">
      <c r="B415" s="144"/>
      <c r="C415" s="144"/>
      <c r="D415" s="152"/>
    </row>
    <row r="416" spans="2:4">
      <c r="B416" s="144"/>
      <c r="C416" s="144"/>
      <c r="D416" s="152"/>
    </row>
    <row r="417" spans="2:4">
      <c r="B417" s="144"/>
      <c r="C417" s="144"/>
      <c r="D417" s="152"/>
    </row>
    <row r="418" spans="2:4">
      <c r="B418" s="144"/>
      <c r="C418" s="144"/>
      <c r="D418" s="152"/>
    </row>
    <row r="419" spans="2:4">
      <c r="B419" s="144"/>
      <c r="C419" s="144"/>
      <c r="D419" s="152"/>
    </row>
    <row r="420" spans="2:4">
      <c r="B420" s="144"/>
      <c r="C420" s="144"/>
      <c r="D420" s="152"/>
    </row>
    <row r="421" spans="2:4">
      <c r="B421" s="144"/>
      <c r="C421" s="144"/>
      <c r="D421" s="152"/>
    </row>
    <row r="422" spans="2:4">
      <c r="B422" s="144"/>
      <c r="C422" s="144"/>
      <c r="D422" s="152"/>
    </row>
    <row r="423" spans="2:4">
      <c r="B423" s="144"/>
      <c r="C423" s="144"/>
      <c r="D423" s="152"/>
    </row>
    <row r="424" spans="2:4">
      <c r="B424" s="144"/>
      <c r="C424" s="144"/>
      <c r="D424" s="152"/>
    </row>
    <row r="425" spans="2:4">
      <c r="B425" s="144"/>
      <c r="C425" s="144"/>
      <c r="D425" s="152"/>
    </row>
    <row r="426" spans="2:4">
      <c r="B426" s="144"/>
      <c r="C426" s="144"/>
      <c r="D426" s="152"/>
    </row>
    <row r="427" spans="2:4">
      <c r="B427" s="144"/>
      <c r="C427" s="144"/>
      <c r="D427" s="152"/>
    </row>
    <row r="428" spans="2:4">
      <c r="B428" s="144"/>
      <c r="C428" s="144"/>
      <c r="D428" s="152"/>
    </row>
    <row r="429" spans="2:4">
      <c r="B429" s="144"/>
      <c r="C429" s="144"/>
      <c r="D429" s="152"/>
    </row>
    <row r="430" spans="2:4">
      <c r="B430" s="144"/>
      <c r="C430" s="144"/>
      <c r="D430" s="152"/>
    </row>
    <row r="431" spans="2:4">
      <c r="B431" s="144"/>
      <c r="C431" s="144"/>
      <c r="D431" s="152"/>
    </row>
    <row r="432" spans="2:4">
      <c r="B432" s="144"/>
      <c r="C432" s="144"/>
      <c r="D432" s="152"/>
    </row>
    <row r="433" spans="2:4">
      <c r="B433" s="144"/>
      <c r="C433" s="144"/>
      <c r="D433" s="152"/>
    </row>
    <row r="434" spans="2:4">
      <c r="B434" s="144"/>
      <c r="C434" s="144"/>
      <c r="D434" s="152"/>
    </row>
    <row r="435" spans="2:4">
      <c r="B435" s="144"/>
      <c r="C435" s="144"/>
      <c r="D435" s="152"/>
    </row>
    <row r="436" spans="2:4">
      <c r="B436" s="144"/>
      <c r="C436" s="144"/>
      <c r="D436" s="152"/>
    </row>
    <row r="437" spans="2:4">
      <c r="B437" s="144"/>
      <c r="C437" s="144"/>
      <c r="D437" s="152"/>
    </row>
    <row r="438" spans="2:4">
      <c r="B438" s="144"/>
      <c r="C438" s="144"/>
      <c r="D438" s="152"/>
    </row>
    <row r="439" spans="2:4">
      <c r="B439" s="144"/>
      <c r="C439" s="144"/>
      <c r="D439" s="152"/>
    </row>
    <row r="440" spans="2:4">
      <c r="B440" s="144"/>
      <c r="C440" s="144"/>
      <c r="D440" s="152"/>
    </row>
    <row r="441" spans="2:4">
      <c r="B441" s="144"/>
      <c r="C441" s="144"/>
      <c r="D441" s="152"/>
    </row>
    <row r="442" spans="2:4">
      <c r="B442" s="144"/>
      <c r="C442" s="144"/>
      <c r="D442" s="152"/>
    </row>
    <row r="443" spans="2:4">
      <c r="B443" s="144"/>
      <c r="C443" s="144"/>
      <c r="D443" s="152"/>
    </row>
    <row r="444" spans="2:4">
      <c r="B444" s="144"/>
      <c r="C444" s="144"/>
      <c r="D444" s="152"/>
    </row>
    <row r="445" spans="2:4">
      <c r="B445" s="144"/>
      <c r="C445" s="144"/>
      <c r="D445" s="152"/>
    </row>
    <row r="446" spans="2:4">
      <c r="B446" s="144"/>
      <c r="C446" s="144"/>
      <c r="D446" s="152"/>
    </row>
    <row r="447" spans="2:4">
      <c r="B447" s="144"/>
      <c r="C447" s="144"/>
      <c r="D447" s="152"/>
    </row>
    <row r="448" spans="2:4">
      <c r="B448" s="144"/>
      <c r="C448" s="144"/>
      <c r="D448" s="152"/>
    </row>
    <row r="449" spans="2:4">
      <c r="B449" s="144"/>
      <c r="C449" s="144"/>
      <c r="D449" s="152"/>
    </row>
    <row r="450" spans="2:4">
      <c r="B450" s="144"/>
      <c r="C450" s="144"/>
      <c r="D450" s="152"/>
    </row>
    <row r="451" spans="2:4">
      <c r="B451" s="144"/>
      <c r="C451" s="144"/>
      <c r="D451" s="152"/>
    </row>
    <row r="452" spans="2:4">
      <c r="B452" s="144"/>
      <c r="C452" s="144"/>
      <c r="D452" s="152"/>
    </row>
    <row r="453" spans="2:4">
      <c r="B453" s="144"/>
      <c r="C453" s="144"/>
      <c r="D453" s="152"/>
    </row>
    <row r="454" spans="2:4">
      <c r="B454" s="144"/>
      <c r="C454" s="144"/>
      <c r="D454" s="152"/>
    </row>
    <row r="455" spans="2:4">
      <c r="B455" s="144"/>
      <c r="C455" s="144"/>
      <c r="D455" s="152"/>
    </row>
    <row r="456" spans="2:4">
      <c r="B456" s="144"/>
      <c r="C456" s="144"/>
      <c r="D456" s="152"/>
    </row>
    <row r="457" spans="2:4">
      <c r="B457" s="144"/>
      <c r="C457" s="144"/>
      <c r="D457" s="152"/>
    </row>
    <row r="458" spans="2:4">
      <c r="B458" s="144"/>
      <c r="C458" s="144"/>
      <c r="D458" s="152"/>
    </row>
    <row r="459" spans="2:4">
      <c r="B459" s="144"/>
      <c r="C459" s="144"/>
      <c r="D459" s="152"/>
    </row>
    <row r="460" spans="2:4">
      <c r="B460" s="144"/>
      <c r="C460" s="144"/>
      <c r="D460" s="152"/>
    </row>
    <row r="461" spans="2:4">
      <c r="B461" s="144"/>
      <c r="C461" s="144"/>
      <c r="D461" s="152"/>
    </row>
    <row r="462" spans="2:4">
      <c r="B462" s="144"/>
      <c r="C462" s="144"/>
      <c r="D462" s="152"/>
    </row>
    <row r="463" spans="2:4">
      <c r="B463" s="144"/>
      <c r="C463" s="144"/>
      <c r="D463" s="152"/>
    </row>
    <row r="464" spans="2:4">
      <c r="B464" s="144"/>
      <c r="C464" s="144"/>
      <c r="D464" s="152"/>
    </row>
    <row r="465" spans="2:4">
      <c r="B465" s="144"/>
      <c r="C465" s="144"/>
      <c r="D465" s="152"/>
    </row>
    <row r="466" spans="2:4">
      <c r="B466" s="144"/>
      <c r="C466" s="144"/>
      <c r="D466" s="152"/>
    </row>
    <row r="467" spans="2:4">
      <c r="B467" s="144"/>
      <c r="C467" s="144"/>
      <c r="D467" s="152"/>
    </row>
    <row r="468" spans="2:4">
      <c r="B468" s="144"/>
      <c r="C468" s="144"/>
      <c r="D468" s="152"/>
    </row>
    <row r="469" spans="2:4">
      <c r="B469" s="144"/>
      <c r="C469" s="144"/>
      <c r="D469" s="152"/>
    </row>
    <row r="470" spans="2:4">
      <c r="B470" s="144"/>
      <c r="C470" s="144"/>
      <c r="D470" s="152"/>
    </row>
    <row r="471" spans="2:4">
      <c r="B471" s="144"/>
      <c r="C471" s="144"/>
      <c r="D471" s="152"/>
    </row>
    <row r="472" spans="2:4">
      <c r="B472" s="144"/>
      <c r="C472" s="144"/>
      <c r="D472" s="152"/>
    </row>
    <row r="473" spans="2:4">
      <c r="B473" s="144"/>
      <c r="C473" s="144"/>
      <c r="D473" s="152"/>
    </row>
    <row r="474" spans="2:4">
      <c r="B474" s="144"/>
      <c r="C474" s="144"/>
      <c r="D474" s="152"/>
    </row>
    <row r="475" spans="2:4">
      <c r="B475" s="144"/>
      <c r="C475" s="144"/>
      <c r="D475" s="152"/>
    </row>
    <row r="476" spans="2:4">
      <c r="B476" s="144"/>
      <c r="C476" s="144"/>
      <c r="D476" s="152"/>
    </row>
    <row r="477" spans="2:4">
      <c r="B477" s="144"/>
      <c r="C477" s="144"/>
      <c r="D477" s="152"/>
    </row>
    <row r="478" spans="2:4">
      <c r="B478" s="144"/>
      <c r="C478" s="144"/>
      <c r="D478" s="152"/>
    </row>
    <row r="479" spans="2:4">
      <c r="B479" s="144"/>
      <c r="C479" s="144"/>
      <c r="D479" s="152"/>
    </row>
    <row r="480" spans="2:4">
      <c r="B480" s="144"/>
      <c r="C480" s="144"/>
      <c r="D480" s="152"/>
    </row>
    <row r="481" spans="2:4">
      <c r="B481" s="144"/>
      <c r="C481" s="144"/>
      <c r="D481" s="152"/>
    </row>
    <row r="482" spans="2:4">
      <c r="B482" s="144"/>
      <c r="C482" s="144"/>
      <c r="D482" s="152"/>
    </row>
    <row r="483" spans="2:4">
      <c r="B483" s="144"/>
      <c r="C483" s="144"/>
      <c r="D483" s="152"/>
    </row>
    <row r="484" spans="2:4">
      <c r="B484" s="144"/>
      <c r="C484" s="144"/>
      <c r="D484" s="152"/>
    </row>
    <row r="485" spans="2:4">
      <c r="B485" s="144"/>
      <c r="C485" s="144"/>
      <c r="D485" s="152"/>
    </row>
    <row r="486" spans="2:4">
      <c r="B486" s="144"/>
      <c r="C486" s="144"/>
      <c r="D486" s="152"/>
    </row>
    <row r="487" spans="2:4">
      <c r="B487" s="144"/>
      <c r="C487" s="144"/>
      <c r="D487" s="152"/>
    </row>
    <row r="488" spans="2:4">
      <c r="B488" s="144"/>
      <c r="C488" s="144"/>
      <c r="D488" s="152"/>
    </row>
    <row r="489" spans="2:4">
      <c r="B489" s="144"/>
      <c r="C489" s="144"/>
      <c r="D489" s="152"/>
    </row>
    <row r="490" spans="2:4">
      <c r="B490" s="144"/>
      <c r="C490" s="144"/>
      <c r="D490" s="152"/>
    </row>
    <row r="491" spans="2:4">
      <c r="B491" s="144"/>
      <c r="C491" s="144"/>
      <c r="D491" s="152"/>
    </row>
    <row r="492" spans="2:4">
      <c r="B492" s="144"/>
      <c r="C492" s="144"/>
      <c r="D492" s="152"/>
    </row>
    <row r="493" spans="2:4">
      <c r="B493" s="144"/>
      <c r="C493" s="144"/>
      <c r="D493" s="152"/>
    </row>
    <row r="494" spans="2:4">
      <c r="B494" s="144"/>
      <c r="C494" s="144"/>
      <c r="D494" s="152"/>
    </row>
    <row r="495" spans="2:4">
      <c r="B495" s="144"/>
      <c r="C495" s="144"/>
      <c r="D495" s="152"/>
    </row>
    <row r="496" spans="2:4">
      <c r="B496" s="144"/>
      <c r="C496" s="144"/>
      <c r="D496" s="152"/>
    </row>
    <row r="497" spans="2:4">
      <c r="B497" s="144"/>
      <c r="C497" s="144"/>
      <c r="D497" s="152"/>
    </row>
    <row r="498" spans="2:4">
      <c r="B498" s="144"/>
      <c r="C498" s="144"/>
      <c r="D498" s="152"/>
    </row>
    <row r="499" spans="2:4">
      <c r="B499" s="144"/>
      <c r="C499" s="144"/>
      <c r="D499" s="152"/>
    </row>
    <row r="500" spans="2:4">
      <c r="B500" s="144"/>
      <c r="C500" s="144"/>
      <c r="D500" s="152"/>
    </row>
    <row r="501" spans="2:4">
      <c r="B501" s="144"/>
      <c r="C501" s="144"/>
      <c r="D501" s="152"/>
    </row>
    <row r="502" spans="2:4">
      <c r="B502" s="144"/>
      <c r="C502" s="144"/>
      <c r="D502" s="152"/>
    </row>
    <row r="503" spans="2:4">
      <c r="B503" s="144"/>
      <c r="C503" s="144"/>
      <c r="D503" s="152"/>
    </row>
    <row r="504" spans="2:4">
      <c r="B504" s="144"/>
      <c r="C504" s="144"/>
      <c r="D504" s="152"/>
    </row>
    <row r="505" spans="2:4">
      <c r="B505" s="144"/>
      <c r="C505" s="144"/>
      <c r="D505" s="152"/>
    </row>
    <row r="506" spans="2:4">
      <c r="B506" s="144"/>
      <c r="C506" s="144"/>
      <c r="D506" s="152"/>
    </row>
    <row r="507" spans="2:4">
      <c r="B507" s="144"/>
      <c r="C507" s="144"/>
      <c r="D507" s="152"/>
    </row>
    <row r="508" spans="2:4">
      <c r="B508" s="144"/>
      <c r="C508" s="144"/>
      <c r="D508" s="152"/>
    </row>
    <row r="509" spans="2:4">
      <c r="B509" s="144"/>
      <c r="C509" s="144"/>
      <c r="D509" s="152"/>
    </row>
    <row r="510" spans="2:4">
      <c r="B510" s="144"/>
      <c r="C510" s="144"/>
      <c r="D510" s="152"/>
    </row>
    <row r="511" spans="2:4">
      <c r="B511" s="144"/>
      <c r="C511" s="144"/>
      <c r="D511" s="152"/>
    </row>
    <row r="512" spans="2:4">
      <c r="B512" s="144"/>
      <c r="C512" s="144"/>
      <c r="D512" s="152"/>
    </row>
    <row r="513" spans="2:4">
      <c r="B513" s="144"/>
      <c r="C513" s="144"/>
      <c r="D513" s="152"/>
    </row>
    <row r="514" spans="2:4">
      <c r="B514" s="144"/>
      <c r="C514" s="144"/>
      <c r="D514" s="152"/>
    </row>
    <row r="515" spans="2:4">
      <c r="B515" s="144"/>
      <c r="C515" s="144"/>
      <c r="D515" s="152"/>
    </row>
    <row r="516" spans="2:4">
      <c r="B516" s="144"/>
      <c r="C516" s="144"/>
      <c r="D516" s="152"/>
    </row>
    <row r="517" spans="2:4">
      <c r="B517" s="144"/>
      <c r="C517" s="144"/>
      <c r="D517" s="152"/>
    </row>
    <row r="518" spans="2:4">
      <c r="B518" s="144"/>
      <c r="C518" s="144"/>
      <c r="D518" s="152"/>
    </row>
    <row r="519" spans="2:4">
      <c r="B519" s="144"/>
      <c r="C519" s="144"/>
      <c r="D519" s="152"/>
    </row>
    <row r="520" spans="2:4">
      <c r="B520" s="144"/>
      <c r="C520" s="144"/>
      <c r="D520" s="152"/>
    </row>
    <row r="521" spans="2:4">
      <c r="B521" s="144"/>
      <c r="C521" s="144"/>
      <c r="D521" s="152"/>
    </row>
    <row r="522" spans="2:4">
      <c r="B522" s="144"/>
      <c r="C522" s="144"/>
      <c r="D522" s="152"/>
    </row>
    <row r="523" spans="2:4">
      <c r="B523" s="144"/>
      <c r="C523" s="144"/>
      <c r="D523" s="152"/>
    </row>
    <row r="524" spans="2:4">
      <c r="B524" s="144"/>
      <c r="C524" s="144"/>
      <c r="D524" s="152"/>
    </row>
    <row r="525" spans="2:4">
      <c r="B525" s="144"/>
      <c r="C525" s="144"/>
      <c r="D525" s="152"/>
    </row>
    <row r="526" spans="2:4">
      <c r="B526" s="144"/>
      <c r="C526" s="144"/>
      <c r="D526" s="152"/>
    </row>
    <row r="527" spans="2:4">
      <c r="B527" s="144"/>
      <c r="C527" s="144"/>
      <c r="D527" s="152"/>
    </row>
    <row r="528" spans="2:4">
      <c r="B528" s="144"/>
      <c r="C528" s="144"/>
      <c r="D528" s="152"/>
    </row>
    <row r="529" spans="2:4">
      <c r="B529" s="144"/>
      <c r="C529" s="144"/>
      <c r="D529" s="152"/>
    </row>
    <row r="530" spans="2:4">
      <c r="B530" s="144"/>
      <c r="C530" s="144"/>
      <c r="D530" s="152"/>
    </row>
    <row r="531" spans="2:4">
      <c r="B531" s="144"/>
      <c r="C531" s="144"/>
      <c r="D531" s="152"/>
    </row>
    <row r="532" spans="2:4">
      <c r="B532" s="144"/>
      <c r="C532" s="144"/>
      <c r="D532" s="152"/>
    </row>
    <row r="533" spans="2:4">
      <c r="B533" s="144"/>
      <c r="C533" s="144"/>
      <c r="D533" s="152"/>
    </row>
    <row r="534" spans="2:4">
      <c r="B534" s="144"/>
      <c r="C534" s="144"/>
      <c r="D534" s="152"/>
    </row>
    <row r="535" spans="2:4">
      <c r="B535" s="144"/>
      <c r="C535" s="144"/>
      <c r="D535" s="152"/>
    </row>
    <row r="536" spans="2:4">
      <c r="B536" s="144"/>
      <c r="C536" s="144"/>
      <c r="D536" s="152"/>
    </row>
    <row r="537" spans="2:4">
      <c r="B537" s="144"/>
      <c r="C537" s="144"/>
      <c r="D537" s="152"/>
    </row>
    <row r="538" spans="2:4">
      <c r="B538" s="144"/>
      <c r="C538" s="144"/>
      <c r="D538" s="152"/>
    </row>
    <row r="539" spans="2:4">
      <c r="B539" s="144"/>
      <c r="C539" s="144"/>
      <c r="D539" s="152"/>
    </row>
    <row r="540" spans="2:4">
      <c r="B540" s="144"/>
      <c r="C540" s="144"/>
      <c r="D540" s="152"/>
    </row>
    <row r="541" spans="2:4">
      <c r="B541" s="144"/>
      <c r="C541" s="144"/>
      <c r="D541" s="152"/>
    </row>
    <row r="542" spans="2:4">
      <c r="B542" s="144"/>
      <c r="C542" s="144"/>
      <c r="D542" s="152"/>
    </row>
    <row r="543" spans="2:4">
      <c r="B543" s="144"/>
      <c r="C543" s="144"/>
      <c r="D543" s="152"/>
    </row>
    <row r="544" spans="2:4">
      <c r="B544" s="144"/>
      <c r="C544" s="144"/>
      <c r="D544" s="152"/>
    </row>
    <row r="545" spans="2:4">
      <c r="B545" s="144"/>
      <c r="C545" s="144"/>
      <c r="D545" s="152"/>
    </row>
    <row r="546" spans="2:4">
      <c r="B546" s="144"/>
      <c r="C546" s="144"/>
      <c r="D546" s="152"/>
    </row>
    <row r="547" spans="2:4">
      <c r="B547" s="144"/>
      <c r="C547" s="144"/>
      <c r="D547" s="152"/>
    </row>
    <row r="548" spans="2:4">
      <c r="B548" s="144"/>
      <c r="C548" s="144"/>
      <c r="D548" s="152"/>
    </row>
    <row r="549" spans="2:4">
      <c r="B549" s="144"/>
      <c r="C549" s="144"/>
      <c r="D549" s="152"/>
    </row>
    <row r="550" spans="2:4">
      <c r="B550" s="144"/>
      <c r="C550" s="144"/>
      <c r="D550" s="152"/>
    </row>
    <row r="551" spans="2:4">
      <c r="B551" s="144"/>
      <c r="C551" s="144"/>
      <c r="D551" s="152"/>
    </row>
    <row r="552" spans="2:4">
      <c r="B552" s="144"/>
      <c r="C552" s="144"/>
      <c r="D552" s="152"/>
    </row>
    <row r="553" spans="2:4">
      <c r="B553" s="144"/>
      <c r="C553" s="144"/>
      <c r="D553" s="152"/>
    </row>
    <row r="554" spans="2:4">
      <c r="B554" s="144"/>
      <c r="C554" s="144"/>
      <c r="D554" s="152"/>
    </row>
    <row r="555" spans="2:4">
      <c r="B555" s="144"/>
      <c r="C555" s="144"/>
      <c r="D555" s="152"/>
    </row>
    <row r="556" spans="2:4">
      <c r="B556" s="144"/>
      <c r="C556" s="144"/>
      <c r="D556" s="152"/>
    </row>
    <row r="557" spans="2:4">
      <c r="B557" s="144"/>
      <c r="C557" s="144"/>
      <c r="D557" s="152"/>
    </row>
    <row r="558" spans="2:4">
      <c r="B558" s="144"/>
      <c r="C558" s="144"/>
      <c r="D558" s="152"/>
    </row>
    <row r="559" spans="2:4">
      <c r="B559" s="144"/>
      <c r="C559" s="144"/>
      <c r="D559" s="152"/>
    </row>
    <row r="560" spans="2:4">
      <c r="B560" s="144"/>
      <c r="C560" s="144"/>
      <c r="D560" s="152"/>
    </row>
    <row r="561" spans="2:4">
      <c r="B561" s="144"/>
      <c r="C561" s="144"/>
      <c r="D561" s="152"/>
    </row>
    <row r="562" spans="2:4">
      <c r="B562" s="144"/>
      <c r="C562" s="144"/>
      <c r="D562" s="152"/>
    </row>
    <row r="563" spans="2:4">
      <c r="B563" s="144"/>
      <c r="C563" s="144"/>
      <c r="D563" s="152"/>
    </row>
    <row r="564" spans="2:4">
      <c r="B564" s="144"/>
      <c r="C564" s="144"/>
      <c r="D564" s="152"/>
    </row>
    <row r="565" spans="2:4">
      <c r="B565" s="144"/>
      <c r="C565" s="144"/>
      <c r="D565" s="152"/>
    </row>
    <row r="566" spans="2:4">
      <c r="B566" s="144"/>
      <c r="C566" s="144"/>
      <c r="D566" s="152"/>
    </row>
    <row r="567" spans="2:4">
      <c r="B567" s="144"/>
      <c r="C567" s="144"/>
      <c r="D567" s="152"/>
    </row>
    <row r="568" spans="2:4">
      <c r="B568" s="144"/>
      <c r="C568" s="144"/>
      <c r="D568" s="152"/>
    </row>
    <row r="569" spans="2:4">
      <c r="B569" s="144"/>
      <c r="C569" s="144"/>
      <c r="D569" s="152"/>
    </row>
    <row r="570" spans="2:4">
      <c r="B570" s="144"/>
      <c r="C570" s="144"/>
      <c r="D570" s="152"/>
    </row>
    <row r="571" spans="2:4">
      <c r="B571" s="144"/>
      <c r="C571" s="144"/>
      <c r="D571" s="152"/>
    </row>
    <row r="572" spans="2:4">
      <c r="B572" s="144"/>
      <c r="C572" s="144"/>
      <c r="D572" s="152"/>
    </row>
    <row r="573" spans="2:4">
      <c r="B573" s="144"/>
      <c r="C573" s="144"/>
      <c r="D573" s="152"/>
    </row>
    <row r="574" spans="2:4">
      <c r="B574" s="144"/>
      <c r="C574" s="144"/>
      <c r="D574" s="152"/>
    </row>
    <row r="575" spans="2:4">
      <c r="B575" s="144"/>
      <c r="C575" s="144"/>
      <c r="D575" s="152"/>
    </row>
    <row r="576" spans="2:4">
      <c r="B576" s="144"/>
      <c r="C576" s="144"/>
      <c r="D576" s="152"/>
    </row>
    <row r="577" spans="2:4">
      <c r="B577" s="144"/>
      <c r="C577" s="144"/>
      <c r="D577" s="152"/>
    </row>
    <row r="578" spans="2:4">
      <c r="B578" s="144"/>
      <c r="C578" s="144"/>
      <c r="D578" s="152"/>
    </row>
    <row r="579" spans="2:4">
      <c r="B579" s="144"/>
      <c r="C579" s="144"/>
      <c r="D579" s="152"/>
    </row>
    <row r="580" spans="2:4">
      <c r="B580" s="144"/>
      <c r="C580" s="144"/>
      <c r="D580" s="152"/>
    </row>
    <row r="581" spans="2:4">
      <c r="B581" s="144"/>
      <c r="C581" s="144"/>
      <c r="D581" s="152"/>
    </row>
    <row r="582" spans="2:4">
      <c r="B582" s="144"/>
      <c r="C582" s="144"/>
      <c r="D582" s="152"/>
    </row>
    <row r="583" spans="2:4">
      <c r="B583" s="144"/>
      <c r="C583" s="144"/>
      <c r="D583" s="152"/>
    </row>
    <row r="584" spans="2:4">
      <c r="B584" s="144"/>
      <c r="C584" s="144"/>
      <c r="D584" s="152"/>
    </row>
    <row r="585" spans="2:4">
      <c r="B585" s="144"/>
      <c r="C585" s="144"/>
      <c r="D585" s="152"/>
    </row>
    <row r="586" spans="2:4">
      <c r="B586" s="144"/>
      <c r="C586" s="144"/>
      <c r="D586" s="152"/>
    </row>
    <row r="587" spans="2:4">
      <c r="B587" s="144"/>
      <c r="C587" s="144"/>
      <c r="D587" s="152"/>
    </row>
    <row r="588" spans="2:4">
      <c r="B588" s="144"/>
      <c r="C588" s="144"/>
      <c r="D588" s="152"/>
    </row>
    <row r="589" spans="2:4">
      <c r="B589" s="144"/>
      <c r="C589" s="144"/>
      <c r="D589" s="152"/>
    </row>
    <row r="590" spans="2:4">
      <c r="B590" s="144"/>
      <c r="C590" s="144"/>
      <c r="D590" s="152"/>
    </row>
    <row r="591" spans="2:4">
      <c r="B591" s="144"/>
      <c r="C591" s="144"/>
      <c r="D591" s="152"/>
    </row>
    <row r="592" spans="2:4">
      <c r="B592" s="144"/>
      <c r="C592" s="144"/>
      <c r="D592" s="152"/>
    </row>
    <row r="593" spans="2:4">
      <c r="B593" s="144"/>
      <c r="C593" s="144"/>
      <c r="D593" s="152"/>
    </row>
    <row r="594" spans="2:4">
      <c r="B594" s="144"/>
      <c r="C594" s="144"/>
      <c r="D594" s="152"/>
    </row>
    <row r="595" spans="2:4">
      <c r="B595" s="144"/>
      <c r="C595" s="144"/>
      <c r="D595" s="152"/>
    </row>
    <row r="596" spans="2:4">
      <c r="B596" s="144"/>
      <c r="C596" s="144"/>
      <c r="D596" s="152"/>
    </row>
    <row r="597" spans="2:4">
      <c r="B597" s="144"/>
      <c r="C597" s="144"/>
      <c r="D597" s="152"/>
    </row>
    <row r="598" spans="2:4">
      <c r="B598" s="144"/>
      <c r="C598" s="144"/>
      <c r="D598" s="152"/>
    </row>
    <row r="599" spans="2:4">
      <c r="B599" s="144"/>
      <c r="C599" s="144"/>
      <c r="D599" s="152"/>
    </row>
    <row r="600" spans="2:4">
      <c r="B600" s="144"/>
      <c r="C600" s="144"/>
      <c r="D600" s="152"/>
    </row>
    <row r="601" spans="2:4">
      <c r="B601" s="144"/>
      <c r="C601" s="144"/>
      <c r="D601" s="152"/>
    </row>
    <row r="602" spans="2:4">
      <c r="B602" s="144"/>
      <c r="C602" s="144"/>
      <c r="D602" s="152"/>
    </row>
    <row r="603" spans="2:4">
      <c r="B603" s="144"/>
      <c r="C603" s="144"/>
      <c r="D603" s="152"/>
    </row>
    <row r="604" spans="2:4">
      <c r="B604" s="144"/>
      <c r="C604" s="144"/>
      <c r="D604" s="152"/>
    </row>
    <row r="605" spans="2:4">
      <c r="B605" s="144"/>
      <c r="C605" s="144"/>
      <c r="D605" s="152"/>
    </row>
    <row r="606" spans="2:4">
      <c r="B606" s="144"/>
      <c r="C606" s="144"/>
      <c r="D606" s="152"/>
    </row>
    <row r="607" spans="2:4">
      <c r="B607" s="144"/>
      <c r="C607" s="144"/>
      <c r="D607" s="152"/>
    </row>
    <row r="608" spans="2:4">
      <c r="B608" s="144"/>
      <c r="C608" s="144"/>
      <c r="D608" s="152"/>
    </row>
    <row r="609" spans="2:4">
      <c r="B609" s="144"/>
      <c r="C609" s="144"/>
      <c r="D609" s="152"/>
    </row>
    <row r="610" spans="2:4">
      <c r="B610" s="144"/>
      <c r="C610" s="144"/>
      <c r="D610" s="152"/>
    </row>
    <row r="611" spans="2:4">
      <c r="B611" s="144"/>
      <c r="C611" s="144"/>
      <c r="D611" s="152"/>
    </row>
    <row r="612" spans="2:4">
      <c r="B612" s="144"/>
      <c r="C612" s="144"/>
      <c r="D612" s="152"/>
    </row>
    <row r="613" spans="2:4">
      <c r="B613" s="144"/>
      <c r="C613" s="144"/>
      <c r="D613" s="152"/>
    </row>
    <row r="614" spans="2:4">
      <c r="B614" s="144"/>
      <c r="C614" s="144"/>
      <c r="D614" s="152"/>
    </row>
    <row r="615" spans="2:4">
      <c r="B615" s="144"/>
      <c r="C615" s="144"/>
      <c r="D615" s="152"/>
    </row>
    <row r="616" spans="2:4">
      <c r="B616" s="144"/>
      <c r="C616" s="144"/>
      <c r="D616" s="152"/>
    </row>
    <row r="617" spans="2:4">
      <c r="B617" s="144"/>
      <c r="C617" s="144"/>
      <c r="D617" s="152"/>
    </row>
    <row r="618" spans="2:4">
      <c r="B618" s="144"/>
      <c r="C618" s="144"/>
      <c r="D618" s="152"/>
    </row>
    <row r="619" spans="2:4">
      <c r="B619" s="144"/>
      <c r="C619" s="144"/>
      <c r="D619" s="152"/>
    </row>
    <row r="620" spans="2:4">
      <c r="B620" s="144"/>
      <c r="C620" s="144"/>
      <c r="D620" s="152"/>
    </row>
    <row r="621" spans="2:4">
      <c r="B621" s="144"/>
      <c r="C621" s="144"/>
      <c r="D621" s="152"/>
    </row>
    <row r="622" spans="2:4">
      <c r="B622" s="144"/>
      <c r="C622" s="144"/>
      <c r="D622" s="152"/>
    </row>
    <row r="623" spans="2:4">
      <c r="B623" s="144"/>
      <c r="C623" s="144"/>
      <c r="D623" s="152"/>
    </row>
    <row r="624" spans="2:4">
      <c r="B624" s="144"/>
      <c r="C624" s="144"/>
      <c r="D624" s="152"/>
    </row>
    <row r="625" spans="2:4">
      <c r="B625" s="144"/>
      <c r="C625" s="144"/>
      <c r="D625" s="152"/>
    </row>
    <row r="626" spans="2:4">
      <c r="B626" s="144"/>
      <c r="C626" s="144"/>
      <c r="D626" s="152"/>
    </row>
    <row r="627" spans="2:4">
      <c r="B627" s="144"/>
      <c r="C627" s="144"/>
      <c r="D627" s="152"/>
    </row>
    <row r="628" spans="2:4">
      <c r="B628" s="144"/>
      <c r="C628" s="144"/>
      <c r="D628" s="152"/>
    </row>
    <row r="629" spans="2:4">
      <c r="B629" s="144"/>
      <c r="C629" s="144"/>
      <c r="D629" s="152"/>
    </row>
    <row r="630" spans="2:4">
      <c r="B630" s="144"/>
      <c r="C630" s="144"/>
      <c r="D630" s="152"/>
    </row>
    <row r="631" spans="2:4">
      <c r="B631" s="144"/>
      <c r="C631" s="144"/>
      <c r="D631" s="152"/>
    </row>
    <row r="632" spans="2:4">
      <c r="B632" s="144"/>
      <c r="C632" s="144"/>
      <c r="D632" s="152"/>
    </row>
    <row r="633" spans="2:4">
      <c r="B633" s="144"/>
      <c r="C633" s="144"/>
      <c r="D633" s="152"/>
    </row>
    <row r="634" spans="2:4">
      <c r="B634" s="144"/>
      <c r="C634" s="144"/>
      <c r="D634" s="152"/>
    </row>
    <row r="635" spans="2:4">
      <c r="B635" s="144"/>
      <c r="C635" s="144"/>
      <c r="D635" s="152"/>
    </row>
    <row r="636" spans="2:4">
      <c r="B636" s="144"/>
      <c r="C636" s="144"/>
      <c r="D636" s="152"/>
    </row>
    <row r="637" spans="2:4">
      <c r="B637" s="144"/>
      <c r="C637" s="144"/>
      <c r="D637" s="152"/>
    </row>
    <row r="638" spans="2:4">
      <c r="B638" s="144"/>
      <c r="C638" s="144"/>
      <c r="D638" s="152"/>
    </row>
    <row r="639" spans="2:4">
      <c r="B639" s="144"/>
      <c r="C639" s="144"/>
      <c r="D639" s="152"/>
    </row>
    <row r="640" spans="2:4">
      <c r="B640" s="144"/>
      <c r="C640" s="144"/>
      <c r="D640" s="152"/>
    </row>
    <row r="641" spans="2:4">
      <c r="B641" s="144"/>
      <c r="C641" s="144"/>
      <c r="D641" s="152"/>
    </row>
    <row r="642" spans="2:4">
      <c r="B642" s="144"/>
      <c r="C642" s="144"/>
      <c r="D642" s="152"/>
    </row>
    <row r="643" spans="2:4">
      <c r="B643" s="144"/>
      <c r="C643" s="144"/>
      <c r="D643" s="152"/>
    </row>
    <row r="644" spans="2:4">
      <c r="B644" s="144"/>
      <c r="C644" s="144"/>
      <c r="D644" s="152"/>
    </row>
    <row r="645" spans="2:4">
      <c r="B645" s="144"/>
      <c r="C645" s="144"/>
      <c r="D645" s="152"/>
    </row>
    <row r="646" spans="2:4">
      <c r="B646" s="144"/>
      <c r="C646" s="144"/>
      <c r="D646" s="152"/>
    </row>
    <row r="647" spans="2:4">
      <c r="B647" s="144"/>
      <c r="C647" s="144"/>
      <c r="D647" s="152"/>
    </row>
    <row r="648" spans="2:4">
      <c r="B648" s="144"/>
      <c r="C648" s="144"/>
      <c r="D648" s="152"/>
    </row>
    <row r="649" spans="2:4">
      <c r="B649" s="144"/>
      <c r="C649" s="144"/>
      <c r="D649" s="152"/>
    </row>
    <row r="650" spans="2:4">
      <c r="B650" s="144"/>
      <c r="C650" s="144"/>
      <c r="D650" s="152"/>
    </row>
    <row r="651" spans="2:4">
      <c r="B651" s="144"/>
      <c r="C651" s="144"/>
      <c r="D651" s="152"/>
    </row>
    <row r="652" spans="2:4">
      <c r="B652" s="144"/>
      <c r="C652" s="144"/>
      <c r="D652" s="152"/>
    </row>
    <row r="653" spans="2:4">
      <c r="B653" s="144"/>
      <c r="C653" s="144"/>
      <c r="D653" s="152"/>
    </row>
    <row r="654" spans="2:4">
      <c r="B654" s="144"/>
      <c r="C654" s="144"/>
      <c r="D654" s="152"/>
    </row>
    <row r="655" spans="2:4">
      <c r="B655" s="144"/>
      <c r="C655" s="144"/>
      <c r="D655" s="152"/>
    </row>
    <row r="656" spans="2:4">
      <c r="B656" s="144"/>
      <c r="C656" s="144"/>
      <c r="D656" s="152"/>
    </row>
    <row r="657" spans="2:4">
      <c r="B657" s="144"/>
      <c r="C657" s="144"/>
      <c r="D657" s="152"/>
    </row>
    <row r="658" spans="2:4">
      <c r="B658" s="144"/>
      <c r="C658" s="144"/>
      <c r="D658" s="152"/>
    </row>
    <row r="659" spans="2:4">
      <c r="B659" s="144"/>
      <c r="C659" s="144"/>
      <c r="D659" s="152"/>
    </row>
    <row r="660" spans="2:4">
      <c r="B660" s="144"/>
      <c r="C660" s="144"/>
      <c r="D660" s="152"/>
    </row>
    <row r="661" spans="2:4">
      <c r="B661" s="144"/>
      <c r="C661" s="144"/>
      <c r="D661" s="152"/>
    </row>
    <row r="662" spans="2:4">
      <c r="B662" s="144"/>
      <c r="C662" s="144"/>
      <c r="D662" s="152"/>
    </row>
    <row r="663" spans="2:4">
      <c r="B663" s="144"/>
      <c r="C663" s="144"/>
      <c r="D663" s="152"/>
    </row>
    <row r="664" spans="2:4">
      <c r="B664" s="144"/>
      <c r="C664" s="144"/>
      <c r="D664" s="152"/>
    </row>
    <row r="665" spans="2:4">
      <c r="B665" s="144"/>
      <c r="C665" s="144"/>
      <c r="D665" s="152"/>
    </row>
    <row r="666" spans="2:4">
      <c r="B666" s="144"/>
      <c r="C666" s="144"/>
      <c r="D666" s="152"/>
    </row>
    <row r="667" spans="2:4">
      <c r="B667" s="144"/>
      <c r="C667" s="144"/>
      <c r="D667" s="152"/>
    </row>
    <row r="668" spans="2:4">
      <c r="B668" s="144"/>
      <c r="C668" s="144"/>
      <c r="D668" s="152"/>
    </row>
    <row r="669" spans="2:4">
      <c r="B669" s="144"/>
      <c r="C669" s="144"/>
      <c r="D669" s="152"/>
    </row>
    <row r="670" spans="2:4">
      <c r="B670" s="144"/>
      <c r="C670" s="144"/>
      <c r="D670" s="152"/>
    </row>
    <row r="671" spans="2:4">
      <c r="B671" s="144"/>
      <c r="C671" s="144"/>
      <c r="D671" s="152"/>
    </row>
    <row r="672" spans="2:4">
      <c r="B672" s="144"/>
      <c r="C672" s="144"/>
      <c r="D672" s="152"/>
    </row>
    <row r="673" spans="2:4">
      <c r="B673" s="144"/>
      <c r="C673" s="144"/>
      <c r="D673" s="152"/>
    </row>
    <row r="674" spans="2:4">
      <c r="B674" s="144"/>
      <c r="C674" s="144"/>
      <c r="D674" s="152"/>
    </row>
    <row r="675" spans="2:4">
      <c r="B675" s="144"/>
      <c r="C675" s="144"/>
      <c r="D675" s="152"/>
    </row>
    <row r="676" spans="2:4">
      <c r="B676" s="144"/>
      <c r="C676" s="144"/>
      <c r="D676" s="152"/>
    </row>
    <row r="677" spans="2:4">
      <c r="B677" s="144"/>
      <c r="C677" s="144"/>
      <c r="D677" s="152"/>
    </row>
    <row r="678" spans="2:4">
      <c r="B678" s="144"/>
      <c r="C678" s="144"/>
      <c r="D678" s="152"/>
    </row>
    <row r="679" spans="2:4">
      <c r="B679" s="144"/>
      <c r="C679" s="144"/>
      <c r="D679" s="152"/>
    </row>
    <row r="680" spans="2:4">
      <c r="B680" s="144"/>
      <c r="C680" s="144"/>
      <c r="D680" s="152"/>
    </row>
    <row r="681" spans="2:4">
      <c r="B681" s="144"/>
      <c r="C681" s="144"/>
      <c r="D681" s="152"/>
    </row>
    <row r="682" spans="2:4">
      <c r="B682" s="144"/>
      <c r="C682" s="144"/>
      <c r="D682" s="152"/>
    </row>
    <row r="683" spans="2:4">
      <c r="B683" s="144"/>
      <c r="C683" s="144"/>
      <c r="D683" s="152"/>
    </row>
    <row r="684" spans="2:4">
      <c r="B684" s="144"/>
      <c r="C684" s="144"/>
      <c r="D684" s="152"/>
    </row>
    <row r="685" spans="2:4">
      <c r="B685" s="144"/>
      <c r="C685" s="144"/>
      <c r="D685" s="152"/>
    </row>
    <row r="686" spans="2:4">
      <c r="B686" s="144"/>
      <c r="C686" s="144"/>
      <c r="D686" s="152"/>
    </row>
    <row r="687" spans="2:4">
      <c r="B687" s="144"/>
      <c r="C687" s="144"/>
      <c r="D687" s="152"/>
    </row>
    <row r="688" spans="2:4">
      <c r="B688" s="144"/>
      <c r="C688" s="144"/>
      <c r="D688" s="152"/>
    </row>
    <row r="689" spans="2:4">
      <c r="B689" s="144"/>
      <c r="C689" s="144"/>
      <c r="D689" s="152"/>
    </row>
    <row r="690" spans="2:4">
      <c r="B690" s="144"/>
      <c r="C690" s="144"/>
      <c r="D690" s="152"/>
    </row>
    <row r="691" spans="2:4">
      <c r="B691" s="144"/>
      <c r="C691" s="144"/>
      <c r="D691" s="152"/>
    </row>
    <row r="692" spans="2:4">
      <c r="B692" s="144"/>
      <c r="C692" s="144"/>
      <c r="D692" s="152"/>
    </row>
    <row r="693" spans="2:4">
      <c r="B693" s="144"/>
      <c r="C693" s="144"/>
      <c r="D693" s="152"/>
    </row>
    <row r="694" spans="2:4">
      <c r="B694" s="144"/>
      <c r="C694" s="144"/>
      <c r="D694" s="152"/>
    </row>
    <row r="695" spans="2:4">
      <c r="B695" s="144"/>
      <c r="C695" s="144"/>
      <c r="D695" s="152"/>
    </row>
    <row r="696" spans="2:4">
      <c r="B696" s="144"/>
      <c r="C696" s="144"/>
      <c r="D696" s="152"/>
    </row>
    <row r="697" spans="2:4">
      <c r="B697" s="144"/>
      <c r="C697" s="144"/>
      <c r="D697" s="152"/>
    </row>
    <row r="698" spans="2:4">
      <c r="B698" s="144"/>
      <c r="C698" s="144"/>
      <c r="D698" s="152"/>
    </row>
    <row r="699" spans="2:4">
      <c r="B699" s="144"/>
      <c r="C699" s="144"/>
      <c r="D699" s="152"/>
    </row>
    <row r="700" spans="2:4">
      <c r="B700" s="144"/>
      <c r="C700" s="144"/>
      <c r="D700" s="152"/>
    </row>
    <row r="701" spans="2:4">
      <c r="B701" s="144"/>
      <c r="C701" s="144"/>
      <c r="D701" s="152"/>
    </row>
    <row r="702" spans="2:4">
      <c r="B702" s="144"/>
      <c r="C702" s="144"/>
      <c r="D702" s="152"/>
    </row>
    <row r="703" spans="2:4">
      <c r="B703" s="144"/>
      <c r="C703" s="144"/>
      <c r="D703" s="152"/>
    </row>
    <row r="704" spans="2:4">
      <c r="B704" s="144"/>
      <c r="C704" s="144"/>
      <c r="D704" s="152"/>
    </row>
    <row r="705" spans="2:4">
      <c r="B705" s="144"/>
      <c r="C705" s="144"/>
      <c r="D705" s="152"/>
    </row>
    <row r="706" spans="2:4">
      <c r="B706" s="144"/>
      <c r="C706" s="144"/>
      <c r="D706" s="152"/>
    </row>
    <row r="707" spans="2:4">
      <c r="B707" s="144"/>
      <c r="C707" s="144"/>
      <c r="D707" s="152"/>
    </row>
    <row r="708" spans="2:4">
      <c r="B708" s="144"/>
      <c r="C708" s="144"/>
      <c r="D708" s="152"/>
    </row>
    <row r="709" spans="2:4">
      <c r="B709" s="144"/>
      <c r="C709" s="144"/>
      <c r="D709" s="152"/>
    </row>
    <row r="710" spans="2:4">
      <c r="B710" s="144"/>
      <c r="C710" s="144"/>
      <c r="D710" s="152"/>
    </row>
    <row r="711" spans="2:4">
      <c r="B711" s="144"/>
      <c r="C711" s="144"/>
      <c r="D711" s="152"/>
    </row>
    <row r="712" spans="2:4">
      <c r="B712" s="144"/>
      <c r="C712" s="144"/>
      <c r="D712" s="152"/>
    </row>
    <row r="713" spans="2:4">
      <c r="B713" s="144"/>
      <c r="C713" s="144"/>
      <c r="D713" s="152"/>
    </row>
    <row r="714" spans="2:4">
      <c r="B714" s="144"/>
      <c r="C714" s="144"/>
      <c r="D714" s="152"/>
    </row>
    <row r="715" spans="2:4">
      <c r="B715" s="144"/>
      <c r="C715" s="144"/>
      <c r="D715" s="152"/>
    </row>
    <row r="716" spans="2:4">
      <c r="B716" s="144"/>
      <c r="C716" s="144"/>
      <c r="D716" s="152"/>
    </row>
    <row r="717" spans="2:4">
      <c r="B717" s="144"/>
      <c r="C717" s="144"/>
      <c r="D717" s="152"/>
    </row>
    <row r="718" spans="2:4">
      <c r="B718" s="144"/>
      <c r="C718" s="144"/>
      <c r="D718" s="152"/>
    </row>
    <row r="719" spans="2:4">
      <c r="B719" s="144"/>
      <c r="C719" s="144"/>
      <c r="D719" s="152"/>
    </row>
    <row r="720" spans="2:4">
      <c r="B720" s="144"/>
      <c r="C720" s="144"/>
      <c r="D720" s="152"/>
    </row>
    <row r="721" spans="2:4">
      <c r="B721" s="144"/>
      <c r="C721" s="144"/>
      <c r="D721" s="152"/>
    </row>
    <row r="722" spans="2:4">
      <c r="B722" s="144"/>
      <c r="C722" s="144"/>
      <c r="D722" s="152"/>
    </row>
    <row r="723" spans="2:4">
      <c r="B723" s="144"/>
      <c r="C723" s="144"/>
      <c r="D723" s="152"/>
    </row>
    <row r="724" spans="2:4">
      <c r="B724" s="144"/>
      <c r="C724" s="144"/>
      <c r="D724" s="152"/>
    </row>
    <row r="725" spans="2:4">
      <c r="B725" s="144"/>
      <c r="C725" s="144"/>
      <c r="D725" s="152"/>
    </row>
    <row r="726" spans="2:4">
      <c r="B726" s="144"/>
      <c r="C726" s="144"/>
      <c r="D726" s="152"/>
    </row>
    <row r="727" spans="2:4">
      <c r="B727" s="144"/>
      <c r="C727" s="144"/>
      <c r="D727" s="152"/>
    </row>
    <row r="728" spans="2:4">
      <c r="B728" s="144"/>
      <c r="C728" s="144"/>
      <c r="D728" s="152"/>
    </row>
    <row r="729" spans="2:4">
      <c r="B729" s="144"/>
      <c r="C729" s="144"/>
      <c r="D729" s="152"/>
    </row>
    <row r="730" spans="2:4">
      <c r="B730" s="144"/>
      <c r="C730" s="144"/>
      <c r="D730" s="152"/>
    </row>
    <row r="731" spans="2:4">
      <c r="B731" s="144"/>
      <c r="C731" s="144"/>
      <c r="D731" s="152"/>
    </row>
    <row r="732" spans="2:4">
      <c r="B732" s="144"/>
      <c r="C732" s="144"/>
      <c r="D732" s="152"/>
    </row>
    <row r="733" spans="2:4">
      <c r="B733" s="144"/>
      <c r="C733" s="144"/>
      <c r="D733" s="152"/>
    </row>
    <row r="734" spans="2:4">
      <c r="B734" s="144"/>
      <c r="C734" s="144"/>
      <c r="D734" s="152"/>
    </row>
    <row r="735" spans="2:4">
      <c r="B735" s="144"/>
      <c r="C735" s="144"/>
      <c r="D735" s="152"/>
    </row>
    <row r="736" spans="2:4">
      <c r="B736" s="144"/>
      <c r="C736" s="144"/>
      <c r="D736" s="152"/>
    </row>
    <row r="737" spans="2:4">
      <c r="B737" s="144"/>
      <c r="C737" s="144"/>
      <c r="D737" s="152"/>
    </row>
    <row r="738" spans="2:4">
      <c r="B738" s="144"/>
      <c r="C738" s="144"/>
      <c r="D738" s="152"/>
    </row>
    <row r="739" spans="2:4">
      <c r="B739" s="144"/>
      <c r="C739" s="144"/>
      <c r="D739" s="152"/>
    </row>
    <row r="740" spans="2:4">
      <c r="B740" s="144"/>
      <c r="C740" s="144"/>
      <c r="D740" s="152"/>
    </row>
    <row r="741" spans="2:4">
      <c r="B741" s="144"/>
      <c r="C741" s="144"/>
      <c r="D741" s="152"/>
    </row>
    <row r="742" spans="2:4">
      <c r="B742" s="144"/>
      <c r="C742" s="144"/>
      <c r="D742" s="152"/>
    </row>
    <row r="743" spans="2:4">
      <c r="B743" s="144"/>
      <c r="C743" s="144"/>
      <c r="D743" s="152"/>
    </row>
    <row r="744" spans="2:4">
      <c r="B744" s="144"/>
      <c r="C744" s="144"/>
      <c r="D744" s="152"/>
    </row>
    <row r="745" spans="2:4">
      <c r="B745" s="144"/>
      <c r="C745" s="144"/>
      <c r="D745" s="152"/>
    </row>
    <row r="746" spans="2:4">
      <c r="B746" s="144"/>
      <c r="C746" s="144"/>
      <c r="D746" s="152"/>
    </row>
    <row r="747" spans="2:4">
      <c r="B747" s="144"/>
      <c r="C747" s="144"/>
      <c r="D747" s="152"/>
    </row>
    <row r="748" spans="2:4">
      <c r="B748" s="144"/>
      <c r="C748" s="144"/>
      <c r="D748" s="152"/>
    </row>
    <row r="749" spans="2:4">
      <c r="B749" s="144"/>
      <c r="C749" s="144"/>
      <c r="D749" s="152"/>
    </row>
    <row r="750" spans="2:4">
      <c r="B750" s="144"/>
      <c r="C750" s="144"/>
      <c r="D750" s="152"/>
    </row>
    <row r="751" spans="2:4">
      <c r="B751" s="144"/>
      <c r="C751" s="144"/>
      <c r="D751" s="152"/>
    </row>
    <row r="752" spans="2:4">
      <c r="B752" s="144"/>
      <c r="C752" s="144"/>
      <c r="D752" s="152"/>
    </row>
    <row r="753" spans="2:4">
      <c r="B753" s="144"/>
      <c r="C753" s="144"/>
      <c r="D753" s="152"/>
    </row>
    <row r="754" spans="2:4">
      <c r="B754" s="144"/>
      <c r="C754" s="144"/>
      <c r="D754" s="152"/>
    </row>
    <row r="755" spans="2:4">
      <c r="B755" s="144"/>
      <c r="C755" s="144"/>
      <c r="D755" s="152"/>
    </row>
    <row r="756" spans="2:4">
      <c r="B756" s="144"/>
      <c r="C756" s="144"/>
      <c r="D756" s="152"/>
    </row>
    <row r="757" spans="2:4">
      <c r="B757" s="144"/>
      <c r="C757" s="144"/>
      <c r="D757" s="152"/>
    </row>
    <row r="758" spans="2:4">
      <c r="B758" s="144"/>
      <c r="C758" s="144"/>
      <c r="D758" s="152"/>
    </row>
    <row r="759" spans="2:4">
      <c r="B759" s="144"/>
      <c r="C759" s="144"/>
      <c r="D759" s="152"/>
    </row>
    <row r="760" spans="2:4">
      <c r="B760" s="144"/>
      <c r="C760" s="144"/>
      <c r="D760" s="152"/>
    </row>
    <row r="761" spans="2:4">
      <c r="B761" s="144"/>
      <c r="C761" s="144"/>
      <c r="D761" s="152"/>
    </row>
    <row r="762" spans="2:4">
      <c r="B762" s="144"/>
      <c r="C762" s="144"/>
      <c r="D762" s="152"/>
    </row>
    <row r="763" spans="2:4">
      <c r="B763" s="144"/>
      <c r="C763" s="144"/>
      <c r="D763" s="152"/>
    </row>
    <row r="764" spans="2:4">
      <c r="B764" s="144"/>
      <c r="C764" s="144"/>
      <c r="D764" s="152"/>
    </row>
    <row r="765" spans="2:4">
      <c r="B765" s="144"/>
      <c r="C765" s="144"/>
      <c r="D765" s="152"/>
    </row>
    <row r="766" spans="2:4">
      <c r="B766" s="144"/>
      <c r="C766" s="144"/>
      <c r="D766" s="152"/>
    </row>
    <row r="767" spans="2:4">
      <c r="B767" s="144"/>
      <c r="C767" s="144"/>
      <c r="D767" s="152"/>
    </row>
    <row r="768" spans="2:4">
      <c r="B768" s="144"/>
      <c r="C768" s="144"/>
      <c r="D768" s="152"/>
    </row>
    <row r="769" spans="2:4">
      <c r="B769" s="144"/>
      <c r="C769" s="144"/>
      <c r="D769" s="152"/>
    </row>
    <row r="770" spans="2:4">
      <c r="B770" s="144"/>
      <c r="C770" s="144"/>
      <c r="D770" s="152"/>
    </row>
    <row r="771" spans="2:4">
      <c r="B771" s="144"/>
      <c r="C771" s="144"/>
      <c r="D771" s="152"/>
    </row>
    <row r="772" spans="2:4">
      <c r="B772" s="144"/>
      <c r="C772" s="144"/>
      <c r="D772" s="152"/>
    </row>
    <row r="773" spans="2:4">
      <c r="B773" s="144"/>
      <c r="C773" s="144"/>
      <c r="D773" s="152"/>
    </row>
    <row r="774" spans="2:4">
      <c r="B774" s="144"/>
      <c r="C774" s="144"/>
      <c r="D774" s="152"/>
    </row>
    <row r="775" spans="2:4">
      <c r="B775" s="144"/>
      <c r="C775" s="144"/>
      <c r="D775" s="152"/>
    </row>
    <row r="776" spans="2:4">
      <c r="B776" s="144"/>
      <c r="C776" s="144"/>
      <c r="D776" s="152"/>
    </row>
    <row r="777" spans="2:4">
      <c r="B777" s="144"/>
      <c r="C777" s="144"/>
      <c r="D777" s="152"/>
    </row>
    <row r="778" spans="2:4">
      <c r="B778" s="144"/>
      <c r="C778" s="144"/>
      <c r="D778" s="152"/>
    </row>
    <row r="779" spans="2:4">
      <c r="B779" s="144"/>
      <c r="C779" s="144"/>
      <c r="D779" s="152"/>
    </row>
    <row r="780" spans="2:4">
      <c r="B780" s="144"/>
      <c r="C780" s="144"/>
      <c r="D780" s="152"/>
    </row>
    <row r="781" spans="2:4">
      <c r="B781" s="144"/>
      <c r="C781" s="144"/>
      <c r="D781" s="152"/>
    </row>
    <row r="782" spans="2:4">
      <c r="B782" s="144"/>
      <c r="C782" s="144"/>
      <c r="D782" s="152"/>
    </row>
    <row r="783" spans="2:4">
      <c r="B783" s="144"/>
      <c r="C783" s="144"/>
      <c r="D783" s="152"/>
    </row>
    <row r="784" spans="2:4">
      <c r="B784" s="144"/>
      <c r="C784" s="144"/>
      <c r="D784" s="152"/>
    </row>
    <row r="785" spans="2:4">
      <c r="B785" s="144"/>
      <c r="C785" s="144"/>
      <c r="D785" s="152"/>
    </row>
    <row r="786" spans="2:4">
      <c r="B786" s="144"/>
      <c r="C786" s="144"/>
      <c r="D786" s="152"/>
    </row>
    <row r="787" spans="2:4">
      <c r="B787" s="144"/>
      <c r="C787" s="144"/>
      <c r="D787" s="152"/>
    </row>
    <row r="788" spans="2:4">
      <c r="B788" s="144"/>
      <c r="C788" s="144"/>
      <c r="D788" s="152"/>
    </row>
    <row r="789" spans="2:4">
      <c r="B789" s="144"/>
      <c r="C789" s="144"/>
      <c r="D789" s="152"/>
    </row>
    <row r="790" spans="2:4">
      <c r="B790" s="144"/>
      <c r="C790" s="144"/>
      <c r="D790" s="152"/>
    </row>
    <row r="791" spans="2:4">
      <c r="B791" s="144"/>
      <c r="C791" s="144"/>
      <c r="D791" s="152"/>
    </row>
    <row r="792" spans="2:4">
      <c r="B792" s="144"/>
      <c r="C792" s="144"/>
      <c r="D792" s="152"/>
    </row>
    <row r="793" spans="2:4">
      <c r="B793" s="144"/>
      <c r="C793" s="144"/>
      <c r="D793" s="152"/>
    </row>
    <row r="794" spans="2:4">
      <c r="B794" s="144"/>
      <c r="C794" s="144"/>
      <c r="D794" s="152"/>
    </row>
    <row r="795" spans="2:4">
      <c r="B795" s="144"/>
      <c r="C795" s="144"/>
      <c r="D795" s="152"/>
    </row>
    <row r="796" spans="2:4">
      <c r="B796" s="144"/>
      <c r="C796" s="144"/>
      <c r="D796" s="152"/>
    </row>
    <row r="797" spans="2:4">
      <c r="B797" s="144"/>
      <c r="C797" s="144"/>
      <c r="D797" s="152"/>
    </row>
    <row r="798" spans="2:4">
      <c r="B798" s="144"/>
      <c r="C798" s="144"/>
      <c r="D798" s="152"/>
    </row>
    <row r="799" spans="2:4">
      <c r="B799" s="144"/>
      <c r="C799" s="144"/>
      <c r="D799" s="152"/>
    </row>
    <row r="800" spans="2:4">
      <c r="B800" s="144"/>
      <c r="C800" s="144"/>
      <c r="D800" s="152"/>
    </row>
    <row r="801" spans="2:4">
      <c r="B801" s="144"/>
      <c r="C801" s="144"/>
      <c r="D801" s="152"/>
    </row>
    <row r="802" spans="2:4">
      <c r="B802" s="144"/>
      <c r="C802" s="144"/>
      <c r="D802" s="152"/>
    </row>
    <row r="803" spans="2:4">
      <c r="B803" s="144"/>
      <c r="C803" s="144"/>
      <c r="D803" s="152"/>
    </row>
    <row r="804" spans="2:4">
      <c r="B804" s="144"/>
      <c r="C804" s="144"/>
      <c r="D804" s="152"/>
    </row>
    <row r="805" spans="2:4">
      <c r="B805" s="144"/>
      <c r="C805" s="144"/>
      <c r="D805" s="152"/>
    </row>
    <row r="806" spans="2:4">
      <c r="B806" s="144"/>
      <c r="C806" s="144"/>
      <c r="D806" s="152"/>
    </row>
    <row r="807" spans="2:4">
      <c r="B807" s="144"/>
      <c r="C807" s="144"/>
      <c r="D807" s="152"/>
    </row>
    <row r="808" spans="2:4">
      <c r="B808" s="144"/>
      <c r="C808" s="144"/>
      <c r="D808" s="152"/>
    </row>
    <row r="809" spans="2:4">
      <c r="B809" s="144"/>
      <c r="C809" s="144"/>
      <c r="D809" s="152"/>
    </row>
    <row r="810" spans="2:4">
      <c r="B810" s="144"/>
      <c r="C810" s="144"/>
      <c r="D810" s="152"/>
    </row>
    <row r="811" spans="2:4">
      <c r="B811" s="144"/>
      <c r="C811" s="144"/>
      <c r="D811" s="152"/>
    </row>
    <row r="812" spans="2:4">
      <c r="B812" s="144"/>
      <c r="C812" s="144"/>
      <c r="D812" s="152"/>
    </row>
    <row r="813" spans="2:4">
      <c r="B813" s="144"/>
      <c r="C813" s="144"/>
      <c r="D813" s="152"/>
    </row>
    <row r="814" spans="2:4">
      <c r="B814" s="144"/>
      <c r="C814" s="144"/>
      <c r="D814" s="152"/>
    </row>
    <row r="815" spans="2:4">
      <c r="B815" s="144"/>
      <c r="C815" s="144"/>
      <c r="D815" s="152"/>
    </row>
    <row r="816" spans="2:4">
      <c r="B816" s="144"/>
      <c r="C816" s="144"/>
      <c r="D816" s="152"/>
    </row>
    <row r="817" spans="2:4">
      <c r="B817" s="144"/>
      <c r="C817" s="144"/>
      <c r="D817" s="152"/>
    </row>
    <row r="818" spans="2:4">
      <c r="B818" s="144"/>
      <c r="C818" s="144"/>
      <c r="D818" s="152"/>
    </row>
    <row r="819" spans="2:4">
      <c r="B819" s="144"/>
      <c r="C819" s="144"/>
      <c r="D819" s="152"/>
    </row>
    <row r="820" spans="2:4">
      <c r="B820" s="144"/>
      <c r="C820" s="144"/>
      <c r="D820" s="152"/>
    </row>
    <row r="821" spans="2:4">
      <c r="B821" s="144"/>
      <c r="C821" s="144"/>
      <c r="D821" s="152"/>
    </row>
    <row r="822" spans="2:4">
      <c r="B822" s="144"/>
      <c r="C822" s="144"/>
      <c r="D822" s="152"/>
    </row>
    <row r="823" spans="2:4">
      <c r="B823" s="144"/>
      <c r="C823" s="144"/>
      <c r="D823" s="152"/>
    </row>
    <row r="824" spans="2:4">
      <c r="B824" s="144"/>
      <c r="C824" s="144"/>
      <c r="D824" s="152"/>
    </row>
    <row r="825" spans="2:4">
      <c r="B825" s="144"/>
      <c r="C825" s="144"/>
      <c r="D825" s="152"/>
    </row>
    <row r="826" spans="2:4">
      <c r="B826" s="144"/>
      <c r="C826" s="144"/>
      <c r="D826" s="152"/>
    </row>
    <row r="827" spans="2:4">
      <c r="B827" s="144"/>
      <c r="C827" s="144"/>
      <c r="D827" s="152"/>
    </row>
    <row r="828" spans="2:4">
      <c r="B828" s="144"/>
      <c r="C828" s="144"/>
      <c r="D828" s="152"/>
    </row>
    <row r="829" spans="2:4">
      <c r="B829" s="144"/>
      <c r="C829" s="144"/>
      <c r="D829" s="152"/>
    </row>
    <row r="830" spans="2:4">
      <c r="B830" s="144"/>
      <c r="C830" s="144"/>
      <c r="D830" s="152"/>
    </row>
    <row r="831" spans="2:4">
      <c r="B831" s="144"/>
      <c r="C831" s="144"/>
      <c r="D831" s="152"/>
    </row>
    <row r="832" spans="2:4">
      <c r="B832" s="144"/>
      <c r="C832" s="144"/>
      <c r="D832" s="152"/>
    </row>
    <row r="833" spans="2:4">
      <c r="B833" s="144"/>
      <c r="C833" s="144"/>
      <c r="D833" s="152"/>
    </row>
    <row r="834" spans="2:4">
      <c r="B834" s="144"/>
      <c r="C834" s="144"/>
      <c r="D834" s="152"/>
    </row>
    <row r="835" spans="2:4">
      <c r="B835" s="144"/>
      <c r="C835" s="144"/>
      <c r="D835" s="152"/>
    </row>
    <row r="836" spans="2:4">
      <c r="B836" s="144"/>
      <c r="C836" s="144"/>
      <c r="D836" s="152"/>
    </row>
    <row r="837" spans="2:4">
      <c r="B837" s="144"/>
      <c r="C837" s="144"/>
      <c r="D837" s="152"/>
    </row>
    <row r="838" spans="2:4">
      <c r="B838" s="144"/>
      <c r="C838" s="144"/>
      <c r="D838" s="152"/>
    </row>
    <row r="839" spans="2:4">
      <c r="B839" s="144"/>
      <c r="C839" s="144"/>
      <c r="D839" s="152"/>
    </row>
    <row r="840" spans="2:4">
      <c r="B840" s="144"/>
      <c r="C840" s="144"/>
      <c r="D840" s="152"/>
    </row>
    <row r="841" spans="2:4">
      <c r="B841" s="144"/>
      <c r="C841" s="144"/>
      <c r="D841" s="152"/>
    </row>
    <row r="842" spans="2:4">
      <c r="B842" s="144"/>
      <c r="C842" s="144"/>
      <c r="D842" s="152"/>
    </row>
    <row r="843" spans="2:4">
      <c r="B843" s="144"/>
      <c r="C843" s="144"/>
      <c r="D843" s="152"/>
    </row>
    <row r="844" spans="2:4">
      <c r="B844" s="144"/>
      <c r="C844" s="144"/>
      <c r="D844" s="152"/>
    </row>
    <row r="845" spans="2:4">
      <c r="B845" s="144"/>
      <c r="C845" s="144"/>
      <c r="D845" s="152"/>
    </row>
    <row r="846" spans="2:4">
      <c r="B846" s="144"/>
      <c r="C846" s="144"/>
      <c r="D846" s="152"/>
    </row>
    <row r="847" spans="2:4">
      <c r="B847" s="144"/>
      <c r="C847" s="144"/>
      <c r="D847" s="152"/>
    </row>
    <row r="848" spans="2:4">
      <c r="B848" s="144"/>
      <c r="C848" s="144"/>
      <c r="D848" s="152"/>
    </row>
    <row r="849" spans="2:4">
      <c r="B849" s="144"/>
      <c r="C849" s="144"/>
      <c r="D849" s="152"/>
    </row>
    <row r="850" spans="2:4">
      <c r="B850" s="144"/>
      <c r="C850" s="144"/>
      <c r="D850" s="152"/>
    </row>
    <row r="851" spans="2:4">
      <c r="B851" s="144"/>
      <c r="C851" s="144"/>
      <c r="D851" s="152"/>
    </row>
    <row r="852" spans="2:4">
      <c r="B852" s="144"/>
      <c r="C852" s="144"/>
      <c r="D852" s="152"/>
    </row>
    <row r="853" spans="2:4">
      <c r="B853" s="144"/>
      <c r="C853" s="144"/>
      <c r="D853" s="152"/>
    </row>
    <row r="854" spans="2:4">
      <c r="B854" s="144"/>
      <c r="C854" s="144"/>
      <c r="D854" s="152"/>
    </row>
    <row r="855" spans="2:4">
      <c r="B855" s="144"/>
      <c r="C855" s="144"/>
      <c r="D855" s="152"/>
    </row>
    <row r="856" spans="2:4">
      <c r="B856" s="144"/>
      <c r="C856" s="144"/>
      <c r="D856" s="152"/>
    </row>
    <row r="857" spans="2:4">
      <c r="B857" s="144"/>
      <c r="C857" s="144"/>
      <c r="D857" s="152"/>
    </row>
    <row r="858" spans="2:4">
      <c r="B858" s="144"/>
      <c r="C858" s="144"/>
      <c r="D858" s="152"/>
    </row>
    <row r="859" spans="2:4">
      <c r="B859" s="144"/>
      <c r="C859" s="144"/>
      <c r="D859" s="152"/>
    </row>
    <row r="860" spans="2:4">
      <c r="B860" s="144"/>
      <c r="C860" s="144"/>
      <c r="D860" s="152"/>
    </row>
    <row r="861" spans="2:4">
      <c r="B861" s="144"/>
      <c r="C861" s="144"/>
      <c r="D861" s="152"/>
    </row>
    <row r="862" spans="2:4">
      <c r="B862" s="144"/>
      <c r="C862" s="144"/>
      <c r="D862" s="152"/>
    </row>
    <row r="863" spans="2:4">
      <c r="B863" s="144"/>
      <c r="C863" s="144"/>
      <c r="D863" s="152"/>
    </row>
    <row r="864" spans="2:4">
      <c r="B864" s="144"/>
      <c r="C864" s="144"/>
      <c r="D864" s="152"/>
    </row>
    <row r="865" spans="2:4">
      <c r="B865" s="144"/>
      <c r="C865" s="144"/>
      <c r="D865" s="152"/>
    </row>
    <row r="866" spans="2:4">
      <c r="B866" s="144"/>
      <c r="C866" s="144"/>
      <c r="D866" s="152"/>
    </row>
    <row r="867" spans="2:4">
      <c r="B867" s="144"/>
      <c r="C867" s="144"/>
      <c r="D867" s="152"/>
    </row>
    <row r="868" spans="2:4">
      <c r="B868" s="144"/>
      <c r="C868" s="144"/>
      <c r="D868" s="152"/>
    </row>
    <row r="869" spans="2:4">
      <c r="B869" s="144"/>
      <c r="C869" s="144"/>
      <c r="D869" s="152"/>
    </row>
    <row r="870" spans="2:4">
      <c r="B870" s="144"/>
      <c r="C870" s="144"/>
      <c r="D870" s="152"/>
    </row>
    <row r="871" spans="2:4">
      <c r="B871" s="144"/>
      <c r="C871" s="144"/>
      <c r="D871" s="152"/>
    </row>
    <row r="872" spans="2:4">
      <c r="B872" s="144"/>
      <c r="C872" s="144"/>
      <c r="D872" s="152"/>
    </row>
    <row r="873" spans="2:4">
      <c r="B873" s="144"/>
      <c r="C873" s="144"/>
      <c r="D873" s="152"/>
    </row>
    <row r="874" spans="2:4">
      <c r="B874" s="144"/>
      <c r="C874" s="144"/>
      <c r="D874" s="152"/>
    </row>
    <row r="875" spans="2:4">
      <c r="B875" s="144"/>
      <c r="C875" s="144"/>
      <c r="D875" s="152"/>
    </row>
    <row r="876" spans="2:4">
      <c r="B876" s="144"/>
      <c r="C876" s="144"/>
      <c r="D876" s="152"/>
    </row>
    <row r="877" spans="2:4">
      <c r="B877" s="144"/>
      <c r="C877" s="144"/>
      <c r="D877" s="152"/>
    </row>
    <row r="878" spans="2:4">
      <c r="B878" s="144"/>
      <c r="C878" s="144"/>
      <c r="D878" s="152"/>
    </row>
    <row r="879" spans="2:4">
      <c r="B879" s="144"/>
      <c r="C879" s="144"/>
      <c r="D879" s="152"/>
    </row>
    <row r="880" spans="2:4">
      <c r="B880" s="144"/>
      <c r="C880" s="144"/>
      <c r="D880" s="152"/>
    </row>
    <row r="881" spans="2:4">
      <c r="B881" s="144"/>
      <c r="C881" s="144"/>
      <c r="D881" s="152"/>
    </row>
    <row r="882" spans="2:4">
      <c r="B882" s="144"/>
      <c r="C882" s="144"/>
      <c r="D882" s="152"/>
    </row>
    <row r="883" spans="2:4">
      <c r="B883" s="144"/>
      <c r="C883" s="144"/>
      <c r="D883" s="152"/>
    </row>
    <row r="884" spans="2:4">
      <c r="B884" s="144"/>
      <c r="C884" s="144"/>
      <c r="D884" s="152"/>
    </row>
    <row r="885" spans="2:4">
      <c r="B885" s="144"/>
      <c r="C885" s="144"/>
      <c r="D885" s="152"/>
    </row>
    <row r="886" spans="2:4">
      <c r="B886" s="144"/>
      <c r="C886" s="144"/>
      <c r="D886" s="152"/>
    </row>
    <row r="887" spans="2:4">
      <c r="B887" s="144"/>
      <c r="C887" s="144"/>
      <c r="D887" s="152"/>
    </row>
    <row r="888" spans="2:4">
      <c r="B888" s="144"/>
      <c r="C888" s="144"/>
      <c r="D888" s="152"/>
    </row>
    <row r="889" spans="2:4">
      <c r="B889" s="144"/>
      <c r="C889" s="144"/>
      <c r="D889" s="152"/>
    </row>
    <row r="890" spans="2:4">
      <c r="B890" s="144"/>
      <c r="C890" s="144"/>
      <c r="D890" s="152"/>
    </row>
    <row r="891" spans="2:4">
      <c r="B891" s="144"/>
      <c r="C891" s="144"/>
      <c r="D891" s="152"/>
    </row>
    <row r="892" spans="2:4">
      <c r="B892" s="144"/>
      <c r="C892" s="144"/>
      <c r="D892" s="152"/>
    </row>
    <row r="893" spans="2:4">
      <c r="B893" s="144"/>
      <c r="C893" s="144"/>
      <c r="D893" s="152"/>
    </row>
    <row r="894" spans="2:4">
      <c r="B894" s="144"/>
      <c r="C894" s="144"/>
      <c r="D894" s="152"/>
    </row>
    <row r="895" spans="2:4">
      <c r="B895" s="144"/>
      <c r="C895" s="144"/>
      <c r="D895" s="152"/>
    </row>
    <row r="896" spans="2:4">
      <c r="B896" s="144"/>
      <c r="C896" s="144"/>
      <c r="D896" s="152"/>
    </row>
    <row r="897" spans="2:4">
      <c r="B897" s="144"/>
      <c r="C897" s="144"/>
      <c r="D897" s="152"/>
    </row>
    <row r="898" spans="2:4">
      <c r="B898" s="144"/>
      <c r="C898" s="144"/>
      <c r="D898" s="152"/>
    </row>
    <row r="899" spans="2:4">
      <c r="B899" s="144"/>
      <c r="C899" s="144"/>
      <c r="D899" s="152"/>
    </row>
    <row r="900" spans="2:4">
      <c r="B900" s="144"/>
      <c r="C900" s="144"/>
      <c r="D900" s="152"/>
    </row>
    <row r="901" spans="2:4">
      <c r="B901" s="144"/>
      <c r="C901" s="144"/>
      <c r="D901" s="152"/>
    </row>
    <row r="902" spans="2:4">
      <c r="B902" s="144"/>
      <c r="C902" s="144"/>
      <c r="D902" s="152"/>
    </row>
    <row r="903" spans="2:4">
      <c r="B903" s="144"/>
      <c r="C903" s="144"/>
      <c r="D903" s="152"/>
    </row>
    <row r="904" spans="2:4">
      <c r="B904" s="144"/>
      <c r="C904" s="144"/>
      <c r="D904" s="152"/>
    </row>
    <row r="905" spans="2:4">
      <c r="B905" s="144"/>
      <c r="C905" s="144"/>
      <c r="D905" s="152"/>
    </row>
    <row r="906" spans="2:4">
      <c r="B906" s="144"/>
      <c r="C906" s="144"/>
      <c r="D906" s="152"/>
    </row>
    <row r="907" spans="2:4">
      <c r="B907" s="144"/>
      <c r="C907" s="144"/>
      <c r="D907" s="152"/>
    </row>
    <row r="908" spans="2:4">
      <c r="B908" s="144"/>
      <c r="C908" s="144"/>
      <c r="D908" s="152"/>
    </row>
    <row r="909" spans="2:4">
      <c r="B909" s="144"/>
      <c r="C909" s="144"/>
      <c r="D909" s="152"/>
    </row>
    <row r="910" spans="2:4">
      <c r="B910" s="144"/>
      <c r="C910" s="144"/>
      <c r="D910" s="152"/>
    </row>
    <row r="911" spans="2:4">
      <c r="B911" s="144"/>
      <c r="C911" s="144"/>
      <c r="D911" s="152"/>
    </row>
    <row r="912" spans="2:4">
      <c r="B912" s="144"/>
      <c r="C912" s="144"/>
      <c r="D912" s="152"/>
    </row>
    <row r="913" spans="2:4">
      <c r="B913" s="144"/>
      <c r="C913" s="144"/>
      <c r="D913" s="152"/>
    </row>
    <row r="914" spans="2:4">
      <c r="B914" s="144"/>
      <c r="C914" s="144"/>
      <c r="D914" s="152"/>
    </row>
    <row r="915" spans="2:4">
      <c r="B915" s="144"/>
      <c r="C915" s="144"/>
      <c r="D915" s="152"/>
    </row>
    <row r="916" spans="2:4">
      <c r="B916" s="144"/>
      <c r="C916" s="144"/>
      <c r="D916" s="152"/>
    </row>
    <row r="917" spans="2:4">
      <c r="B917" s="144"/>
      <c r="C917" s="144"/>
      <c r="D917" s="152"/>
    </row>
    <row r="918" spans="2:4">
      <c r="B918" s="144"/>
      <c r="C918" s="144"/>
      <c r="D918" s="152"/>
    </row>
    <row r="919" spans="2:4">
      <c r="B919" s="144"/>
      <c r="C919" s="144"/>
      <c r="D919" s="152"/>
    </row>
    <row r="920" spans="2:4">
      <c r="B920" s="144"/>
      <c r="C920" s="144"/>
      <c r="D920" s="152"/>
    </row>
    <row r="921" spans="2:4">
      <c r="B921" s="144"/>
      <c r="C921" s="144"/>
      <c r="D921" s="152"/>
    </row>
    <row r="922" spans="2:4">
      <c r="B922" s="144"/>
      <c r="C922" s="144"/>
      <c r="D922" s="152"/>
    </row>
    <row r="923" spans="2:4">
      <c r="B923" s="144"/>
      <c r="C923" s="144"/>
      <c r="D923" s="152"/>
    </row>
    <row r="924" spans="2:4">
      <c r="B924" s="144"/>
      <c r="C924" s="144"/>
      <c r="D924" s="152"/>
    </row>
    <row r="925" spans="2:4">
      <c r="B925" s="144"/>
      <c r="C925" s="144"/>
      <c r="D925" s="152"/>
    </row>
    <row r="926" spans="2:4">
      <c r="B926" s="144"/>
      <c r="C926" s="144"/>
      <c r="D926" s="152"/>
    </row>
    <row r="927" spans="2:4">
      <c r="B927" s="144"/>
      <c r="C927" s="144"/>
      <c r="D927" s="152"/>
    </row>
    <row r="928" spans="2:4">
      <c r="B928" s="144"/>
      <c r="C928" s="144"/>
      <c r="D928" s="152"/>
    </row>
    <row r="929" spans="2:4">
      <c r="B929" s="144"/>
      <c r="C929" s="144"/>
      <c r="D929" s="152"/>
    </row>
    <row r="930" spans="2:4">
      <c r="B930" s="144"/>
      <c r="C930" s="144"/>
      <c r="D930" s="152"/>
    </row>
    <row r="931" spans="2:4">
      <c r="B931" s="144"/>
      <c r="C931" s="144"/>
      <c r="D931" s="152"/>
    </row>
    <row r="932" spans="2:4">
      <c r="B932" s="144"/>
      <c r="C932" s="144"/>
      <c r="D932" s="152"/>
    </row>
    <row r="933" spans="2:4">
      <c r="B933" s="144"/>
      <c r="C933" s="144"/>
      <c r="D933" s="152"/>
    </row>
    <row r="934" spans="2:4">
      <c r="B934" s="144"/>
      <c r="C934" s="144"/>
      <c r="D934" s="152"/>
    </row>
    <row r="935" spans="2:4">
      <c r="B935" s="144"/>
      <c r="C935" s="144"/>
      <c r="D935" s="152"/>
    </row>
    <row r="936" spans="2:4">
      <c r="B936" s="144"/>
      <c r="C936" s="144"/>
      <c r="D936" s="152"/>
    </row>
    <row r="937" spans="2:4">
      <c r="B937" s="144"/>
      <c r="C937" s="144"/>
      <c r="D937" s="152"/>
    </row>
    <row r="938" spans="2:4">
      <c r="B938" s="144"/>
      <c r="C938" s="144"/>
      <c r="D938" s="152"/>
    </row>
    <row r="939" spans="2:4">
      <c r="B939" s="144"/>
      <c r="C939" s="144"/>
      <c r="D939" s="152"/>
    </row>
    <row r="940" spans="2:4">
      <c r="B940" s="144"/>
      <c r="C940" s="144"/>
      <c r="D940" s="152"/>
    </row>
    <row r="941" spans="2:4">
      <c r="B941" s="144"/>
      <c r="C941" s="144"/>
      <c r="D941" s="152"/>
    </row>
    <row r="942" spans="2:4">
      <c r="B942" s="144"/>
      <c r="C942" s="144"/>
      <c r="D942" s="152"/>
    </row>
    <row r="943" spans="2:4">
      <c r="B943" s="144"/>
      <c r="C943" s="144"/>
      <c r="D943" s="152"/>
    </row>
    <row r="944" spans="2:4">
      <c r="B944" s="144"/>
      <c r="C944" s="144"/>
      <c r="D944" s="152"/>
    </row>
    <row r="945" spans="2:4">
      <c r="B945" s="144"/>
      <c r="C945" s="144"/>
      <c r="D945" s="152"/>
    </row>
    <row r="946" spans="2:4">
      <c r="B946" s="144"/>
      <c r="C946" s="144"/>
      <c r="D946" s="152"/>
    </row>
    <row r="947" spans="2:4">
      <c r="B947" s="144"/>
      <c r="C947" s="144"/>
      <c r="D947" s="152"/>
    </row>
    <row r="948" spans="2:4">
      <c r="B948" s="144"/>
      <c r="C948" s="144"/>
      <c r="D948" s="152"/>
    </row>
    <row r="949" spans="2:4">
      <c r="B949" s="144"/>
      <c r="C949" s="144"/>
      <c r="D949" s="152"/>
    </row>
    <row r="950" spans="2:4">
      <c r="B950" s="144"/>
      <c r="C950" s="144"/>
      <c r="D950" s="152"/>
    </row>
    <row r="951" spans="2:4">
      <c r="B951" s="144"/>
      <c r="C951" s="144"/>
      <c r="D951" s="152"/>
    </row>
    <row r="952" spans="2:4">
      <c r="B952" s="144"/>
      <c r="C952" s="144"/>
      <c r="D952" s="152"/>
    </row>
    <row r="953" spans="2:4">
      <c r="B953" s="144"/>
      <c r="C953" s="144"/>
      <c r="D953" s="152"/>
    </row>
    <row r="954" spans="2:4">
      <c r="B954" s="144"/>
      <c r="C954" s="144"/>
      <c r="D954" s="152"/>
    </row>
    <row r="955" spans="2:4">
      <c r="B955" s="144"/>
      <c r="C955" s="144"/>
      <c r="D955" s="152"/>
    </row>
    <row r="956" spans="2:4">
      <c r="B956" s="144"/>
      <c r="C956" s="144"/>
      <c r="D956" s="152"/>
    </row>
    <row r="957" spans="2:4">
      <c r="B957" s="144"/>
      <c r="C957" s="144"/>
      <c r="D957" s="152"/>
    </row>
    <row r="958" spans="2:4">
      <c r="B958" s="144"/>
      <c r="C958" s="144"/>
      <c r="D958" s="152"/>
    </row>
    <row r="959" spans="2:4">
      <c r="B959" s="144"/>
      <c r="C959" s="144"/>
      <c r="D959" s="152"/>
    </row>
    <row r="960" spans="2:4">
      <c r="B960" s="144"/>
      <c r="C960" s="144"/>
      <c r="D960" s="152"/>
    </row>
    <row r="961" spans="2:4">
      <c r="B961" s="144"/>
      <c r="C961" s="144"/>
      <c r="D961" s="152"/>
    </row>
    <row r="962" spans="2:4">
      <c r="B962" s="144"/>
      <c r="C962" s="144"/>
      <c r="D962" s="152"/>
    </row>
    <row r="963" spans="2:4">
      <c r="B963" s="144"/>
      <c r="C963" s="144"/>
      <c r="D963" s="152"/>
    </row>
    <row r="964" spans="2:4">
      <c r="B964" s="144"/>
      <c r="C964" s="144"/>
      <c r="D964" s="152"/>
    </row>
    <row r="965" spans="2:4">
      <c r="B965" s="144"/>
      <c r="C965" s="144"/>
      <c r="D965" s="152"/>
    </row>
    <row r="966" spans="2:4">
      <c r="B966" s="144"/>
      <c r="C966" s="144"/>
      <c r="D966" s="152"/>
    </row>
    <row r="967" spans="2:4">
      <c r="B967" s="144"/>
      <c r="C967" s="144"/>
      <c r="D967" s="152"/>
    </row>
    <row r="968" spans="2:4">
      <c r="B968" s="144"/>
      <c r="C968" s="144"/>
      <c r="D968" s="152"/>
    </row>
    <row r="969" spans="2:4">
      <c r="B969" s="144"/>
      <c r="C969" s="144"/>
      <c r="D969" s="152"/>
    </row>
    <row r="970" spans="2:4">
      <c r="B970" s="144"/>
      <c r="C970" s="144"/>
      <c r="D970" s="152"/>
    </row>
    <row r="971" spans="2:4">
      <c r="B971" s="144"/>
      <c r="C971" s="144"/>
      <c r="D971" s="152"/>
    </row>
    <row r="972" spans="2:4">
      <c r="B972" s="144"/>
      <c r="C972" s="144"/>
      <c r="D972" s="152"/>
    </row>
    <row r="973" spans="2:4">
      <c r="B973" s="144"/>
      <c r="C973" s="144"/>
      <c r="D973" s="152"/>
    </row>
    <row r="974" spans="2:4">
      <c r="B974" s="144"/>
      <c r="C974" s="144"/>
      <c r="D974" s="152"/>
    </row>
    <row r="975" spans="2:4">
      <c r="B975" s="144"/>
      <c r="C975" s="144"/>
      <c r="D975" s="152"/>
    </row>
    <row r="976" spans="2:4">
      <c r="B976" s="144"/>
      <c r="C976" s="144"/>
      <c r="D976" s="152"/>
    </row>
    <row r="977" spans="2:4">
      <c r="B977" s="144"/>
      <c r="C977" s="144"/>
      <c r="D977" s="152"/>
    </row>
    <row r="978" spans="2:4">
      <c r="B978" s="144"/>
      <c r="C978" s="144"/>
      <c r="D978" s="152"/>
    </row>
    <row r="979" spans="2:4">
      <c r="B979" s="144"/>
      <c r="C979" s="144"/>
      <c r="D979" s="152"/>
    </row>
    <row r="980" spans="2:4">
      <c r="B980" s="144"/>
      <c r="C980" s="144"/>
      <c r="D980" s="152"/>
    </row>
  </sheetData>
  <autoFilter ref="B3:D3" xr:uid="{00000000-0009-0000-0000-000007000000}"/>
  <mergeCells count="1">
    <mergeCell ref="B2:D2"/>
  </mergeCells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980"/>
  <sheetViews>
    <sheetView topLeftCell="A3" zoomScale="120" zoomScaleNormal="120" workbookViewId="0">
      <pane xSplit="2" ySplit="1" topLeftCell="C13" activePane="bottomRight" state="frozen"/>
      <selection activeCell="A3" sqref="A3"/>
      <selection pane="topRight" activeCell="C3" sqref="C3"/>
      <selection pane="bottomLeft" activeCell="A4" sqref="A4"/>
      <selection pane="bottomRight" activeCell="C10" sqref="C10"/>
    </sheetView>
  </sheetViews>
  <sheetFormatPr defaultColWidth="9" defaultRowHeight="15"/>
  <cols>
    <col min="1" max="1" width="9" style="131"/>
    <col min="2" max="2" width="26.125" style="131" customWidth="1"/>
    <col min="3" max="3" width="43.375" style="131" customWidth="1"/>
    <col min="4" max="4" width="12.375" style="131" customWidth="1"/>
    <col min="5" max="5" width="7.625" style="203" customWidth="1"/>
    <col min="6" max="6" width="9" style="131"/>
    <col min="7" max="7" width="19" style="131" bestFit="1" customWidth="1"/>
    <col min="8" max="8" width="9" style="131"/>
    <col min="9" max="9" width="10.875" style="131" customWidth="1"/>
    <col min="10" max="16384" width="9" style="131"/>
  </cols>
  <sheetData>
    <row r="1" spans="2:11">
      <c r="B1" s="144"/>
      <c r="C1" s="144"/>
      <c r="D1" s="144"/>
      <c r="E1" s="144"/>
    </row>
    <row r="2" spans="2:11">
      <c r="B2" s="443" t="s">
        <v>428</v>
      </c>
      <c r="C2" s="442"/>
      <c r="D2" s="442"/>
      <c r="E2" s="442"/>
    </row>
    <row r="3" spans="2:11">
      <c r="B3" s="153" t="s">
        <v>341</v>
      </c>
      <c r="C3" s="154" t="s">
        <v>342</v>
      </c>
      <c r="D3" s="154"/>
      <c r="E3" s="154" t="s">
        <v>13</v>
      </c>
    </row>
    <row r="4" spans="2:11" ht="30">
      <c r="B4" s="135" t="s">
        <v>348</v>
      </c>
      <c r="C4" s="135" t="s">
        <v>283</v>
      </c>
      <c r="D4" s="135"/>
      <c r="E4" s="196" t="s">
        <v>349</v>
      </c>
      <c r="H4" s="131" t="s">
        <v>429</v>
      </c>
      <c r="I4" s="131" t="s">
        <v>430</v>
      </c>
      <c r="J4" s="131" t="s">
        <v>431</v>
      </c>
      <c r="K4" s="131" t="s">
        <v>432</v>
      </c>
    </row>
    <row r="5" spans="2:11" ht="60">
      <c r="B5" s="190" t="s">
        <v>433</v>
      </c>
      <c r="C5" s="190" t="s">
        <v>434</v>
      </c>
      <c r="D5" s="190"/>
      <c r="E5" s="197">
        <v>0.9</v>
      </c>
    </row>
    <row r="6" spans="2:11" ht="45">
      <c r="B6" s="144" t="s">
        <v>353</v>
      </c>
      <c r="C6" s="144" t="s">
        <v>160</v>
      </c>
      <c r="D6" s="144"/>
      <c r="E6" s="198">
        <v>0.95</v>
      </c>
    </row>
    <row r="7" spans="2:11" ht="30">
      <c r="B7" s="190" t="s">
        <v>435</v>
      </c>
      <c r="C7" s="144" t="s">
        <v>436</v>
      </c>
      <c r="D7" s="144"/>
      <c r="E7" s="198">
        <v>0.85</v>
      </c>
      <c r="F7" s="192"/>
      <c r="G7" s="199"/>
    </row>
    <row r="8" spans="2:11" ht="60">
      <c r="B8" s="190" t="s">
        <v>437</v>
      </c>
      <c r="C8" s="144" t="s">
        <v>438</v>
      </c>
      <c r="D8" s="144"/>
      <c r="E8" s="198">
        <v>1</v>
      </c>
    </row>
    <row r="9" spans="2:11" ht="30">
      <c r="B9" s="147" t="s">
        <v>427</v>
      </c>
      <c r="C9" s="157" t="s">
        <v>357</v>
      </c>
      <c r="D9" s="157"/>
      <c r="E9" s="200">
        <v>0.5</v>
      </c>
    </row>
    <row r="10" spans="2:11" ht="45">
      <c r="B10" s="147" t="s">
        <v>358</v>
      </c>
      <c r="C10" s="157" t="s">
        <v>408</v>
      </c>
      <c r="D10" s="157"/>
      <c r="E10" s="201">
        <v>1</v>
      </c>
    </row>
    <row r="11" spans="2:11" ht="45">
      <c r="B11" s="157" t="s">
        <v>359</v>
      </c>
      <c r="C11" s="157" t="s">
        <v>360</v>
      </c>
      <c r="D11" s="157"/>
      <c r="E11" s="201">
        <v>0.83</v>
      </c>
    </row>
    <row r="12" spans="2:11" ht="30">
      <c r="B12" s="145" t="s">
        <v>363</v>
      </c>
      <c r="C12" s="145" t="s">
        <v>364</v>
      </c>
      <c r="D12" s="145"/>
      <c r="E12" s="202">
        <v>0.73</v>
      </c>
    </row>
    <row r="13" spans="2:11" ht="45">
      <c r="B13" s="145" t="s">
        <v>365</v>
      </c>
      <c r="C13" s="145" t="s">
        <v>366</v>
      </c>
      <c r="D13" s="145"/>
      <c r="E13" s="147" t="s">
        <v>158</v>
      </c>
    </row>
    <row r="14" spans="2:11" ht="30">
      <c r="B14" s="145" t="s">
        <v>367</v>
      </c>
      <c r="C14" s="145" t="s">
        <v>368</v>
      </c>
      <c r="D14" s="145"/>
      <c r="E14" s="202">
        <v>0.75</v>
      </c>
    </row>
    <row r="15" spans="2:11">
      <c r="B15" s="145" t="s">
        <v>369</v>
      </c>
      <c r="C15" s="145" t="s">
        <v>370</v>
      </c>
      <c r="D15" s="145"/>
      <c r="E15" s="202">
        <v>0.9</v>
      </c>
    </row>
    <row r="16" spans="2:11" ht="45">
      <c r="B16" s="145" t="s">
        <v>371</v>
      </c>
      <c r="C16" s="157" t="s">
        <v>372</v>
      </c>
      <c r="D16" s="157"/>
      <c r="E16" s="157" t="s">
        <v>19</v>
      </c>
    </row>
    <row r="17" spans="2:5" ht="45">
      <c r="B17" s="147" t="s">
        <v>373</v>
      </c>
      <c r="C17" s="157" t="e">
        <f>VLOOKUP(B17,#REF!,2,0)</f>
        <v>#REF!</v>
      </c>
      <c r="D17" s="157"/>
      <c r="E17" s="201" t="e">
        <f>VLOOKUP(B17,#REF!,3,0)</f>
        <v>#REF!</v>
      </c>
    </row>
    <row r="18" spans="2:5">
      <c r="B18" s="144"/>
      <c r="C18" s="144"/>
      <c r="D18" s="144"/>
      <c r="E18" s="144"/>
    </row>
    <row r="19" spans="2:5">
      <c r="B19" s="144"/>
      <c r="C19" s="144"/>
      <c r="D19" s="144"/>
      <c r="E19" s="144"/>
    </row>
    <row r="20" spans="2:5">
      <c r="B20" s="144"/>
      <c r="C20" s="144"/>
      <c r="D20" s="144"/>
      <c r="E20" s="144"/>
    </row>
    <row r="21" spans="2:5">
      <c r="B21" s="144"/>
      <c r="C21" s="144"/>
      <c r="D21" s="144"/>
      <c r="E21" s="144"/>
    </row>
    <row r="22" spans="2:5">
      <c r="B22" s="144"/>
      <c r="C22" s="144"/>
      <c r="D22" s="144"/>
      <c r="E22" s="144"/>
    </row>
    <row r="23" spans="2:5">
      <c r="B23" s="144"/>
      <c r="C23" s="144"/>
      <c r="D23" s="144"/>
      <c r="E23" s="144"/>
    </row>
    <row r="24" spans="2:5">
      <c r="B24" s="144"/>
      <c r="C24" s="144"/>
      <c r="D24" s="144"/>
      <c r="E24" s="144"/>
    </row>
    <row r="25" spans="2:5">
      <c r="B25" s="144"/>
      <c r="C25" s="144"/>
      <c r="D25" s="144"/>
      <c r="E25" s="144"/>
    </row>
    <row r="26" spans="2:5">
      <c r="B26" s="144"/>
      <c r="C26" s="144"/>
      <c r="D26" s="144"/>
      <c r="E26" s="144"/>
    </row>
    <row r="27" spans="2:5">
      <c r="B27" s="144"/>
      <c r="C27" s="144"/>
      <c r="D27" s="144"/>
      <c r="E27" s="144"/>
    </row>
    <row r="28" spans="2:5">
      <c r="B28" s="144"/>
      <c r="C28" s="144"/>
      <c r="D28" s="144"/>
      <c r="E28" s="144"/>
    </row>
    <row r="29" spans="2:5">
      <c r="B29" s="144"/>
      <c r="C29" s="144"/>
      <c r="D29" s="144"/>
      <c r="E29" s="144"/>
    </row>
    <row r="30" spans="2:5">
      <c r="B30" s="144"/>
      <c r="C30" s="144"/>
      <c r="D30" s="144"/>
      <c r="E30" s="144"/>
    </row>
    <row r="31" spans="2:5">
      <c r="B31" s="144"/>
      <c r="C31" s="144"/>
      <c r="D31" s="144"/>
      <c r="E31" s="144"/>
    </row>
    <row r="32" spans="2:5">
      <c r="B32" s="144"/>
      <c r="C32" s="144"/>
      <c r="D32" s="144"/>
      <c r="E32" s="144"/>
    </row>
    <row r="33" spans="2:5">
      <c r="B33" s="144"/>
      <c r="C33" s="144"/>
      <c r="D33" s="144"/>
      <c r="E33" s="144"/>
    </row>
    <row r="34" spans="2:5">
      <c r="B34" s="144"/>
      <c r="C34" s="144"/>
      <c r="D34" s="144"/>
      <c r="E34" s="144"/>
    </row>
    <row r="35" spans="2:5">
      <c r="B35" s="144"/>
      <c r="C35" s="144"/>
      <c r="D35" s="144"/>
      <c r="E35" s="144"/>
    </row>
    <row r="36" spans="2:5">
      <c r="B36" s="144"/>
      <c r="C36" s="144"/>
      <c r="D36" s="144"/>
      <c r="E36" s="144"/>
    </row>
    <row r="37" spans="2:5">
      <c r="B37" s="144"/>
      <c r="C37" s="144"/>
      <c r="D37" s="144"/>
      <c r="E37" s="144"/>
    </row>
    <row r="38" spans="2:5">
      <c r="B38" s="144"/>
      <c r="C38" s="144"/>
      <c r="D38" s="144"/>
      <c r="E38" s="144"/>
    </row>
    <row r="39" spans="2:5">
      <c r="B39" s="144"/>
      <c r="C39" s="144"/>
      <c r="D39" s="144"/>
      <c r="E39" s="144"/>
    </row>
    <row r="40" spans="2:5">
      <c r="B40" s="144"/>
      <c r="C40" s="144"/>
      <c r="D40" s="144"/>
      <c r="E40" s="144"/>
    </row>
    <row r="41" spans="2:5">
      <c r="B41" s="144"/>
      <c r="C41" s="144"/>
      <c r="D41" s="144"/>
      <c r="E41" s="144"/>
    </row>
    <row r="42" spans="2:5">
      <c r="B42" s="144"/>
      <c r="C42" s="144"/>
      <c r="D42" s="144"/>
      <c r="E42" s="144"/>
    </row>
    <row r="43" spans="2:5">
      <c r="B43" s="144"/>
      <c r="C43" s="144"/>
      <c r="D43" s="144"/>
      <c r="E43" s="144"/>
    </row>
    <row r="44" spans="2:5">
      <c r="B44" s="144"/>
      <c r="C44" s="144"/>
      <c r="D44" s="144"/>
      <c r="E44" s="144"/>
    </row>
    <row r="45" spans="2:5">
      <c r="B45" s="144"/>
      <c r="C45" s="144"/>
      <c r="D45" s="144"/>
      <c r="E45" s="144"/>
    </row>
    <row r="46" spans="2:5">
      <c r="B46" s="144"/>
      <c r="C46" s="144"/>
      <c r="D46" s="144"/>
      <c r="E46" s="144"/>
    </row>
    <row r="47" spans="2:5">
      <c r="B47" s="144"/>
      <c r="C47" s="144"/>
      <c r="D47" s="144"/>
      <c r="E47" s="144"/>
    </row>
    <row r="48" spans="2:5">
      <c r="B48" s="144"/>
      <c r="C48" s="144"/>
      <c r="D48" s="144"/>
      <c r="E48" s="144"/>
    </row>
    <row r="49" spans="2:5">
      <c r="B49" s="144"/>
      <c r="C49" s="144"/>
      <c r="D49" s="144"/>
      <c r="E49" s="144"/>
    </row>
    <row r="50" spans="2:5">
      <c r="B50" s="144"/>
      <c r="C50" s="144"/>
      <c r="D50" s="144"/>
      <c r="E50" s="144"/>
    </row>
    <row r="51" spans="2:5">
      <c r="B51" s="144"/>
      <c r="C51" s="144"/>
      <c r="D51" s="144"/>
      <c r="E51" s="144"/>
    </row>
    <row r="52" spans="2:5">
      <c r="B52" s="144"/>
      <c r="C52" s="144"/>
      <c r="D52" s="144"/>
      <c r="E52" s="144"/>
    </row>
    <row r="53" spans="2:5">
      <c r="B53" s="144"/>
      <c r="C53" s="144"/>
      <c r="D53" s="144"/>
      <c r="E53" s="144"/>
    </row>
    <row r="54" spans="2:5">
      <c r="B54" s="144"/>
      <c r="C54" s="144"/>
      <c r="D54" s="144"/>
      <c r="E54" s="144"/>
    </row>
    <row r="55" spans="2:5">
      <c r="B55" s="144"/>
      <c r="C55" s="144"/>
      <c r="D55" s="144"/>
      <c r="E55" s="144"/>
    </row>
    <row r="56" spans="2:5">
      <c r="B56" s="144"/>
      <c r="C56" s="144"/>
      <c r="D56" s="144"/>
      <c r="E56" s="144"/>
    </row>
    <row r="57" spans="2:5">
      <c r="B57" s="144"/>
      <c r="C57" s="144"/>
      <c r="D57" s="144"/>
      <c r="E57" s="144"/>
    </row>
    <row r="58" spans="2:5">
      <c r="B58" s="144"/>
      <c r="C58" s="144"/>
      <c r="D58" s="144"/>
      <c r="E58" s="144"/>
    </row>
    <row r="59" spans="2:5">
      <c r="B59" s="144"/>
      <c r="C59" s="144"/>
      <c r="D59" s="144"/>
      <c r="E59" s="144"/>
    </row>
    <row r="60" spans="2:5">
      <c r="B60" s="144"/>
      <c r="C60" s="144"/>
      <c r="D60" s="144"/>
      <c r="E60" s="144"/>
    </row>
    <row r="61" spans="2:5">
      <c r="B61" s="144"/>
      <c r="C61" s="144"/>
      <c r="D61" s="144"/>
      <c r="E61" s="144"/>
    </row>
    <row r="62" spans="2:5">
      <c r="B62" s="144"/>
      <c r="C62" s="144"/>
      <c r="D62" s="144"/>
      <c r="E62" s="144"/>
    </row>
    <row r="63" spans="2:5">
      <c r="B63" s="144"/>
      <c r="C63" s="144"/>
      <c r="D63" s="144"/>
      <c r="E63" s="144"/>
    </row>
    <row r="64" spans="2:5">
      <c r="B64" s="144"/>
      <c r="C64" s="144"/>
      <c r="D64" s="144"/>
      <c r="E64" s="144"/>
    </row>
    <row r="65" spans="2:5">
      <c r="B65" s="144"/>
      <c r="C65" s="144"/>
      <c r="D65" s="144"/>
      <c r="E65" s="144"/>
    </row>
    <row r="66" spans="2:5">
      <c r="B66" s="144"/>
      <c r="C66" s="144"/>
      <c r="D66" s="144"/>
      <c r="E66" s="144"/>
    </row>
    <row r="67" spans="2:5">
      <c r="B67" s="144"/>
      <c r="C67" s="144"/>
      <c r="D67" s="144"/>
      <c r="E67" s="144"/>
    </row>
    <row r="68" spans="2:5">
      <c r="B68" s="144"/>
      <c r="C68" s="144"/>
      <c r="D68" s="144"/>
      <c r="E68" s="144"/>
    </row>
    <row r="69" spans="2:5">
      <c r="B69" s="144"/>
      <c r="C69" s="144"/>
      <c r="D69" s="144"/>
      <c r="E69" s="144"/>
    </row>
    <row r="70" spans="2:5">
      <c r="B70" s="144"/>
      <c r="C70" s="144"/>
      <c r="D70" s="144"/>
      <c r="E70" s="144"/>
    </row>
    <row r="71" spans="2:5">
      <c r="B71" s="144"/>
      <c r="C71" s="144"/>
      <c r="D71" s="144"/>
      <c r="E71" s="144"/>
    </row>
    <row r="72" spans="2:5">
      <c r="B72" s="144"/>
      <c r="C72" s="144"/>
      <c r="D72" s="144"/>
      <c r="E72" s="144"/>
    </row>
    <row r="73" spans="2:5">
      <c r="B73" s="144"/>
      <c r="C73" s="144"/>
      <c r="D73" s="144"/>
      <c r="E73" s="144"/>
    </row>
    <row r="74" spans="2:5">
      <c r="B74" s="144"/>
      <c r="C74" s="144"/>
      <c r="D74" s="144"/>
      <c r="E74" s="144"/>
    </row>
    <row r="75" spans="2:5">
      <c r="B75" s="144"/>
      <c r="C75" s="144"/>
      <c r="D75" s="144"/>
      <c r="E75" s="144"/>
    </row>
    <row r="76" spans="2:5">
      <c r="B76" s="144"/>
      <c r="C76" s="144"/>
      <c r="D76" s="144"/>
      <c r="E76" s="144"/>
    </row>
    <row r="77" spans="2:5">
      <c r="B77" s="144"/>
      <c r="C77" s="144"/>
      <c r="D77" s="144"/>
      <c r="E77" s="144"/>
    </row>
    <row r="78" spans="2:5">
      <c r="B78" s="144"/>
      <c r="C78" s="144"/>
      <c r="D78" s="144"/>
      <c r="E78" s="144"/>
    </row>
    <row r="79" spans="2:5">
      <c r="B79" s="144"/>
      <c r="C79" s="144"/>
      <c r="D79" s="144"/>
      <c r="E79" s="144"/>
    </row>
    <row r="80" spans="2:5">
      <c r="B80" s="144"/>
      <c r="C80" s="144"/>
      <c r="D80" s="144"/>
      <c r="E80" s="144"/>
    </row>
    <row r="81" spans="2:5">
      <c r="B81" s="144"/>
      <c r="C81" s="144"/>
      <c r="D81" s="144"/>
      <c r="E81" s="144"/>
    </row>
    <row r="82" spans="2:5">
      <c r="B82" s="144"/>
      <c r="C82" s="144"/>
      <c r="D82" s="144"/>
      <c r="E82" s="144"/>
    </row>
    <row r="83" spans="2:5">
      <c r="B83" s="144"/>
      <c r="C83" s="144"/>
      <c r="D83" s="144"/>
      <c r="E83" s="144"/>
    </row>
    <row r="84" spans="2:5">
      <c r="B84" s="144"/>
      <c r="C84" s="144"/>
      <c r="D84" s="144"/>
      <c r="E84" s="144"/>
    </row>
    <row r="85" spans="2:5">
      <c r="B85" s="144"/>
      <c r="C85" s="144"/>
      <c r="D85" s="144"/>
      <c r="E85" s="144"/>
    </row>
    <row r="86" spans="2:5">
      <c r="B86" s="144"/>
      <c r="C86" s="144"/>
      <c r="D86" s="144"/>
      <c r="E86" s="144"/>
    </row>
    <row r="87" spans="2:5">
      <c r="B87" s="144"/>
      <c r="C87" s="144"/>
      <c r="D87" s="144"/>
      <c r="E87" s="144"/>
    </row>
    <row r="88" spans="2:5">
      <c r="B88" s="144"/>
      <c r="C88" s="144"/>
      <c r="D88" s="144"/>
      <c r="E88" s="144"/>
    </row>
    <row r="89" spans="2:5">
      <c r="B89" s="144"/>
      <c r="C89" s="144"/>
      <c r="D89" s="144"/>
      <c r="E89" s="144"/>
    </row>
    <row r="90" spans="2:5">
      <c r="B90" s="144"/>
      <c r="C90" s="144"/>
      <c r="D90" s="144"/>
      <c r="E90" s="144"/>
    </row>
    <row r="91" spans="2:5">
      <c r="B91" s="144"/>
      <c r="C91" s="144"/>
      <c r="D91" s="144"/>
      <c r="E91" s="144"/>
    </row>
    <row r="92" spans="2:5">
      <c r="B92" s="144"/>
      <c r="C92" s="144"/>
      <c r="D92" s="144"/>
      <c r="E92" s="144"/>
    </row>
    <row r="93" spans="2:5">
      <c r="B93" s="144"/>
      <c r="C93" s="144"/>
      <c r="D93" s="144"/>
      <c r="E93" s="144"/>
    </row>
    <row r="94" spans="2:5">
      <c r="B94" s="144"/>
      <c r="C94" s="144"/>
      <c r="D94" s="144"/>
      <c r="E94" s="144"/>
    </row>
    <row r="95" spans="2:5">
      <c r="B95" s="144"/>
      <c r="C95" s="144"/>
      <c r="D95" s="144"/>
      <c r="E95" s="144"/>
    </row>
    <row r="96" spans="2:5">
      <c r="B96" s="144"/>
      <c r="C96" s="144"/>
      <c r="D96" s="144"/>
      <c r="E96" s="144"/>
    </row>
    <row r="97" spans="2:5">
      <c r="B97" s="144"/>
      <c r="C97" s="144"/>
      <c r="D97" s="144"/>
      <c r="E97" s="144"/>
    </row>
    <row r="98" spans="2:5">
      <c r="B98" s="144"/>
      <c r="C98" s="144"/>
      <c r="D98" s="144"/>
      <c r="E98" s="144"/>
    </row>
    <row r="99" spans="2:5">
      <c r="B99" s="144"/>
      <c r="C99" s="144"/>
      <c r="D99" s="144"/>
      <c r="E99" s="144"/>
    </row>
    <row r="100" spans="2:5">
      <c r="B100" s="144"/>
      <c r="C100" s="144"/>
      <c r="D100" s="144"/>
      <c r="E100" s="144"/>
    </row>
    <row r="101" spans="2:5">
      <c r="B101" s="144"/>
      <c r="C101" s="144"/>
      <c r="D101" s="144"/>
      <c r="E101" s="144"/>
    </row>
    <row r="102" spans="2:5">
      <c r="B102" s="144"/>
      <c r="C102" s="144"/>
      <c r="D102" s="144"/>
      <c r="E102" s="144"/>
    </row>
    <row r="103" spans="2:5">
      <c r="B103" s="144"/>
      <c r="C103" s="144"/>
      <c r="D103" s="144"/>
      <c r="E103" s="144"/>
    </row>
    <row r="104" spans="2:5">
      <c r="B104" s="144"/>
      <c r="C104" s="144"/>
      <c r="D104" s="144"/>
      <c r="E104" s="144"/>
    </row>
    <row r="105" spans="2:5">
      <c r="B105" s="144"/>
      <c r="C105" s="144"/>
      <c r="D105" s="144"/>
      <c r="E105" s="144"/>
    </row>
    <row r="106" spans="2:5">
      <c r="B106" s="144"/>
      <c r="C106" s="144"/>
      <c r="D106" s="144"/>
      <c r="E106" s="144"/>
    </row>
    <row r="107" spans="2:5">
      <c r="B107" s="144"/>
      <c r="C107" s="144"/>
      <c r="D107" s="144"/>
      <c r="E107" s="144"/>
    </row>
    <row r="108" spans="2:5">
      <c r="B108" s="144"/>
      <c r="C108" s="144"/>
      <c r="D108" s="144"/>
      <c r="E108" s="144"/>
    </row>
    <row r="109" spans="2:5">
      <c r="B109" s="144"/>
      <c r="C109" s="144"/>
      <c r="D109" s="144"/>
      <c r="E109" s="144"/>
    </row>
    <row r="110" spans="2:5">
      <c r="B110" s="144"/>
      <c r="C110" s="144"/>
      <c r="D110" s="144"/>
      <c r="E110" s="144"/>
    </row>
    <row r="111" spans="2:5">
      <c r="B111" s="144"/>
      <c r="C111" s="144"/>
      <c r="D111" s="144"/>
      <c r="E111" s="144"/>
    </row>
    <row r="112" spans="2:5">
      <c r="B112" s="144"/>
      <c r="C112" s="144"/>
      <c r="D112" s="144"/>
      <c r="E112" s="144"/>
    </row>
    <row r="113" spans="2:5">
      <c r="B113" s="144"/>
      <c r="C113" s="144"/>
      <c r="D113" s="144"/>
      <c r="E113" s="144"/>
    </row>
    <row r="114" spans="2:5">
      <c r="B114" s="144"/>
      <c r="C114" s="144"/>
      <c r="D114" s="144"/>
      <c r="E114" s="144"/>
    </row>
    <row r="115" spans="2:5">
      <c r="B115" s="144"/>
      <c r="C115" s="144"/>
      <c r="D115" s="144"/>
      <c r="E115" s="144"/>
    </row>
    <row r="116" spans="2:5">
      <c r="B116" s="144"/>
      <c r="C116" s="144"/>
      <c r="D116" s="144"/>
      <c r="E116" s="144"/>
    </row>
    <row r="117" spans="2:5">
      <c r="B117" s="144"/>
      <c r="C117" s="144"/>
      <c r="D117" s="144"/>
      <c r="E117" s="144"/>
    </row>
    <row r="118" spans="2:5">
      <c r="B118" s="144"/>
      <c r="C118" s="144"/>
      <c r="D118" s="144"/>
      <c r="E118" s="144"/>
    </row>
    <row r="119" spans="2:5">
      <c r="B119" s="144"/>
      <c r="C119" s="144"/>
      <c r="D119" s="144"/>
      <c r="E119" s="144"/>
    </row>
    <row r="120" spans="2:5">
      <c r="B120" s="144"/>
      <c r="C120" s="144"/>
      <c r="D120" s="144"/>
      <c r="E120" s="144"/>
    </row>
    <row r="121" spans="2:5">
      <c r="B121" s="144"/>
      <c r="C121" s="144"/>
      <c r="D121" s="144"/>
      <c r="E121" s="144"/>
    </row>
    <row r="122" spans="2:5">
      <c r="B122" s="144"/>
      <c r="C122" s="144"/>
      <c r="D122" s="144"/>
      <c r="E122" s="144"/>
    </row>
    <row r="123" spans="2:5">
      <c r="B123" s="144"/>
      <c r="C123" s="144"/>
      <c r="D123" s="144"/>
      <c r="E123" s="144"/>
    </row>
    <row r="124" spans="2:5">
      <c r="B124" s="144"/>
      <c r="C124" s="144"/>
      <c r="D124" s="144"/>
      <c r="E124" s="144"/>
    </row>
    <row r="125" spans="2:5">
      <c r="B125" s="144"/>
      <c r="C125" s="144"/>
      <c r="D125" s="144"/>
      <c r="E125" s="144"/>
    </row>
    <row r="126" spans="2:5">
      <c r="B126" s="144"/>
      <c r="C126" s="144"/>
      <c r="D126" s="144"/>
      <c r="E126" s="144"/>
    </row>
    <row r="127" spans="2:5">
      <c r="B127" s="144"/>
      <c r="C127" s="144"/>
      <c r="D127" s="144"/>
      <c r="E127" s="144"/>
    </row>
    <row r="128" spans="2:5">
      <c r="B128" s="144"/>
      <c r="C128" s="144"/>
      <c r="D128" s="144"/>
      <c r="E128" s="144"/>
    </row>
    <row r="129" spans="2:5">
      <c r="B129" s="144"/>
      <c r="C129" s="144"/>
      <c r="D129" s="144"/>
      <c r="E129" s="144"/>
    </row>
    <row r="130" spans="2:5">
      <c r="B130" s="144"/>
      <c r="C130" s="144"/>
      <c r="D130" s="144"/>
      <c r="E130" s="144"/>
    </row>
    <row r="131" spans="2:5">
      <c r="B131" s="144"/>
      <c r="C131" s="144"/>
      <c r="D131" s="144"/>
      <c r="E131" s="144"/>
    </row>
    <row r="132" spans="2:5">
      <c r="B132" s="144"/>
      <c r="C132" s="144"/>
      <c r="D132" s="144"/>
      <c r="E132" s="144"/>
    </row>
    <row r="133" spans="2:5">
      <c r="B133" s="144"/>
      <c r="C133" s="144"/>
      <c r="D133" s="144"/>
      <c r="E133" s="144"/>
    </row>
    <row r="134" spans="2:5">
      <c r="B134" s="144"/>
      <c r="C134" s="144"/>
      <c r="D134" s="144"/>
      <c r="E134" s="144"/>
    </row>
    <row r="135" spans="2:5">
      <c r="B135" s="144"/>
      <c r="C135" s="144"/>
      <c r="D135" s="144"/>
      <c r="E135" s="144"/>
    </row>
    <row r="136" spans="2:5">
      <c r="B136" s="144"/>
      <c r="C136" s="144"/>
      <c r="D136" s="144"/>
      <c r="E136" s="144"/>
    </row>
    <row r="137" spans="2:5">
      <c r="B137" s="144"/>
      <c r="C137" s="144"/>
      <c r="D137" s="144"/>
      <c r="E137" s="144"/>
    </row>
    <row r="138" spans="2:5">
      <c r="B138" s="144"/>
      <c r="C138" s="144"/>
      <c r="D138" s="144"/>
      <c r="E138" s="144"/>
    </row>
    <row r="139" spans="2:5">
      <c r="B139" s="144"/>
      <c r="C139" s="144"/>
      <c r="D139" s="144"/>
      <c r="E139" s="144"/>
    </row>
    <row r="140" spans="2:5">
      <c r="B140" s="144"/>
      <c r="C140" s="144"/>
      <c r="D140" s="144"/>
      <c r="E140" s="144"/>
    </row>
    <row r="141" spans="2:5">
      <c r="B141" s="144"/>
      <c r="C141" s="144"/>
      <c r="D141" s="144"/>
      <c r="E141" s="144"/>
    </row>
    <row r="142" spans="2:5">
      <c r="B142" s="144"/>
      <c r="C142" s="144"/>
      <c r="D142" s="144"/>
      <c r="E142" s="144"/>
    </row>
    <row r="143" spans="2:5">
      <c r="B143" s="144"/>
      <c r="C143" s="144"/>
      <c r="D143" s="144"/>
      <c r="E143" s="144"/>
    </row>
    <row r="144" spans="2:5">
      <c r="B144" s="144"/>
      <c r="C144" s="144"/>
      <c r="D144" s="144"/>
      <c r="E144" s="144"/>
    </row>
    <row r="145" spans="2:5">
      <c r="B145" s="144"/>
      <c r="C145" s="144"/>
      <c r="D145" s="144"/>
      <c r="E145" s="144"/>
    </row>
    <row r="146" spans="2:5">
      <c r="B146" s="144"/>
      <c r="C146" s="144"/>
      <c r="D146" s="144"/>
      <c r="E146" s="144"/>
    </row>
    <row r="147" spans="2:5">
      <c r="B147" s="144"/>
      <c r="C147" s="144"/>
      <c r="D147" s="144"/>
      <c r="E147" s="144"/>
    </row>
    <row r="148" spans="2:5">
      <c r="B148" s="144"/>
      <c r="C148" s="144"/>
      <c r="D148" s="144"/>
      <c r="E148" s="144"/>
    </row>
    <row r="149" spans="2:5">
      <c r="B149" s="144"/>
      <c r="C149" s="144"/>
      <c r="D149" s="144"/>
      <c r="E149" s="144"/>
    </row>
    <row r="150" spans="2:5">
      <c r="B150" s="144"/>
      <c r="C150" s="144"/>
      <c r="D150" s="144"/>
      <c r="E150" s="144"/>
    </row>
    <row r="151" spans="2:5">
      <c r="B151" s="144"/>
      <c r="C151" s="144"/>
      <c r="D151" s="144"/>
      <c r="E151" s="144"/>
    </row>
    <row r="152" spans="2:5">
      <c r="B152" s="144"/>
      <c r="C152" s="144"/>
      <c r="D152" s="144"/>
      <c r="E152" s="144"/>
    </row>
    <row r="153" spans="2:5">
      <c r="B153" s="144"/>
      <c r="C153" s="144"/>
      <c r="D153" s="144"/>
      <c r="E153" s="144"/>
    </row>
    <row r="154" spans="2:5">
      <c r="B154" s="144"/>
      <c r="C154" s="144"/>
      <c r="D154" s="144"/>
      <c r="E154" s="144"/>
    </row>
    <row r="155" spans="2:5">
      <c r="B155" s="144"/>
      <c r="C155" s="144"/>
      <c r="D155" s="144"/>
      <c r="E155" s="144"/>
    </row>
    <row r="156" spans="2:5">
      <c r="B156" s="144"/>
      <c r="C156" s="144"/>
      <c r="D156" s="144"/>
      <c r="E156" s="144"/>
    </row>
    <row r="157" spans="2:5">
      <c r="B157" s="144"/>
      <c r="C157" s="144"/>
      <c r="D157" s="144"/>
      <c r="E157" s="144"/>
    </row>
    <row r="158" spans="2:5">
      <c r="B158" s="144"/>
      <c r="C158" s="144"/>
      <c r="D158" s="144"/>
      <c r="E158" s="144"/>
    </row>
    <row r="159" spans="2:5">
      <c r="B159" s="144"/>
      <c r="C159" s="144"/>
      <c r="D159" s="144"/>
      <c r="E159" s="144"/>
    </row>
    <row r="160" spans="2:5">
      <c r="B160" s="144"/>
      <c r="C160" s="144"/>
      <c r="D160" s="144"/>
      <c r="E160" s="144"/>
    </row>
    <row r="161" spans="2:5">
      <c r="B161" s="144"/>
      <c r="C161" s="144"/>
      <c r="D161" s="144"/>
      <c r="E161" s="144"/>
    </row>
    <row r="162" spans="2:5">
      <c r="B162" s="144"/>
      <c r="C162" s="144"/>
      <c r="D162" s="144"/>
      <c r="E162" s="144"/>
    </row>
    <row r="163" spans="2:5">
      <c r="B163" s="144"/>
      <c r="C163" s="144"/>
      <c r="D163" s="144"/>
      <c r="E163" s="144"/>
    </row>
    <row r="164" spans="2:5">
      <c r="B164" s="144"/>
      <c r="C164" s="144"/>
      <c r="D164" s="144"/>
      <c r="E164" s="144"/>
    </row>
    <row r="165" spans="2:5">
      <c r="B165" s="144"/>
      <c r="C165" s="144"/>
      <c r="D165" s="144"/>
      <c r="E165" s="144"/>
    </row>
    <row r="166" spans="2:5">
      <c r="B166" s="144"/>
      <c r="C166" s="144"/>
      <c r="D166" s="144"/>
      <c r="E166" s="144"/>
    </row>
    <row r="167" spans="2:5">
      <c r="B167" s="144"/>
      <c r="C167" s="144"/>
      <c r="D167" s="144"/>
      <c r="E167" s="144"/>
    </row>
    <row r="168" spans="2:5">
      <c r="B168" s="144"/>
      <c r="C168" s="144"/>
      <c r="D168" s="144"/>
      <c r="E168" s="144"/>
    </row>
    <row r="169" spans="2:5">
      <c r="B169" s="144"/>
      <c r="C169" s="144"/>
      <c r="D169" s="144"/>
      <c r="E169" s="144"/>
    </row>
    <row r="170" spans="2:5">
      <c r="B170" s="144"/>
      <c r="C170" s="144"/>
      <c r="D170" s="144"/>
      <c r="E170" s="144"/>
    </row>
    <row r="171" spans="2:5">
      <c r="B171" s="144"/>
      <c r="C171" s="144"/>
      <c r="D171" s="144"/>
      <c r="E171" s="144"/>
    </row>
    <row r="172" spans="2:5">
      <c r="B172" s="144"/>
      <c r="C172" s="144"/>
      <c r="D172" s="144"/>
      <c r="E172" s="144"/>
    </row>
    <row r="173" spans="2:5">
      <c r="B173" s="144"/>
      <c r="C173" s="144"/>
      <c r="D173" s="144"/>
      <c r="E173" s="144"/>
    </row>
    <row r="174" spans="2:5">
      <c r="B174" s="144"/>
      <c r="C174" s="144"/>
      <c r="D174" s="144"/>
      <c r="E174" s="144"/>
    </row>
    <row r="175" spans="2:5">
      <c r="B175" s="144"/>
      <c r="C175" s="144"/>
      <c r="D175" s="144"/>
      <c r="E175" s="144"/>
    </row>
    <row r="176" spans="2:5">
      <c r="B176" s="144"/>
      <c r="C176" s="144"/>
      <c r="D176" s="144"/>
      <c r="E176" s="144"/>
    </row>
    <row r="177" spans="2:5">
      <c r="B177" s="144"/>
      <c r="C177" s="144"/>
      <c r="D177" s="144"/>
      <c r="E177" s="144"/>
    </row>
    <row r="178" spans="2:5">
      <c r="B178" s="144"/>
      <c r="C178" s="144"/>
      <c r="D178" s="144"/>
      <c r="E178" s="144"/>
    </row>
    <row r="179" spans="2:5">
      <c r="B179" s="144"/>
      <c r="C179" s="144"/>
      <c r="D179" s="144"/>
      <c r="E179" s="144"/>
    </row>
    <row r="180" spans="2:5">
      <c r="B180" s="144"/>
      <c r="C180" s="144"/>
      <c r="D180" s="144"/>
      <c r="E180" s="144"/>
    </row>
    <row r="181" spans="2:5">
      <c r="B181" s="144"/>
      <c r="C181" s="144"/>
      <c r="D181" s="144"/>
      <c r="E181" s="144"/>
    </row>
    <row r="182" spans="2:5">
      <c r="B182" s="144"/>
      <c r="C182" s="144"/>
      <c r="D182" s="144"/>
      <c r="E182" s="144"/>
    </row>
    <row r="183" spans="2:5">
      <c r="B183" s="144"/>
      <c r="C183" s="144"/>
      <c r="D183" s="144"/>
      <c r="E183" s="144"/>
    </row>
    <row r="184" spans="2:5">
      <c r="B184" s="144"/>
      <c r="C184" s="144"/>
      <c r="D184" s="144"/>
      <c r="E184" s="144"/>
    </row>
    <row r="185" spans="2:5">
      <c r="B185" s="144"/>
      <c r="C185" s="144"/>
      <c r="D185" s="144"/>
      <c r="E185" s="144"/>
    </row>
    <row r="186" spans="2:5">
      <c r="B186" s="144"/>
      <c r="C186" s="144"/>
      <c r="D186" s="144"/>
      <c r="E186" s="144"/>
    </row>
    <row r="187" spans="2:5">
      <c r="B187" s="144"/>
      <c r="C187" s="144"/>
      <c r="D187" s="144"/>
      <c r="E187" s="144"/>
    </row>
    <row r="188" spans="2:5">
      <c r="B188" s="144"/>
      <c r="C188" s="144"/>
      <c r="D188" s="144"/>
      <c r="E188" s="144"/>
    </row>
    <row r="189" spans="2:5">
      <c r="B189" s="144"/>
      <c r="C189" s="144"/>
      <c r="D189" s="144"/>
      <c r="E189" s="144"/>
    </row>
    <row r="190" spans="2:5">
      <c r="B190" s="144"/>
      <c r="C190" s="144"/>
      <c r="D190" s="144"/>
      <c r="E190" s="144"/>
    </row>
    <row r="191" spans="2:5">
      <c r="B191" s="144"/>
      <c r="C191" s="144"/>
      <c r="D191" s="144"/>
      <c r="E191" s="144"/>
    </row>
    <row r="192" spans="2:5">
      <c r="B192" s="144"/>
      <c r="C192" s="144"/>
      <c r="D192" s="144"/>
      <c r="E192" s="144"/>
    </row>
    <row r="193" spans="2:5">
      <c r="B193" s="144"/>
      <c r="C193" s="144"/>
      <c r="D193" s="144"/>
      <c r="E193" s="144"/>
    </row>
    <row r="194" spans="2:5">
      <c r="B194" s="144"/>
      <c r="C194" s="144"/>
      <c r="D194" s="144"/>
      <c r="E194" s="144"/>
    </row>
    <row r="195" spans="2:5">
      <c r="B195" s="144"/>
      <c r="C195" s="144"/>
      <c r="D195" s="144"/>
      <c r="E195" s="144"/>
    </row>
    <row r="196" spans="2:5">
      <c r="B196" s="144"/>
      <c r="C196" s="144"/>
      <c r="D196" s="144"/>
      <c r="E196" s="144"/>
    </row>
    <row r="197" spans="2:5">
      <c r="B197" s="144"/>
      <c r="C197" s="144"/>
      <c r="D197" s="144"/>
      <c r="E197" s="144"/>
    </row>
    <row r="198" spans="2:5">
      <c r="B198" s="144"/>
      <c r="C198" s="144"/>
      <c r="D198" s="144"/>
      <c r="E198" s="144"/>
    </row>
    <row r="199" spans="2:5">
      <c r="B199" s="144"/>
      <c r="C199" s="144"/>
      <c r="D199" s="144"/>
      <c r="E199" s="144"/>
    </row>
    <row r="200" spans="2:5">
      <c r="B200" s="144"/>
      <c r="C200" s="144"/>
      <c r="D200" s="144"/>
      <c r="E200" s="144"/>
    </row>
    <row r="201" spans="2:5">
      <c r="B201" s="144"/>
      <c r="C201" s="144"/>
      <c r="D201" s="144"/>
      <c r="E201" s="144"/>
    </row>
    <row r="202" spans="2:5">
      <c r="B202" s="144"/>
      <c r="C202" s="144"/>
      <c r="D202" s="144"/>
      <c r="E202" s="144"/>
    </row>
    <row r="203" spans="2:5">
      <c r="B203" s="144"/>
      <c r="C203" s="144"/>
      <c r="D203" s="144"/>
      <c r="E203" s="144"/>
    </row>
    <row r="204" spans="2:5">
      <c r="B204" s="144"/>
      <c r="C204" s="144"/>
      <c r="D204" s="144"/>
      <c r="E204" s="144"/>
    </row>
    <row r="205" spans="2:5">
      <c r="B205" s="144"/>
      <c r="C205" s="144"/>
      <c r="D205" s="144"/>
      <c r="E205" s="144"/>
    </row>
    <row r="206" spans="2:5">
      <c r="B206" s="144"/>
      <c r="C206" s="144"/>
      <c r="D206" s="144"/>
      <c r="E206" s="144"/>
    </row>
    <row r="207" spans="2:5">
      <c r="B207" s="144"/>
      <c r="C207" s="144"/>
      <c r="D207" s="144"/>
      <c r="E207" s="144"/>
    </row>
    <row r="208" spans="2:5">
      <c r="B208" s="144"/>
      <c r="C208" s="144"/>
      <c r="D208" s="144"/>
      <c r="E208" s="144"/>
    </row>
    <row r="209" spans="2:5">
      <c r="B209" s="144"/>
      <c r="C209" s="144"/>
      <c r="D209" s="144"/>
      <c r="E209" s="144"/>
    </row>
    <row r="210" spans="2:5">
      <c r="B210" s="144"/>
      <c r="C210" s="144"/>
      <c r="D210" s="144"/>
      <c r="E210" s="144"/>
    </row>
    <row r="211" spans="2:5">
      <c r="B211" s="144"/>
      <c r="C211" s="144"/>
      <c r="D211" s="144"/>
      <c r="E211" s="144"/>
    </row>
    <row r="212" spans="2:5">
      <c r="B212" s="144"/>
      <c r="C212" s="144"/>
      <c r="D212" s="144"/>
      <c r="E212" s="144"/>
    </row>
    <row r="213" spans="2:5">
      <c r="B213" s="144"/>
      <c r="C213" s="144"/>
      <c r="D213" s="144"/>
      <c r="E213" s="144"/>
    </row>
    <row r="214" spans="2:5">
      <c r="B214" s="144"/>
      <c r="C214" s="144"/>
      <c r="D214" s="144"/>
      <c r="E214" s="144"/>
    </row>
    <row r="215" spans="2:5">
      <c r="B215" s="144"/>
      <c r="C215" s="144"/>
      <c r="D215" s="144"/>
      <c r="E215" s="144"/>
    </row>
    <row r="216" spans="2:5">
      <c r="B216" s="144"/>
      <c r="C216" s="144"/>
      <c r="D216" s="144"/>
      <c r="E216" s="144"/>
    </row>
    <row r="217" spans="2:5">
      <c r="B217" s="144"/>
      <c r="C217" s="144"/>
      <c r="D217" s="144"/>
      <c r="E217" s="144"/>
    </row>
    <row r="218" spans="2:5">
      <c r="B218" s="144"/>
      <c r="C218" s="144"/>
      <c r="D218" s="144"/>
      <c r="E218" s="144"/>
    </row>
    <row r="219" spans="2:5">
      <c r="B219" s="144"/>
      <c r="C219" s="144"/>
      <c r="D219" s="144"/>
      <c r="E219" s="144"/>
    </row>
    <row r="220" spans="2:5">
      <c r="B220" s="144"/>
      <c r="C220" s="144"/>
      <c r="D220" s="144"/>
      <c r="E220" s="144"/>
    </row>
    <row r="221" spans="2:5">
      <c r="B221" s="144"/>
      <c r="C221" s="144"/>
      <c r="D221" s="144"/>
      <c r="E221" s="144"/>
    </row>
    <row r="222" spans="2:5">
      <c r="B222" s="144"/>
      <c r="C222" s="144"/>
      <c r="D222" s="144"/>
      <c r="E222" s="144"/>
    </row>
    <row r="223" spans="2:5">
      <c r="B223" s="144"/>
      <c r="C223" s="144"/>
      <c r="D223" s="144"/>
      <c r="E223" s="144"/>
    </row>
    <row r="224" spans="2:5">
      <c r="B224" s="144"/>
      <c r="C224" s="144"/>
      <c r="D224" s="144"/>
      <c r="E224" s="144"/>
    </row>
    <row r="225" spans="2:5">
      <c r="B225" s="144"/>
      <c r="C225" s="144"/>
      <c r="D225" s="144"/>
      <c r="E225" s="144"/>
    </row>
    <row r="226" spans="2:5">
      <c r="B226" s="144"/>
      <c r="C226" s="144"/>
      <c r="D226" s="144"/>
      <c r="E226" s="144"/>
    </row>
    <row r="227" spans="2:5">
      <c r="B227" s="144"/>
      <c r="C227" s="144"/>
      <c r="D227" s="144"/>
      <c r="E227" s="144"/>
    </row>
    <row r="228" spans="2:5">
      <c r="B228" s="144"/>
      <c r="C228" s="144"/>
      <c r="D228" s="144"/>
      <c r="E228" s="144"/>
    </row>
    <row r="229" spans="2:5">
      <c r="B229" s="144"/>
      <c r="C229" s="144"/>
      <c r="D229" s="144"/>
      <c r="E229" s="144"/>
    </row>
    <row r="230" spans="2:5">
      <c r="B230" s="144"/>
      <c r="C230" s="144"/>
      <c r="D230" s="144"/>
      <c r="E230" s="144"/>
    </row>
    <row r="231" spans="2:5">
      <c r="B231" s="144"/>
      <c r="C231" s="144"/>
      <c r="D231" s="144"/>
      <c r="E231" s="144"/>
    </row>
    <row r="232" spans="2:5">
      <c r="B232" s="144"/>
      <c r="C232" s="144"/>
      <c r="D232" s="144"/>
      <c r="E232" s="144"/>
    </row>
    <row r="233" spans="2:5">
      <c r="B233" s="144"/>
      <c r="C233" s="144"/>
      <c r="D233" s="144"/>
      <c r="E233" s="144"/>
    </row>
    <row r="234" spans="2:5">
      <c r="B234" s="144"/>
      <c r="C234" s="144"/>
      <c r="D234" s="144"/>
      <c r="E234" s="144"/>
    </row>
    <row r="235" spans="2:5">
      <c r="B235" s="144"/>
      <c r="C235" s="144"/>
      <c r="D235" s="144"/>
      <c r="E235" s="144"/>
    </row>
    <row r="236" spans="2:5">
      <c r="B236" s="144"/>
      <c r="C236" s="144"/>
      <c r="D236" s="144"/>
      <c r="E236" s="144"/>
    </row>
    <row r="237" spans="2:5">
      <c r="B237" s="144"/>
      <c r="C237" s="144"/>
      <c r="D237" s="144"/>
      <c r="E237" s="144"/>
    </row>
    <row r="238" spans="2:5">
      <c r="B238" s="144"/>
      <c r="C238" s="144"/>
      <c r="D238" s="144"/>
      <c r="E238" s="144"/>
    </row>
    <row r="239" spans="2:5">
      <c r="B239" s="144"/>
      <c r="C239" s="144"/>
      <c r="D239" s="144"/>
      <c r="E239" s="144"/>
    </row>
    <row r="240" spans="2:5">
      <c r="B240" s="144"/>
      <c r="C240" s="144"/>
      <c r="D240" s="144"/>
      <c r="E240" s="144"/>
    </row>
    <row r="241" spans="2:5">
      <c r="B241" s="144"/>
      <c r="C241" s="144"/>
      <c r="D241" s="144"/>
      <c r="E241" s="144"/>
    </row>
    <row r="242" spans="2:5">
      <c r="B242" s="144"/>
      <c r="C242" s="144"/>
      <c r="D242" s="144"/>
      <c r="E242" s="144"/>
    </row>
    <row r="243" spans="2:5">
      <c r="B243" s="144"/>
      <c r="C243" s="144"/>
      <c r="D243" s="144"/>
      <c r="E243" s="144"/>
    </row>
    <row r="244" spans="2:5">
      <c r="B244" s="144"/>
      <c r="C244" s="144"/>
      <c r="D244" s="144"/>
      <c r="E244" s="144"/>
    </row>
    <row r="245" spans="2:5">
      <c r="B245" s="144"/>
      <c r="C245" s="144"/>
      <c r="D245" s="144"/>
      <c r="E245" s="144"/>
    </row>
    <row r="246" spans="2:5">
      <c r="B246" s="144"/>
      <c r="C246" s="144"/>
      <c r="D246" s="144"/>
      <c r="E246" s="144"/>
    </row>
    <row r="247" spans="2:5">
      <c r="B247" s="144"/>
      <c r="C247" s="144"/>
      <c r="D247" s="144"/>
      <c r="E247" s="144"/>
    </row>
    <row r="248" spans="2:5">
      <c r="B248" s="144"/>
      <c r="C248" s="144"/>
      <c r="D248" s="144"/>
      <c r="E248" s="144"/>
    </row>
    <row r="249" spans="2:5">
      <c r="B249" s="144"/>
      <c r="C249" s="144"/>
      <c r="D249" s="144"/>
      <c r="E249" s="144"/>
    </row>
    <row r="250" spans="2:5">
      <c r="B250" s="144"/>
      <c r="C250" s="144"/>
      <c r="D250" s="144"/>
      <c r="E250" s="144"/>
    </row>
    <row r="251" spans="2:5">
      <c r="B251" s="144"/>
      <c r="C251" s="144"/>
      <c r="D251" s="144"/>
      <c r="E251" s="144"/>
    </row>
    <row r="252" spans="2:5">
      <c r="B252" s="144"/>
      <c r="C252" s="144"/>
      <c r="D252" s="144"/>
      <c r="E252" s="144"/>
    </row>
    <row r="253" spans="2:5">
      <c r="B253" s="144"/>
      <c r="C253" s="144"/>
      <c r="D253" s="144"/>
      <c r="E253" s="144"/>
    </row>
    <row r="254" spans="2:5">
      <c r="B254" s="144"/>
      <c r="C254" s="144"/>
      <c r="D254" s="144"/>
      <c r="E254" s="144"/>
    </row>
    <row r="255" spans="2:5">
      <c r="B255" s="144"/>
      <c r="C255" s="144"/>
      <c r="D255" s="144"/>
      <c r="E255" s="144"/>
    </row>
    <row r="256" spans="2:5">
      <c r="B256" s="144"/>
      <c r="C256" s="144"/>
      <c r="D256" s="144"/>
      <c r="E256" s="144"/>
    </row>
    <row r="257" spans="2:5">
      <c r="B257" s="144"/>
      <c r="C257" s="144"/>
      <c r="D257" s="144"/>
      <c r="E257" s="144"/>
    </row>
    <row r="258" spans="2:5">
      <c r="B258" s="144"/>
      <c r="C258" s="144"/>
      <c r="D258" s="144"/>
      <c r="E258" s="144"/>
    </row>
    <row r="259" spans="2:5">
      <c r="B259" s="144"/>
      <c r="C259" s="144"/>
      <c r="D259" s="144"/>
      <c r="E259" s="144"/>
    </row>
    <row r="260" spans="2:5">
      <c r="B260" s="144"/>
      <c r="C260" s="144"/>
      <c r="D260" s="144"/>
      <c r="E260" s="144"/>
    </row>
    <row r="261" spans="2:5">
      <c r="B261" s="144"/>
      <c r="C261" s="144"/>
      <c r="D261" s="144"/>
      <c r="E261" s="144"/>
    </row>
    <row r="262" spans="2:5">
      <c r="B262" s="144"/>
      <c r="C262" s="144"/>
      <c r="D262" s="144"/>
      <c r="E262" s="144"/>
    </row>
    <row r="263" spans="2:5">
      <c r="B263" s="144"/>
      <c r="C263" s="144"/>
      <c r="D263" s="144"/>
      <c r="E263" s="144"/>
    </row>
    <row r="264" spans="2:5">
      <c r="B264" s="144"/>
      <c r="C264" s="144"/>
      <c r="D264" s="144"/>
      <c r="E264" s="144"/>
    </row>
    <row r="265" spans="2:5">
      <c r="B265" s="144"/>
      <c r="C265" s="144"/>
      <c r="D265" s="144"/>
      <c r="E265" s="144"/>
    </row>
    <row r="266" spans="2:5">
      <c r="B266" s="144"/>
      <c r="C266" s="144"/>
      <c r="D266" s="144"/>
      <c r="E266" s="144"/>
    </row>
    <row r="267" spans="2:5">
      <c r="B267" s="144"/>
      <c r="C267" s="144"/>
      <c r="D267" s="144"/>
      <c r="E267" s="144"/>
    </row>
    <row r="268" spans="2:5">
      <c r="B268" s="144"/>
      <c r="C268" s="144"/>
      <c r="D268" s="144"/>
      <c r="E268" s="144"/>
    </row>
    <row r="269" spans="2:5">
      <c r="B269" s="144"/>
      <c r="C269" s="144"/>
      <c r="D269" s="144"/>
      <c r="E269" s="144"/>
    </row>
    <row r="270" spans="2:5">
      <c r="B270" s="144"/>
      <c r="C270" s="144"/>
      <c r="D270" s="144"/>
      <c r="E270" s="144"/>
    </row>
    <row r="271" spans="2:5">
      <c r="B271" s="144"/>
      <c r="C271" s="144"/>
      <c r="D271" s="144"/>
      <c r="E271" s="144"/>
    </row>
    <row r="272" spans="2:5">
      <c r="B272" s="144"/>
      <c r="C272" s="144"/>
      <c r="D272" s="144"/>
      <c r="E272" s="144"/>
    </row>
    <row r="273" spans="2:5">
      <c r="B273" s="144"/>
      <c r="C273" s="144"/>
      <c r="D273" s="144"/>
      <c r="E273" s="144"/>
    </row>
    <row r="274" spans="2:5">
      <c r="B274" s="144"/>
      <c r="C274" s="144"/>
      <c r="D274" s="144"/>
      <c r="E274" s="144"/>
    </row>
    <row r="275" spans="2:5">
      <c r="B275" s="144"/>
      <c r="C275" s="144"/>
      <c r="D275" s="144"/>
      <c r="E275" s="144"/>
    </row>
    <row r="276" spans="2:5">
      <c r="B276" s="144"/>
      <c r="C276" s="144"/>
      <c r="D276" s="144"/>
      <c r="E276" s="144"/>
    </row>
    <row r="277" spans="2:5">
      <c r="B277" s="144"/>
      <c r="C277" s="144"/>
      <c r="D277" s="144"/>
      <c r="E277" s="144"/>
    </row>
    <row r="278" spans="2:5">
      <c r="B278" s="144"/>
      <c r="C278" s="144"/>
      <c r="D278" s="144"/>
      <c r="E278" s="144"/>
    </row>
    <row r="279" spans="2:5">
      <c r="B279" s="144"/>
      <c r="C279" s="144"/>
      <c r="D279" s="144"/>
      <c r="E279" s="144"/>
    </row>
    <row r="280" spans="2:5">
      <c r="B280" s="144"/>
      <c r="C280" s="144"/>
      <c r="D280" s="144"/>
      <c r="E280" s="144"/>
    </row>
    <row r="281" spans="2:5">
      <c r="B281" s="144"/>
      <c r="C281" s="144"/>
      <c r="D281" s="144"/>
      <c r="E281" s="144"/>
    </row>
    <row r="282" spans="2:5">
      <c r="B282" s="144"/>
      <c r="C282" s="144"/>
      <c r="D282" s="144"/>
      <c r="E282" s="144"/>
    </row>
    <row r="283" spans="2:5">
      <c r="B283" s="144"/>
      <c r="C283" s="144"/>
      <c r="D283" s="144"/>
      <c r="E283" s="144"/>
    </row>
    <row r="284" spans="2:5">
      <c r="B284" s="144"/>
      <c r="C284" s="144"/>
      <c r="D284" s="144"/>
      <c r="E284" s="144"/>
    </row>
    <row r="285" spans="2:5">
      <c r="B285" s="144"/>
      <c r="C285" s="144"/>
      <c r="D285" s="144"/>
      <c r="E285" s="144"/>
    </row>
    <row r="286" spans="2:5">
      <c r="B286" s="144"/>
      <c r="C286" s="144"/>
      <c r="D286" s="144"/>
      <c r="E286" s="144"/>
    </row>
    <row r="287" spans="2:5">
      <c r="B287" s="144"/>
      <c r="C287" s="144"/>
      <c r="D287" s="144"/>
      <c r="E287" s="144"/>
    </row>
    <row r="288" spans="2:5">
      <c r="B288" s="144"/>
      <c r="C288" s="144"/>
      <c r="D288" s="144"/>
      <c r="E288" s="144"/>
    </row>
    <row r="289" spans="2:5">
      <c r="B289" s="144"/>
      <c r="C289" s="144"/>
      <c r="D289" s="144"/>
      <c r="E289" s="144"/>
    </row>
    <row r="290" spans="2:5">
      <c r="B290" s="144"/>
      <c r="C290" s="144"/>
      <c r="D290" s="144"/>
      <c r="E290" s="144"/>
    </row>
    <row r="291" spans="2:5">
      <c r="B291" s="144"/>
      <c r="C291" s="144"/>
      <c r="D291" s="144"/>
      <c r="E291" s="144"/>
    </row>
    <row r="292" spans="2:5">
      <c r="B292" s="144"/>
      <c r="C292" s="144"/>
      <c r="D292" s="144"/>
      <c r="E292" s="144"/>
    </row>
    <row r="293" spans="2:5">
      <c r="B293" s="144"/>
      <c r="C293" s="144"/>
      <c r="D293" s="144"/>
      <c r="E293" s="144"/>
    </row>
    <row r="294" spans="2:5">
      <c r="B294" s="144"/>
      <c r="C294" s="144"/>
      <c r="D294" s="144"/>
      <c r="E294" s="144"/>
    </row>
    <row r="295" spans="2:5">
      <c r="B295" s="144"/>
      <c r="C295" s="144"/>
      <c r="D295" s="144"/>
      <c r="E295" s="144"/>
    </row>
    <row r="296" spans="2:5">
      <c r="B296" s="144"/>
      <c r="C296" s="144"/>
      <c r="D296" s="144"/>
      <c r="E296" s="144"/>
    </row>
    <row r="297" spans="2:5">
      <c r="B297" s="144"/>
      <c r="C297" s="144"/>
      <c r="D297" s="144"/>
      <c r="E297" s="144"/>
    </row>
    <row r="298" spans="2:5">
      <c r="B298" s="144"/>
      <c r="C298" s="144"/>
      <c r="D298" s="144"/>
      <c r="E298" s="144"/>
    </row>
    <row r="299" spans="2:5">
      <c r="B299" s="144"/>
      <c r="C299" s="144"/>
      <c r="D299" s="144"/>
      <c r="E299" s="144"/>
    </row>
    <row r="300" spans="2:5">
      <c r="B300" s="144"/>
      <c r="C300" s="144"/>
      <c r="D300" s="144"/>
      <c r="E300" s="144"/>
    </row>
    <row r="301" spans="2:5">
      <c r="B301" s="144"/>
      <c r="C301" s="144"/>
      <c r="D301" s="144"/>
      <c r="E301" s="144"/>
    </row>
    <row r="302" spans="2:5">
      <c r="B302" s="144"/>
      <c r="C302" s="144"/>
      <c r="D302" s="144"/>
      <c r="E302" s="144"/>
    </row>
    <row r="303" spans="2:5">
      <c r="B303" s="144"/>
      <c r="C303" s="144"/>
      <c r="D303" s="144"/>
      <c r="E303" s="144"/>
    </row>
    <row r="304" spans="2:5">
      <c r="B304" s="144"/>
      <c r="C304" s="144"/>
      <c r="D304" s="144"/>
      <c r="E304" s="144"/>
    </row>
    <row r="305" spans="2:5">
      <c r="B305" s="144"/>
      <c r="C305" s="144"/>
      <c r="D305" s="144"/>
      <c r="E305" s="144"/>
    </row>
    <row r="306" spans="2:5">
      <c r="B306" s="144"/>
      <c r="C306" s="144"/>
      <c r="D306" s="144"/>
      <c r="E306" s="144"/>
    </row>
    <row r="307" spans="2:5">
      <c r="B307" s="144"/>
      <c r="C307" s="144"/>
      <c r="D307" s="144"/>
      <c r="E307" s="144"/>
    </row>
    <row r="308" spans="2:5">
      <c r="B308" s="144"/>
      <c r="C308" s="144"/>
      <c r="D308" s="144"/>
      <c r="E308" s="144"/>
    </row>
    <row r="309" spans="2:5">
      <c r="B309" s="144"/>
      <c r="C309" s="144"/>
      <c r="D309" s="144"/>
      <c r="E309" s="144"/>
    </row>
    <row r="310" spans="2:5">
      <c r="B310" s="144"/>
      <c r="C310" s="144"/>
      <c r="D310" s="144"/>
      <c r="E310" s="144"/>
    </row>
    <row r="311" spans="2:5">
      <c r="B311" s="144"/>
      <c r="C311" s="144"/>
      <c r="D311" s="144"/>
      <c r="E311" s="144"/>
    </row>
    <row r="312" spans="2:5">
      <c r="B312" s="144"/>
      <c r="C312" s="144"/>
      <c r="D312" s="144"/>
      <c r="E312" s="144"/>
    </row>
    <row r="313" spans="2:5">
      <c r="B313" s="144"/>
      <c r="C313" s="144"/>
      <c r="D313" s="144"/>
      <c r="E313" s="144"/>
    </row>
    <row r="314" spans="2:5">
      <c r="B314" s="144"/>
      <c r="C314" s="144"/>
      <c r="D314" s="144"/>
      <c r="E314" s="144"/>
    </row>
    <row r="315" spans="2:5">
      <c r="B315" s="144"/>
      <c r="C315" s="144"/>
      <c r="D315" s="144"/>
      <c r="E315" s="144"/>
    </row>
    <row r="316" spans="2:5">
      <c r="B316" s="144"/>
      <c r="C316" s="144"/>
      <c r="D316" s="144"/>
      <c r="E316" s="144"/>
    </row>
    <row r="317" spans="2:5">
      <c r="B317" s="144"/>
      <c r="C317" s="144"/>
      <c r="D317" s="144"/>
      <c r="E317" s="144"/>
    </row>
    <row r="318" spans="2:5">
      <c r="B318" s="144"/>
      <c r="C318" s="144"/>
      <c r="D318" s="144"/>
      <c r="E318" s="144"/>
    </row>
    <row r="319" spans="2:5">
      <c r="B319" s="144"/>
      <c r="C319" s="144"/>
      <c r="D319" s="144"/>
      <c r="E319" s="144"/>
    </row>
    <row r="320" spans="2:5">
      <c r="B320" s="144"/>
      <c r="C320" s="144"/>
      <c r="D320" s="144"/>
      <c r="E320" s="144"/>
    </row>
    <row r="321" spans="2:5">
      <c r="B321" s="144"/>
      <c r="C321" s="144"/>
      <c r="D321" s="144"/>
      <c r="E321" s="144"/>
    </row>
    <row r="322" spans="2:5">
      <c r="B322" s="144"/>
      <c r="C322" s="144"/>
      <c r="D322" s="144"/>
      <c r="E322" s="144"/>
    </row>
    <row r="323" spans="2:5">
      <c r="B323" s="144"/>
      <c r="C323" s="144"/>
      <c r="D323" s="144"/>
      <c r="E323" s="144"/>
    </row>
    <row r="324" spans="2:5">
      <c r="B324" s="144"/>
      <c r="C324" s="144"/>
      <c r="D324" s="144"/>
      <c r="E324" s="144"/>
    </row>
    <row r="325" spans="2:5">
      <c r="B325" s="144"/>
      <c r="C325" s="144"/>
      <c r="D325" s="144"/>
      <c r="E325" s="144"/>
    </row>
    <row r="326" spans="2:5">
      <c r="B326" s="144"/>
      <c r="C326" s="144"/>
      <c r="D326" s="144"/>
      <c r="E326" s="144"/>
    </row>
    <row r="327" spans="2:5">
      <c r="B327" s="144"/>
      <c r="C327" s="144"/>
      <c r="D327" s="144"/>
      <c r="E327" s="144"/>
    </row>
    <row r="328" spans="2:5">
      <c r="B328" s="144"/>
      <c r="C328" s="144"/>
      <c r="D328" s="144"/>
      <c r="E328" s="144"/>
    </row>
    <row r="329" spans="2:5">
      <c r="B329" s="144"/>
      <c r="C329" s="144"/>
      <c r="D329" s="144"/>
      <c r="E329" s="144"/>
    </row>
    <row r="330" spans="2:5">
      <c r="B330" s="144"/>
      <c r="C330" s="144"/>
      <c r="D330" s="144"/>
      <c r="E330" s="144"/>
    </row>
    <row r="331" spans="2:5">
      <c r="B331" s="144"/>
      <c r="C331" s="144"/>
      <c r="D331" s="144"/>
      <c r="E331" s="144"/>
    </row>
    <row r="332" spans="2:5">
      <c r="B332" s="144"/>
      <c r="C332" s="144"/>
      <c r="D332" s="144"/>
      <c r="E332" s="144"/>
    </row>
    <row r="333" spans="2:5">
      <c r="B333" s="144"/>
      <c r="C333" s="144"/>
      <c r="D333" s="144"/>
      <c r="E333" s="144"/>
    </row>
    <row r="334" spans="2:5">
      <c r="B334" s="144"/>
      <c r="C334" s="144"/>
      <c r="D334" s="144"/>
      <c r="E334" s="144"/>
    </row>
    <row r="335" spans="2:5">
      <c r="B335" s="144"/>
      <c r="C335" s="144"/>
      <c r="D335" s="144"/>
      <c r="E335" s="144"/>
    </row>
    <row r="336" spans="2:5">
      <c r="B336" s="144"/>
      <c r="C336" s="144"/>
      <c r="D336" s="144"/>
      <c r="E336" s="144"/>
    </row>
    <row r="337" spans="2:5">
      <c r="B337" s="144"/>
      <c r="C337" s="144"/>
      <c r="D337" s="144"/>
      <c r="E337" s="144"/>
    </row>
    <row r="338" spans="2:5">
      <c r="B338" s="144"/>
      <c r="C338" s="144"/>
      <c r="D338" s="144"/>
      <c r="E338" s="144"/>
    </row>
    <row r="339" spans="2:5">
      <c r="B339" s="144"/>
      <c r="C339" s="144"/>
      <c r="D339" s="144"/>
      <c r="E339" s="144"/>
    </row>
    <row r="340" spans="2:5">
      <c r="B340" s="144"/>
      <c r="C340" s="144"/>
      <c r="D340" s="144"/>
      <c r="E340" s="144"/>
    </row>
    <row r="341" spans="2:5">
      <c r="B341" s="144"/>
      <c r="C341" s="144"/>
      <c r="D341" s="144"/>
      <c r="E341" s="144"/>
    </row>
    <row r="342" spans="2:5">
      <c r="B342" s="144"/>
      <c r="C342" s="144"/>
      <c r="D342" s="144"/>
      <c r="E342" s="144"/>
    </row>
    <row r="343" spans="2:5">
      <c r="B343" s="144"/>
      <c r="C343" s="144"/>
      <c r="D343" s="144"/>
      <c r="E343" s="144"/>
    </row>
    <row r="344" spans="2:5">
      <c r="B344" s="144"/>
      <c r="C344" s="144"/>
      <c r="D344" s="144"/>
      <c r="E344" s="144"/>
    </row>
    <row r="345" spans="2:5">
      <c r="B345" s="144"/>
      <c r="C345" s="144"/>
      <c r="D345" s="144"/>
      <c r="E345" s="144"/>
    </row>
    <row r="346" spans="2:5">
      <c r="B346" s="144"/>
      <c r="C346" s="144"/>
      <c r="D346" s="144"/>
      <c r="E346" s="144"/>
    </row>
    <row r="347" spans="2:5">
      <c r="B347" s="144"/>
      <c r="C347" s="144"/>
      <c r="D347" s="144"/>
      <c r="E347" s="144"/>
    </row>
    <row r="348" spans="2:5">
      <c r="B348" s="144"/>
      <c r="C348" s="144"/>
      <c r="D348" s="144"/>
      <c r="E348" s="144"/>
    </row>
    <row r="349" spans="2:5">
      <c r="B349" s="144"/>
      <c r="C349" s="144"/>
      <c r="D349" s="144"/>
      <c r="E349" s="144"/>
    </row>
    <row r="350" spans="2:5">
      <c r="B350" s="144"/>
      <c r="C350" s="144"/>
      <c r="D350" s="144"/>
      <c r="E350" s="144"/>
    </row>
    <row r="351" spans="2:5">
      <c r="B351" s="144"/>
      <c r="C351" s="144"/>
      <c r="D351" s="144"/>
      <c r="E351" s="144"/>
    </row>
    <row r="352" spans="2:5">
      <c r="B352" s="144"/>
      <c r="C352" s="144"/>
      <c r="D352" s="144"/>
      <c r="E352" s="144"/>
    </row>
    <row r="353" spans="2:5">
      <c r="B353" s="144"/>
      <c r="C353" s="144"/>
      <c r="D353" s="144"/>
      <c r="E353" s="144"/>
    </row>
    <row r="354" spans="2:5">
      <c r="B354" s="144"/>
      <c r="C354" s="144"/>
      <c r="D354" s="144"/>
      <c r="E354" s="144"/>
    </row>
    <row r="355" spans="2:5">
      <c r="B355" s="144"/>
      <c r="C355" s="144"/>
      <c r="D355" s="144"/>
      <c r="E355" s="144"/>
    </row>
    <row r="356" spans="2:5">
      <c r="B356" s="144"/>
      <c r="C356" s="144"/>
      <c r="D356" s="144"/>
      <c r="E356" s="144"/>
    </row>
    <row r="357" spans="2:5">
      <c r="B357" s="144"/>
      <c r="C357" s="144"/>
      <c r="D357" s="144"/>
      <c r="E357" s="144"/>
    </row>
    <row r="358" spans="2:5">
      <c r="B358" s="144"/>
      <c r="C358" s="144"/>
      <c r="D358" s="144"/>
      <c r="E358" s="144"/>
    </row>
    <row r="359" spans="2:5">
      <c r="B359" s="144"/>
      <c r="C359" s="144"/>
      <c r="D359" s="144"/>
      <c r="E359" s="144"/>
    </row>
    <row r="360" spans="2:5">
      <c r="B360" s="144"/>
      <c r="C360" s="144"/>
      <c r="D360" s="144"/>
      <c r="E360" s="144"/>
    </row>
    <row r="361" spans="2:5">
      <c r="B361" s="144"/>
      <c r="C361" s="144"/>
      <c r="D361" s="144"/>
      <c r="E361" s="144"/>
    </row>
    <row r="362" spans="2:5">
      <c r="B362" s="144"/>
      <c r="C362" s="144"/>
      <c r="D362" s="144"/>
      <c r="E362" s="144"/>
    </row>
    <row r="363" spans="2:5">
      <c r="B363" s="144"/>
      <c r="C363" s="144"/>
      <c r="D363" s="144"/>
      <c r="E363" s="144"/>
    </row>
    <row r="364" spans="2:5">
      <c r="B364" s="144"/>
      <c r="C364" s="144"/>
      <c r="D364" s="144"/>
      <c r="E364" s="144"/>
    </row>
    <row r="365" spans="2:5">
      <c r="B365" s="144"/>
      <c r="C365" s="144"/>
      <c r="D365" s="144"/>
      <c r="E365" s="144"/>
    </row>
    <row r="366" spans="2:5">
      <c r="B366" s="144"/>
      <c r="C366" s="144"/>
      <c r="D366" s="144"/>
      <c r="E366" s="144"/>
    </row>
    <row r="367" spans="2:5">
      <c r="B367" s="144"/>
      <c r="C367" s="144"/>
      <c r="D367" s="144"/>
      <c r="E367" s="144"/>
    </row>
    <row r="368" spans="2:5">
      <c r="B368" s="144"/>
      <c r="C368" s="144"/>
      <c r="D368" s="144"/>
      <c r="E368" s="144"/>
    </row>
    <row r="369" spans="2:5">
      <c r="B369" s="144"/>
      <c r="C369" s="144"/>
      <c r="D369" s="144"/>
      <c r="E369" s="144"/>
    </row>
    <row r="370" spans="2:5">
      <c r="B370" s="144"/>
      <c r="C370" s="144"/>
      <c r="D370" s="144"/>
      <c r="E370" s="144"/>
    </row>
    <row r="371" spans="2:5">
      <c r="B371" s="144"/>
      <c r="C371" s="144"/>
      <c r="D371" s="144"/>
      <c r="E371" s="144"/>
    </row>
    <row r="372" spans="2:5">
      <c r="B372" s="144"/>
      <c r="C372" s="144"/>
      <c r="D372" s="144"/>
      <c r="E372" s="144"/>
    </row>
    <row r="373" spans="2:5">
      <c r="B373" s="144"/>
      <c r="C373" s="144"/>
      <c r="D373" s="144"/>
      <c r="E373" s="144"/>
    </row>
    <row r="374" spans="2:5">
      <c r="B374" s="144"/>
      <c r="C374" s="144"/>
      <c r="D374" s="144"/>
      <c r="E374" s="144"/>
    </row>
    <row r="375" spans="2:5">
      <c r="B375" s="144"/>
      <c r="C375" s="144"/>
      <c r="D375" s="144"/>
      <c r="E375" s="144"/>
    </row>
    <row r="376" spans="2:5">
      <c r="B376" s="144"/>
      <c r="C376" s="144"/>
      <c r="D376" s="144"/>
      <c r="E376" s="144"/>
    </row>
    <row r="377" spans="2:5">
      <c r="B377" s="144"/>
      <c r="C377" s="144"/>
      <c r="D377" s="144"/>
      <c r="E377" s="144"/>
    </row>
    <row r="378" spans="2:5">
      <c r="B378" s="144"/>
      <c r="C378" s="144"/>
      <c r="D378" s="144"/>
      <c r="E378" s="144"/>
    </row>
    <row r="379" spans="2:5">
      <c r="B379" s="144"/>
      <c r="C379" s="144"/>
      <c r="D379" s="144"/>
      <c r="E379" s="144"/>
    </row>
    <row r="380" spans="2:5">
      <c r="B380" s="144"/>
      <c r="C380" s="144"/>
      <c r="D380" s="144"/>
      <c r="E380" s="144"/>
    </row>
    <row r="381" spans="2:5">
      <c r="B381" s="144"/>
      <c r="C381" s="144"/>
      <c r="D381" s="144"/>
      <c r="E381" s="144"/>
    </row>
    <row r="382" spans="2:5">
      <c r="B382" s="144"/>
      <c r="C382" s="144"/>
      <c r="D382" s="144"/>
      <c r="E382" s="144"/>
    </row>
    <row r="383" spans="2:5">
      <c r="B383" s="144"/>
      <c r="C383" s="144"/>
      <c r="D383" s="144"/>
      <c r="E383" s="144"/>
    </row>
    <row r="384" spans="2:5">
      <c r="B384" s="144"/>
      <c r="C384" s="144"/>
      <c r="D384" s="144"/>
      <c r="E384" s="144"/>
    </row>
    <row r="385" spans="2:5">
      <c r="B385" s="144"/>
      <c r="C385" s="144"/>
      <c r="D385" s="144"/>
      <c r="E385" s="144"/>
    </row>
    <row r="386" spans="2:5">
      <c r="B386" s="144"/>
      <c r="C386" s="144"/>
      <c r="D386" s="144"/>
      <c r="E386" s="144"/>
    </row>
    <row r="387" spans="2:5">
      <c r="B387" s="144"/>
      <c r="C387" s="144"/>
      <c r="D387" s="144"/>
      <c r="E387" s="144"/>
    </row>
    <row r="388" spans="2:5">
      <c r="B388" s="144"/>
      <c r="C388" s="144"/>
      <c r="D388" s="144"/>
      <c r="E388" s="144"/>
    </row>
    <row r="389" spans="2:5">
      <c r="B389" s="144"/>
      <c r="C389" s="144"/>
      <c r="D389" s="144"/>
      <c r="E389" s="144"/>
    </row>
    <row r="390" spans="2:5">
      <c r="B390" s="144"/>
      <c r="C390" s="144"/>
      <c r="D390" s="144"/>
      <c r="E390" s="144"/>
    </row>
    <row r="391" spans="2:5">
      <c r="B391" s="144"/>
      <c r="C391" s="144"/>
      <c r="D391" s="144"/>
      <c r="E391" s="144"/>
    </row>
    <row r="392" spans="2:5">
      <c r="B392" s="144"/>
      <c r="C392" s="144"/>
      <c r="D392" s="144"/>
      <c r="E392" s="144"/>
    </row>
    <row r="393" spans="2:5">
      <c r="B393" s="144"/>
      <c r="C393" s="144"/>
      <c r="D393" s="144"/>
      <c r="E393" s="144"/>
    </row>
    <row r="394" spans="2:5">
      <c r="B394" s="144"/>
      <c r="C394" s="144"/>
      <c r="D394" s="144"/>
      <c r="E394" s="144"/>
    </row>
    <row r="395" spans="2:5">
      <c r="B395" s="144"/>
      <c r="C395" s="144"/>
      <c r="D395" s="144"/>
      <c r="E395" s="144"/>
    </row>
    <row r="396" spans="2:5">
      <c r="B396" s="144"/>
      <c r="C396" s="144"/>
      <c r="D396" s="144"/>
      <c r="E396" s="144"/>
    </row>
    <row r="397" spans="2:5">
      <c r="B397" s="144"/>
      <c r="C397" s="144"/>
      <c r="D397" s="144"/>
      <c r="E397" s="144"/>
    </row>
    <row r="398" spans="2:5">
      <c r="B398" s="144"/>
      <c r="C398" s="144"/>
      <c r="D398" s="144"/>
      <c r="E398" s="144"/>
    </row>
    <row r="399" spans="2:5">
      <c r="B399" s="144"/>
      <c r="C399" s="144"/>
      <c r="D399" s="144"/>
      <c r="E399" s="144"/>
    </row>
    <row r="400" spans="2:5">
      <c r="B400" s="144"/>
      <c r="C400" s="144"/>
      <c r="D400" s="144"/>
      <c r="E400" s="144"/>
    </row>
    <row r="401" spans="2:5">
      <c r="B401" s="144"/>
      <c r="C401" s="144"/>
      <c r="D401" s="144"/>
      <c r="E401" s="144"/>
    </row>
    <row r="402" spans="2:5">
      <c r="B402" s="144"/>
      <c r="C402" s="144"/>
      <c r="D402" s="144"/>
      <c r="E402" s="144"/>
    </row>
    <row r="403" spans="2:5">
      <c r="B403" s="144"/>
      <c r="C403" s="144"/>
      <c r="D403" s="144"/>
      <c r="E403" s="144"/>
    </row>
    <row r="404" spans="2:5">
      <c r="B404" s="144"/>
      <c r="C404" s="144"/>
      <c r="D404" s="144"/>
      <c r="E404" s="144"/>
    </row>
    <row r="405" spans="2:5">
      <c r="B405" s="144"/>
      <c r="C405" s="144"/>
      <c r="D405" s="144"/>
      <c r="E405" s="144"/>
    </row>
    <row r="406" spans="2:5">
      <c r="B406" s="144"/>
      <c r="C406" s="144"/>
      <c r="D406" s="144"/>
      <c r="E406" s="144"/>
    </row>
    <row r="407" spans="2:5">
      <c r="B407" s="144"/>
      <c r="C407" s="144"/>
      <c r="D407" s="144"/>
      <c r="E407" s="144"/>
    </row>
    <row r="408" spans="2:5">
      <c r="B408" s="144"/>
      <c r="C408" s="144"/>
      <c r="D408" s="144"/>
      <c r="E408" s="144"/>
    </row>
    <row r="409" spans="2:5">
      <c r="B409" s="144"/>
      <c r="C409" s="144"/>
      <c r="D409" s="144"/>
      <c r="E409" s="144"/>
    </row>
    <row r="410" spans="2:5">
      <c r="B410" s="144"/>
      <c r="C410" s="144"/>
      <c r="D410" s="144"/>
      <c r="E410" s="144"/>
    </row>
    <row r="411" spans="2:5">
      <c r="B411" s="144"/>
      <c r="C411" s="144"/>
      <c r="D411" s="144"/>
      <c r="E411" s="144"/>
    </row>
    <row r="412" spans="2:5">
      <c r="B412" s="144"/>
      <c r="C412" s="144"/>
      <c r="D412" s="144"/>
      <c r="E412" s="144"/>
    </row>
    <row r="413" spans="2:5">
      <c r="B413" s="144"/>
      <c r="C413" s="144"/>
      <c r="D413" s="144"/>
      <c r="E413" s="144"/>
    </row>
    <row r="414" spans="2:5">
      <c r="B414" s="144"/>
      <c r="C414" s="144"/>
      <c r="D414" s="144"/>
      <c r="E414" s="144"/>
    </row>
    <row r="415" spans="2:5">
      <c r="B415" s="144"/>
      <c r="C415" s="144"/>
      <c r="D415" s="144"/>
      <c r="E415" s="144"/>
    </row>
    <row r="416" spans="2:5">
      <c r="B416" s="144"/>
      <c r="C416" s="144"/>
      <c r="D416" s="144"/>
      <c r="E416" s="144"/>
    </row>
    <row r="417" spans="2:5">
      <c r="B417" s="144"/>
      <c r="C417" s="144"/>
      <c r="D417" s="144"/>
      <c r="E417" s="144"/>
    </row>
    <row r="418" spans="2:5">
      <c r="B418" s="144"/>
      <c r="C418" s="144"/>
      <c r="D418" s="144"/>
      <c r="E418" s="144"/>
    </row>
    <row r="419" spans="2:5">
      <c r="B419" s="144"/>
      <c r="C419" s="144"/>
      <c r="D419" s="144"/>
      <c r="E419" s="144"/>
    </row>
    <row r="420" spans="2:5">
      <c r="B420" s="144"/>
      <c r="C420" s="144"/>
      <c r="D420" s="144"/>
      <c r="E420" s="144"/>
    </row>
    <row r="421" spans="2:5">
      <c r="B421" s="144"/>
      <c r="C421" s="144"/>
      <c r="D421" s="144"/>
      <c r="E421" s="144"/>
    </row>
    <row r="422" spans="2:5">
      <c r="B422" s="144"/>
      <c r="C422" s="144"/>
      <c r="D422" s="144"/>
      <c r="E422" s="144"/>
    </row>
    <row r="423" spans="2:5">
      <c r="B423" s="144"/>
      <c r="C423" s="144"/>
      <c r="D423" s="144"/>
      <c r="E423" s="144"/>
    </row>
    <row r="424" spans="2:5">
      <c r="B424" s="144"/>
      <c r="C424" s="144"/>
      <c r="D424" s="144"/>
      <c r="E424" s="144"/>
    </row>
    <row r="425" spans="2:5">
      <c r="B425" s="144"/>
      <c r="C425" s="144"/>
      <c r="D425" s="144"/>
      <c r="E425" s="144"/>
    </row>
    <row r="426" spans="2:5">
      <c r="B426" s="144"/>
      <c r="C426" s="144"/>
      <c r="D426" s="144"/>
      <c r="E426" s="144"/>
    </row>
    <row r="427" spans="2:5">
      <c r="B427" s="144"/>
      <c r="C427" s="144"/>
      <c r="D427" s="144"/>
      <c r="E427" s="144"/>
    </row>
    <row r="428" spans="2:5">
      <c r="B428" s="144"/>
      <c r="C428" s="144"/>
      <c r="D428" s="144"/>
      <c r="E428" s="144"/>
    </row>
    <row r="429" spans="2:5">
      <c r="B429" s="144"/>
      <c r="C429" s="144"/>
      <c r="D429" s="144"/>
      <c r="E429" s="144"/>
    </row>
    <row r="430" spans="2:5">
      <c r="B430" s="144"/>
      <c r="C430" s="144"/>
      <c r="D430" s="144"/>
      <c r="E430" s="144"/>
    </row>
    <row r="431" spans="2:5">
      <c r="B431" s="144"/>
      <c r="C431" s="144"/>
      <c r="D431" s="144"/>
      <c r="E431" s="144"/>
    </row>
    <row r="432" spans="2:5">
      <c r="B432" s="144"/>
      <c r="C432" s="144"/>
      <c r="D432" s="144"/>
      <c r="E432" s="144"/>
    </row>
    <row r="433" spans="2:5">
      <c r="B433" s="144"/>
      <c r="C433" s="144"/>
      <c r="D433" s="144"/>
      <c r="E433" s="144"/>
    </row>
    <row r="434" spans="2:5">
      <c r="B434" s="144"/>
      <c r="C434" s="144"/>
      <c r="D434" s="144"/>
      <c r="E434" s="144"/>
    </row>
    <row r="435" spans="2:5">
      <c r="B435" s="144"/>
      <c r="C435" s="144"/>
      <c r="D435" s="144"/>
      <c r="E435" s="144"/>
    </row>
    <row r="436" spans="2:5">
      <c r="B436" s="144"/>
      <c r="C436" s="144"/>
      <c r="D436" s="144"/>
      <c r="E436" s="144"/>
    </row>
    <row r="437" spans="2:5">
      <c r="B437" s="144"/>
      <c r="C437" s="144"/>
      <c r="D437" s="144"/>
      <c r="E437" s="144"/>
    </row>
    <row r="438" spans="2:5">
      <c r="B438" s="144"/>
      <c r="C438" s="144"/>
      <c r="D438" s="144"/>
      <c r="E438" s="144"/>
    </row>
    <row r="439" spans="2:5">
      <c r="B439" s="144"/>
      <c r="C439" s="144"/>
      <c r="D439" s="144"/>
      <c r="E439" s="144"/>
    </row>
    <row r="440" spans="2:5">
      <c r="B440" s="144"/>
      <c r="C440" s="144"/>
      <c r="D440" s="144"/>
      <c r="E440" s="144"/>
    </row>
    <row r="441" spans="2:5">
      <c r="B441" s="144"/>
      <c r="C441" s="144"/>
      <c r="D441" s="144"/>
      <c r="E441" s="144"/>
    </row>
    <row r="442" spans="2:5">
      <c r="B442" s="144"/>
      <c r="C442" s="144"/>
      <c r="D442" s="144"/>
      <c r="E442" s="144"/>
    </row>
    <row r="443" spans="2:5">
      <c r="B443" s="144"/>
      <c r="C443" s="144"/>
      <c r="D443" s="144"/>
      <c r="E443" s="144"/>
    </row>
    <row r="444" spans="2:5">
      <c r="B444" s="144"/>
      <c r="C444" s="144"/>
      <c r="D444" s="144"/>
      <c r="E444" s="144"/>
    </row>
    <row r="445" spans="2:5">
      <c r="B445" s="144"/>
      <c r="C445" s="144"/>
      <c r="D445" s="144"/>
      <c r="E445" s="144"/>
    </row>
    <row r="446" spans="2:5">
      <c r="B446" s="144"/>
      <c r="C446" s="144"/>
      <c r="D446" s="144"/>
      <c r="E446" s="144"/>
    </row>
    <row r="447" spans="2:5">
      <c r="B447" s="144"/>
      <c r="C447" s="144"/>
      <c r="D447" s="144"/>
      <c r="E447" s="144"/>
    </row>
    <row r="448" spans="2:5">
      <c r="B448" s="144"/>
      <c r="C448" s="144"/>
      <c r="D448" s="144"/>
      <c r="E448" s="144"/>
    </row>
    <row r="449" spans="2:5">
      <c r="B449" s="144"/>
      <c r="C449" s="144"/>
      <c r="D449" s="144"/>
      <c r="E449" s="144"/>
    </row>
    <row r="450" spans="2:5">
      <c r="B450" s="144"/>
      <c r="C450" s="144"/>
      <c r="D450" s="144"/>
      <c r="E450" s="144"/>
    </row>
    <row r="451" spans="2:5">
      <c r="B451" s="144"/>
      <c r="C451" s="144"/>
      <c r="D451" s="144"/>
      <c r="E451" s="144"/>
    </row>
    <row r="452" spans="2:5">
      <c r="B452" s="144"/>
      <c r="C452" s="144"/>
      <c r="D452" s="144"/>
      <c r="E452" s="144"/>
    </row>
    <row r="453" spans="2:5">
      <c r="B453" s="144"/>
      <c r="C453" s="144"/>
      <c r="D453" s="144"/>
      <c r="E453" s="144"/>
    </row>
    <row r="454" spans="2:5">
      <c r="B454" s="144"/>
      <c r="C454" s="144"/>
      <c r="D454" s="144"/>
      <c r="E454" s="144"/>
    </row>
    <row r="455" spans="2:5">
      <c r="B455" s="144"/>
      <c r="C455" s="144"/>
      <c r="D455" s="144"/>
      <c r="E455" s="144"/>
    </row>
    <row r="456" spans="2:5">
      <c r="B456" s="144"/>
      <c r="C456" s="144"/>
      <c r="D456" s="144"/>
      <c r="E456" s="144"/>
    </row>
    <row r="457" spans="2:5">
      <c r="B457" s="144"/>
      <c r="C457" s="144"/>
      <c r="D457" s="144"/>
      <c r="E457" s="144"/>
    </row>
    <row r="458" spans="2:5">
      <c r="B458" s="144"/>
      <c r="C458" s="144"/>
      <c r="D458" s="144"/>
      <c r="E458" s="144"/>
    </row>
    <row r="459" spans="2:5">
      <c r="B459" s="144"/>
      <c r="C459" s="144"/>
      <c r="D459" s="144"/>
      <c r="E459" s="144"/>
    </row>
    <row r="460" spans="2:5">
      <c r="B460" s="144"/>
      <c r="C460" s="144"/>
      <c r="D460" s="144"/>
      <c r="E460" s="144"/>
    </row>
    <row r="461" spans="2:5">
      <c r="B461" s="144"/>
      <c r="C461" s="144"/>
      <c r="D461" s="144"/>
      <c r="E461" s="144"/>
    </row>
    <row r="462" spans="2:5">
      <c r="B462" s="144"/>
      <c r="C462" s="144"/>
      <c r="D462" s="144"/>
      <c r="E462" s="144"/>
    </row>
    <row r="463" spans="2:5">
      <c r="B463" s="144"/>
      <c r="C463" s="144"/>
      <c r="D463" s="144"/>
      <c r="E463" s="144"/>
    </row>
    <row r="464" spans="2:5">
      <c r="B464" s="144"/>
      <c r="C464" s="144"/>
      <c r="D464" s="144"/>
      <c r="E464" s="144"/>
    </row>
    <row r="465" spans="2:5">
      <c r="B465" s="144"/>
      <c r="C465" s="144"/>
      <c r="D465" s="144"/>
      <c r="E465" s="144"/>
    </row>
    <row r="466" spans="2:5">
      <c r="B466" s="144"/>
      <c r="C466" s="144"/>
      <c r="D466" s="144"/>
      <c r="E466" s="144"/>
    </row>
    <row r="467" spans="2:5">
      <c r="B467" s="144"/>
      <c r="C467" s="144"/>
      <c r="D467" s="144"/>
      <c r="E467" s="144"/>
    </row>
    <row r="468" spans="2:5">
      <c r="B468" s="144"/>
      <c r="C468" s="144"/>
      <c r="D468" s="144"/>
      <c r="E468" s="144"/>
    </row>
    <row r="469" spans="2:5">
      <c r="B469" s="144"/>
      <c r="C469" s="144"/>
      <c r="D469" s="144"/>
      <c r="E469" s="144"/>
    </row>
    <row r="470" spans="2:5">
      <c r="B470" s="144"/>
      <c r="C470" s="144"/>
      <c r="D470" s="144"/>
      <c r="E470" s="144"/>
    </row>
    <row r="471" spans="2:5">
      <c r="B471" s="144"/>
      <c r="C471" s="144"/>
      <c r="D471" s="144"/>
      <c r="E471" s="144"/>
    </row>
    <row r="472" spans="2:5">
      <c r="B472" s="144"/>
      <c r="C472" s="144"/>
      <c r="D472" s="144"/>
      <c r="E472" s="144"/>
    </row>
    <row r="473" spans="2:5">
      <c r="B473" s="144"/>
      <c r="C473" s="144"/>
      <c r="D473" s="144"/>
      <c r="E473" s="144"/>
    </row>
    <row r="474" spans="2:5">
      <c r="B474" s="144"/>
      <c r="C474" s="144"/>
      <c r="D474" s="144"/>
      <c r="E474" s="144"/>
    </row>
    <row r="475" spans="2:5">
      <c r="B475" s="144"/>
      <c r="C475" s="144"/>
      <c r="D475" s="144"/>
      <c r="E475" s="144"/>
    </row>
    <row r="476" spans="2:5">
      <c r="B476" s="144"/>
      <c r="C476" s="144"/>
      <c r="D476" s="144"/>
      <c r="E476" s="144"/>
    </row>
    <row r="477" spans="2:5">
      <c r="B477" s="144"/>
      <c r="C477" s="144"/>
      <c r="D477" s="144"/>
      <c r="E477" s="144"/>
    </row>
    <row r="478" spans="2:5">
      <c r="B478" s="144"/>
      <c r="C478" s="144"/>
      <c r="D478" s="144"/>
      <c r="E478" s="144"/>
    </row>
    <row r="479" spans="2:5">
      <c r="B479" s="144"/>
      <c r="C479" s="144"/>
      <c r="D479" s="144"/>
      <c r="E479" s="144"/>
    </row>
    <row r="480" spans="2:5">
      <c r="B480" s="144"/>
      <c r="C480" s="144"/>
      <c r="D480" s="144"/>
      <c r="E480" s="144"/>
    </row>
    <row r="481" spans="2:5">
      <c r="B481" s="144"/>
      <c r="C481" s="144"/>
      <c r="D481" s="144"/>
      <c r="E481" s="144"/>
    </row>
    <row r="482" spans="2:5">
      <c r="B482" s="144"/>
      <c r="C482" s="144"/>
      <c r="D482" s="144"/>
      <c r="E482" s="144"/>
    </row>
    <row r="483" spans="2:5">
      <c r="B483" s="144"/>
      <c r="C483" s="144"/>
      <c r="D483" s="144"/>
      <c r="E483" s="144"/>
    </row>
    <row r="484" spans="2:5">
      <c r="B484" s="144"/>
      <c r="C484" s="144"/>
      <c r="D484" s="144"/>
      <c r="E484" s="144"/>
    </row>
    <row r="485" spans="2:5">
      <c r="B485" s="144"/>
      <c r="C485" s="144"/>
      <c r="D485" s="144"/>
      <c r="E485" s="144"/>
    </row>
    <row r="486" spans="2:5">
      <c r="B486" s="144"/>
      <c r="C486" s="144"/>
      <c r="D486" s="144"/>
      <c r="E486" s="144"/>
    </row>
    <row r="487" spans="2:5">
      <c r="B487" s="144"/>
      <c r="C487" s="144"/>
      <c r="D487" s="144"/>
      <c r="E487" s="144"/>
    </row>
    <row r="488" spans="2:5">
      <c r="B488" s="144"/>
      <c r="C488" s="144"/>
      <c r="D488" s="144"/>
      <c r="E488" s="144"/>
    </row>
    <row r="489" spans="2:5">
      <c r="B489" s="144"/>
      <c r="C489" s="144"/>
      <c r="D489" s="144"/>
      <c r="E489" s="144"/>
    </row>
    <row r="490" spans="2:5">
      <c r="B490" s="144"/>
      <c r="C490" s="144"/>
      <c r="D490" s="144"/>
      <c r="E490" s="144"/>
    </row>
    <row r="491" spans="2:5">
      <c r="B491" s="144"/>
      <c r="C491" s="144"/>
      <c r="D491" s="144"/>
      <c r="E491" s="144"/>
    </row>
    <row r="492" spans="2:5">
      <c r="B492" s="144"/>
      <c r="C492" s="144"/>
      <c r="D492" s="144"/>
      <c r="E492" s="144"/>
    </row>
    <row r="493" spans="2:5">
      <c r="B493" s="144"/>
      <c r="C493" s="144"/>
      <c r="D493" s="144"/>
      <c r="E493" s="144"/>
    </row>
    <row r="494" spans="2:5">
      <c r="B494" s="144"/>
      <c r="C494" s="144"/>
      <c r="D494" s="144"/>
      <c r="E494" s="144"/>
    </row>
    <row r="495" spans="2:5">
      <c r="B495" s="144"/>
      <c r="C495" s="144"/>
      <c r="D495" s="144"/>
      <c r="E495" s="144"/>
    </row>
    <row r="496" spans="2:5">
      <c r="B496" s="144"/>
      <c r="C496" s="144"/>
      <c r="D496" s="144"/>
      <c r="E496" s="144"/>
    </row>
    <row r="497" spans="2:5">
      <c r="B497" s="144"/>
      <c r="C497" s="144"/>
      <c r="D497" s="144"/>
      <c r="E497" s="144"/>
    </row>
    <row r="498" spans="2:5">
      <c r="B498" s="144"/>
      <c r="C498" s="144"/>
      <c r="D498" s="144"/>
      <c r="E498" s="144"/>
    </row>
    <row r="499" spans="2:5">
      <c r="B499" s="144"/>
      <c r="C499" s="144"/>
      <c r="D499" s="144"/>
      <c r="E499" s="144"/>
    </row>
    <row r="500" spans="2:5">
      <c r="B500" s="144"/>
      <c r="C500" s="144"/>
      <c r="D500" s="144"/>
      <c r="E500" s="144"/>
    </row>
    <row r="501" spans="2:5">
      <c r="B501" s="144"/>
      <c r="C501" s="144"/>
      <c r="D501" s="144"/>
      <c r="E501" s="144"/>
    </row>
    <row r="502" spans="2:5">
      <c r="B502" s="144"/>
      <c r="C502" s="144"/>
      <c r="D502" s="144"/>
      <c r="E502" s="144"/>
    </row>
    <row r="503" spans="2:5">
      <c r="B503" s="144"/>
      <c r="C503" s="144"/>
      <c r="D503" s="144"/>
      <c r="E503" s="144"/>
    </row>
    <row r="504" spans="2:5">
      <c r="B504" s="144"/>
      <c r="C504" s="144"/>
      <c r="D504" s="144"/>
      <c r="E504" s="144"/>
    </row>
    <row r="505" spans="2:5">
      <c r="B505" s="144"/>
      <c r="C505" s="144"/>
      <c r="D505" s="144"/>
      <c r="E505" s="144"/>
    </row>
    <row r="506" spans="2:5">
      <c r="B506" s="144"/>
      <c r="C506" s="144"/>
      <c r="D506" s="144"/>
      <c r="E506" s="144"/>
    </row>
    <row r="507" spans="2:5">
      <c r="B507" s="144"/>
      <c r="C507" s="144"/>
      <c r="D507" s="144"/>
      <c r="E507" s="144"/>
    </row>
    <row r="508" spans="2:5">
      <c r="B508" s="144"/>
      <c r="C508" s="144"/>
      <c r="D508" s="144"/>
      <c r="E508" s="144"/>
    </row>
    <row r="509" spans="2:5">
      <c r="B509" s="144"/>
      <c r="C509" s="144"/>
      <c r="D509" s="144"/>
      <c r="E509" s="144"/>
    </row>
    <row r="510" spans="2:5">
      <c r="B510" s="144"/>
      <c r="C510" s="144"/>
      <c r="D510" s="144"/>
      <c r="E510" s="144"/>
    </row>
    <row r="511" spans="2:5">
      <c r="B511" s="144"/>
      <c r="C511" s="144"/>
      <c r="D511" s="144"/>
      <c r="E511" s="144"/>
    </row>
    <row r="512" spans="2:5">
      <c r="B512" s="144"/>
      <c r="C512" s="144"/>
      <c r="D512" s="144"/>
      <c r="E512" s="144"/>
    </row>
    <row r="513" spans="2:5">
      <c r="B513" s="144"/>
      <c r="C513" s="144"/>
      <c r="D513" s="144"/>
      <c r="E513" s="144"/>
    </row>
    <row r="514" spans="2:5">
      <c r="B514" s="144"/>
      <c r="C514" s="144"/>
      <c r="D514" s="144"/>
      <c r="E514" s="144"/>
    </row>
    <row r="515" spans="2:5">
      <c r="B515" s="144"/>
      <c r="C515" s="144"/>
      <c r="D515" s="144"/>
      <c r="E515" s="144"/>
    </row>
    <row r="516" spans="2:5">
      <c r="B516" s="144"/>
      <c r="C516" s="144"/>
      <c r="D516" s="144"/>
      <c r="E516" s="144"/>
    </row>
    <row r="517" spans="2:5">
      <c r="B517" s="144"/>
      <c r="C517" s="144"/>
      <c r="D517" s="144"/>
      <c r="E517" s="144"/>
    </row>
    <row r="518" spans="2:5">
      <c r="B518" s="144"/>
      <c r="C518" s="144"/>
      <c r="D518" s="144"/>
      <c r="E518" s="144"/>
    </row>
    <row r="519" spans="2:5">
      <c r="B519" s="144"/>
      <c r="C519" s="144"/>
      <c r="D519" s="144"/>
      <c r="E519" s="144"/>
    </row>
    <row r="520" spans="2:5">
      <c r="B520" s="144"/>
      <c r="C520" s="144"/>
      <c r="D520" s="144"/>
      <c r="E520" s="144"/>
    </row>
    <row r="521" spans="2:5">
      <c r="B521" s="144"/>
      <c r="C521" s="144"/>
      <c r="D521" s="144"/>
      <c r="E521" s="144"/>
    </row>
    <row r="522" spans="2:5">
      <c r="B522" s="144"/>
      <c r="C522" s="144"/>
      <c r="D522" s="144"/>
      <c r="E522" s="144"/>
    </row>
    <row r="523" spans="2:5">
      <c r="B523" s="144"/>
      <c r="C523" s="144"/>
      <c r="D523" s="144"/>
      <c r="E523" s="144"/>
    </row>
    <row r="524" spans="2:5">
      <c r="B524" s="144"/>
      <c r="C524" s="144"/>
      <c r="D524" s="144"/>
      <c r="E524" s="144"/>
    </row>
    <row r="525" spans="2:5">
      <c r="B525" s="144"/>
      <c r="C525" s="144"/>
      <c r="D525" s="144"/>
      <c r="E525" s="144"/>
    </row>
    <row r="526" spans="2:5">
      <c r="B526" s="144"/>
      <c r="C526" s="144"/>
      <c r="D526" s="144"/>
      <c r="E526" s="144"/>
    </row>
    <row r="527" spans="2:5">
      <c r="B527" s="144"/>
      <c r="C527" s="144"/>
      <c r="D527" s="144"/>
      <c r="E527" s="144"/>
    </row>
    <row r="528" spans="2:5">
      <c r="B528" s="144"/>
      <c r="C528" s="144"/>
      <c r="D528" s="144"/>
      <c r="E528" s="144"/>
    </row>
    <row r="529" spans="2:5">
      <c r="B529" s="144"/>
      <c r="C529" s="144"/>
      <c r="D529" s="144"/>
      <c r="E529" s="144"/>
    </row>
    <row r="530" spans="2:5">
      <c r="B530" s="144"/>
      <c r="C530" s="144"/>
      <c r="D530" s="144"/>
      <c r="E530" s="144"/>
    </row>
    <row r="531" spans="2:5">
      <c r="B531" s="144"/>
      <c r="C531" s="144"/>
      <c r="D531" s="144"/>
      <c r="E531" s="144"/>
    </row>
    <row r="532" spans="2:5">
      <c r="B532" s="144"/>
      <c r="C532" s="144"/>
      <c r="D532" s="144"/>
      <c r="E532" s="144"/>
    </row>
    <row r="533" spans="2:5">
      <c r="B533" s="144"/>
      <c r="C533" s="144"/>
      <c r="D533" s="144"/>
      <c r="E533" s="144"/>
    </row>
    <row r="534" spans="2:5">
      <c r="B534" s="144"/>
      <c r="C534" s="144"/>
      <c r="D534" s="144"/>
      <c r="E534" s="144"/>
    </row>
    <row r="535" spans="2:5">
      <c r="B535" s="144"/>
      <c r="C535" s="144"/>
      <c r="D535" s="144"/>
      <c r="E535" s="144"/>
    </row>
    <row r="536" spans="2:5">
      <c r="B536" s="144"/>
      <c r="C536" s="144"/>
      <c r="D536" s="144"/>
      <c r="E536" s="144"/>
    </row>
    <row r="537" spans="2:5">
      <c r="B537" s="144"/>
      <c r="C537" s="144"/>
      <c r="D537" s="144"/>
      <c r="E537" s="144"/>
    </row>
    <row r="538" spans="2:5">
      <c r="B538" s="144"/>
      <c r="C538" s="144"/>
      <c r="D538" s="144"/>
      <c r="E538" s="144"/>
    </row>
    <row r="539" spans="2:5">
      <c r="B539" s="144"/>
      <c r="C539" s="144"/>
      <c r="D539" s="144"/>
      <c r="E539" s="144"/>
    </row>
    <row r="540" spans="2:5">
      <c r="B540" s="144"/>
      <c r="C540" s="144"/>
      <c r="D540" s="144"/>
      <c r="E540" s="144"/>
    </row>
    <row r="541" spans="2:5">
      <c r="B541" s="144"/>
      <c r="C541" s="144"/>
      <c r="D541" s="144"/>
      <c r="E541" s="144"/>
    </row>
    <row r="542" spans="2:5">
      <c r="B542" s="144"/>
      <c r="C542" s="144"/>
      <c r="D542" s="144"/>
      <c r="E542" s="144"/>
    </row>
    <row r="543" spans="2:5">
      <c r="B543" s="144"/>
      <c r="C543" s="144"/>
      <c r="D543" s="144"/>
      <c r="E543" s="144"/>
    </row>
    <row r="544" spans="2:5">
      <c r="B544" s="144"/>
      <c r="C544" s="144"/>
      <c r="D544" s="144"/>
      <c r="E544" s="144"/>
    </row>
    <row r="545" spans="2:5">
      <c r="B545" s="144"/>
      <c r="C545" s="144"/>
      <c r="D545" s="144"/>
      <c r="E545" s="144"/>
    </row>
    <row r="546" spans="2:5">
      <c r="B546" s="144"/>
      <c r="C546" s="144"/>
      <c r="D546" s="144"/>
      <c r="E546" s="144"/>
    </row>
    <row r="547" spans="2:5">
      <c r="B547" s="144"/>
      <c r="C547" s="144"/>
      <c r="D547" s="144"/>
      <c r="E547" s="144"/>
    </row>
    <row r="548" spans="2:5">
      <c r="B548" s="144"/>
      <c r="C548" s="144"/>
      <c r="D548" s="144"/>
      <c r="E548" s="144"/>
    </row>
    <row r="549" spans="2:5">
      <c r="B549" s="144"/>
      <c r="C549" s="144"/>
      <c r="D549" s="144"/>
      <c r="E549" s="144"/>
    </row>
    <row r="550" spans="2:5">
      <c r="B550" s="144"/>
      <c r="C550" s="144"/>
      <c r="D550" s="144"/>
      <c r="E550" s="144"/>
    </row>
    <row r="551" spans="2:5">
      <c r="B551" s="144"/>
      <c r="C551" s="144"/>
      <c r="D551" s="144"/>
      <c r="E551" s="144"/>
    </row>
    <row r="552" spans="2:5">
      <c r="B552" s="144"/>
      <c r="C552" s="144"/>
      <c r="D552" s="144"/>
      <c r="E552" s="144"/>
    </row>
    <row r="553" spans="2:5">
      <c r="B553" s="144"/>
      <c r="C553" s="144"/>
      <c r="D553" s="144"/>
      <c r="E553" s="144"/>
    </row>
    <row r="554" spans="2:5">
      <c r="B554" s="144"/>
      <c r="C554" s="144"/>
      <c r="D554" s="144"/>
      <c r="E554" s="144"/>
    </row>
    <row r="555" spans="2:5">
      <c r="B555" s="144"/>
      <c r="C555" s="144"/>
      <c r="D555" s="144"/>
      <c r="E555" s="144"/>
    </row>
    <row r="556" spans="2:5">
      <c r="B556" s="144"/>
      <c r="C556" s="144"/>
      <c r="D556" s="144"/>
      <c r="E556" s="144"/>
    </row>
    <row r="557" spans="2:5">
      <c r="B557" s="144"/>
      <c r="C557" s="144"/>
      <c r="D557" s="144"/>
      <c r="E557" s="144"/>
    </row>
    <row r="558" spans="2:5">
      <c r="B558" s="144"/>
      <c r="C558" s="144"/>
      <c r="D558" s="144"/>
      <c r="E558" s="144"/>
    </row>
    <row r="559" spans="2:5">
      <c r="B559" s="144"/>
      <c r="C559" s="144"/>
      <c r="D559" s="144"/>
      <c r="E559" s="144"/>
    </row>
    <row r="560" spans="2:5">
      <c r="B560" s="144"/>
      <c r="C560" s="144"/>
      <c r="D560" s="144"/>
      <c r="E560" s="144"/>
    </row>
    <row r="561" spans="2:5">
      <c r="B561" s="144"/>
      <c r="C561" s="144"/>
      <c r="D561" s="144"/>
      <c r="E561" s="144"/>
    </row>
    <row r="562" spans="2:5">
      <c r="B562" s="144"/>
      <c r="C562" s="144"/>
      <c r="D562" s="144"/>
      <c r="E562" s="144"/>
    </row>
    <row r="563" spans="2:5">
      <c r="B563" s="144"/>
      <c r="C563" s="144"/>
      <c r="D563" s="144"/>
      <c r="E563" s="144"/>
    </row>
    <row r="564" spans="2:5">
      <c r="B564" s="144"/>
      <c r="C564" s="144"/>
      <c r="D564" s="144"/>
      <c r="E564" s="144"/>
    </row>
    <row r="565" spans="2:5">
      <c r="B565" s="144"/>
      <c r="C565" s="144"/>
      <c r="D565" s="144"/>
      <c r="E565" s="144"/>
    </row>
    <row r="566" spans="2:5">
      <c r="B566" s="144"/>
      <c r="C566" s="144"/>
      <c r="D566" s="144"/>
      <c r="E566" s="144"/>
    </row>
    <row r="567" spans="2:5">
      <c r="B567" s="144"/>
      <c r="C567" s="144"/>
      <c r="D567" s="144"/>
      <c r="E567" s="144"/>
    </row>
    <row r="568" spans="2:5">
      <c r="B568" s="144"/>
      <c r="C568" s="144"/>
      <c r="D568" s="144"/>
      <c r="E568" s="144"/>
    </row>
    <row r="569" spans="2:5">
      <c r="B569" s="144"/>
      <c r="C569" s="144"/>
      <c r="D569" s="144"/>
      <c r="E569" s="144"/>
    </row>
    <row r="570" spans="2:5">
      <c r="B570" s="144"/>
      <c r="C570" s="144"/>
      <c r="D570" s="144"/>
      <c r="E570" s="144"/>
    </row>
    <row r="571" spans="2:5">
      <c r="B571" s="144"/>
      <c r="C571" s="144"/>
      <c r="D571" s="144"/>
      <c r="E571" s="144"/>
    </row>
    <row r="572" spans="2:5">
      <c r="B572" s="144"/>
      <c r="C572" s="144"/>
      <c r="D572" s="144"/>
      <c r="E572" s="144"/>
    </row>
    <row r="573" spans="2:5">
      <c r="B573" s="144"/>
      <c r="C573" s="144"/>
      <c r="D573" s="144"/>
      <c r="E573" s="144"/>
    </row>
    <row r="574" spans="2:5">
      <c r="B574" s="144"/>
      <c r="C574" s="144"/>
      <c r="D574" s="144"/>
      <c r="E574" s="144"/>
    </row>
    <row r="575" spans="2:5">
      <c r="B575" s="144"/>
      <c r="C575" s="144"/>
      <c r="D575" s="144"/>
      <c r="E575" s="144"/>
    </row>
    <row r="576" spans="2:5">
      <c r="B576" s="144"/>
      <c r="C576" s="144"/>
      <c r="D576" s="144"/>
      <c r="E576" s="144"/>
    </row>
    <row r="577" spans="2:5">
      <c r="B577" s="144"/>
      <c r="C577" s="144"/>
      <c r="D577" s="144"/>
      <c r="E577" s="144"/>
    </row>
    <row r="578" spans="2:5">
      <c r="B578" s="144"/>
      <c r="C578" s="144"/>
      <c r="D578" s="144"/>
      <c r="E578" s="144"/>
    </row>
    <row r="579" spans="2:5">
      <c r="B579" s="144"/>
      <c r="C579" s="144"/>
      <c r="D579" s="144"/>
      <c r="E579" s="144"/>
    </row>
    <row r="580" spans="2:5">
      <c r="B580" s="144"/>
      <c r="C580" s="144"/>
      <c r="D580" s="144"/>
      <c r="E580" s="144"/>
    </row>
    <row r="581" spans="2:5">
      <c r="B581" s="144"/>
      <c r="C581" s="144"/>
      <c r="D581" s="144"/>
      <c r="E581" s="144"/>
    </row>
    <row r="582" spans="2:5">
      <c r="B582" s="144"/>
      <c r="C582" s="144"/>
      <c r="D582" s="144"/>
      <c r="E582" s="144"/>
    </row>
    <row r="583" spans="2:5">
      <c r="B583" s="144"/>
      <c r="C583" s="144"/>
      <c r="D583" s="144"/>
      <c r="E583" s="144"/>
    </row>
    <row r="584" spans="2:5">
      <c r="B584" s="144"/>
      <c r="C584" s="144"/>
      <c r="D584" s="144"/>
      <c r="E584" s="144"/>
    </row>
    <row r="585" spans="2:5">
      <c r="B585" s="144"/>
      <c r="C585" s="144"/>
      <c r="D585" s="144"/>
      <c r="E585" s="144"/>
    </row>
    <row r="586" spans="2:5">
      <c r="B586" s="144"/>
      <c r="C586" s="144"/>
      <c r="D586" s="144"/>
      <c r="E586" s="144"/>
    </row>
    <row r="587" spans="2:5">
      <c r="B587" s="144"/>
      <c r="C587" s="144"/>
      <c r="D587" s="144"/>
      <c r="E587" s="144"/>
    </row>
    <row r="588" spans="2:5">
      <c r="B588" s="144"/>
      <c r="C588" s="144"/>
      <c r="D588" s="144"/>
      <c r="E588" s="144"/>
    </row>
    <row r="589" spans="2:5">
      <c r="B589" s="144"/>
      <c r="C589" s="144"/>
      <c r="D589" s="144"/>
      <c r="E589" s="144"/>
    </row>
    <row r="590" spans="2:5">
      <c r="B590" s="144"/>
      <c r="C590" s="144"/>
      <c r="D590" s="144"/>
      <c r="E590" s="144"/>
    </row>
    <row r="591" spans="2:5">
      <c r="B591" s="144"/>
      <c r="C591" s="144"/>
      <c r="D591" s="144"/>
      <c r="E591" s="144"/>
    </row>
    <row r="592" spans="2:5">
      <c r="B592" s="144"/>
      <c r="C592" s="144"/>
      <c r="D592" s="144"/>
      <c r="E592" s="144"/>
    </row>
    <row r="593" spans="2:5">
      <c r="B593" s="144"/>
      <c r="C593" s="144"/>
      <c r="D593" s="144"/>
      <c r="E593" s="144"/>
    </row>
    <row r="594" spans="2:5">
      <c r="B594" s="144"/>
      <c r="C594" s="144"/>
      <c r="D594" s="144"/>
      <c r="E594" s="144"/>
    </row>
    <row r="595" spans="2:5">
      <c r="B595" s="144"/>
      <c r="C595" s="144"/>
      <c r="D595" s="144"/>
      <c r="E595" s="144"/>
    </row>
    <row r="596" spans="2:5">
      <c r="B596" s="144"/>
      <c r="C596" s="144"/>
      <c r="D596" s="144"/>
      <c r="E596" s="144"/>
    </row>
    <row r="597" spans="2:5">
      <c r="B597" s="144"/>
      <c r="C597" s="144"/>
      <c r="D597" s="144"/>
      <c r="E597" s="144"/>
    </row>
    <row r="598" spans="2:5">
      <c r="B598" s="144"/>
      <c r="C598" s="144"/>
      <c r="D598" s="144"/>
      <c r="E598" s="144"/>
    </row>
    <row r="599" spans="2:5">
      <c r="B599" s="144"/>
      <c r="C599" s="144"/>
      <c r="D599" s="144"/>
      <c r="E599" s="144"/>
    </row>
    <row r="600" spans="2:5">
      <c r="B600" s="144"/>
      <c r="C600" s="144"/>
      <c r="D600" s="144"/>
      <c r="E600" s="144"/>
    </row>
    <row r="601" spans="2:5">
      <c r="B601" s="144"/>
      <c r="C601" s="144"/>
      <c r="D601" s="144"/>
      <c r="E601" s="144"/>
    </row>
    <row r="602" spans="2:5">
      <c r="B602" s="144"/>
      <c r="C602" s="144"/>
      <c r="D602" s="144"/>
      <c r="E602" s="144"/>
    </row>
    <row r="603" spans="2:5">
      <c r="B603" s="144"/>
      <c r="C603" s="144"/>
      <c r="D603" s="144"/>
      <c r="E603" s="144"/>
    </row>
    <row r="604" spans="2:5">
      <c r="B604" s="144"/>
      <c r="C604" s="144"/>
      <c r="D604" s="144"/>
      <c r="E604" s="144"/>
    </row>
    <row r="605" spans="2:5">
      <c r="B605" s="144"/>
      <c r="C605" s="144"/>
      <c r="D605" s="144"/>
      <c r="E605" s="144"/>
    </row>
    <row r="606" spans="2:5">
      <c r="B606" s="144"/>
      <c r="C606" s="144"/>
      <c r="D606" s="144"/>
      <c r="E606" s="144"/>
    </row>
    <row r="607" spans="2:5">
      <c r="B607" s="144"/>
      <c r="C607" s="144"/>
      <c r="D607" s="144"/>
      <c r="E607" s="144"/>
    </row>
    <row r="608" spans="2:5">
      <c r="B608" s="144"/>
      <c r="C608" s="144"/>
      <c r="D608" s="144"/>
      <c r="E608" s="144"/>
    </row>
    <row r="609" spans="2:5">
      <c r="B609" s="144"/>
      <c r="C609" s="144"/>
      <c r="D609" s="144"/>
      <c r="E609" s="144"/>
    </row>
    <row r="610" spans="2:5">
      <c r="B610" s="144"/>
      <c r="C610" s="144"/>
      <c r="D610" s="144"/>
      <c r="E610" s="144"/>
    </row>
    <row r="611" spans="2:5">
      <c r="B611" s="144"/>
      <c r="C611" s="144"/>
      <c r="D611" s="144"/>
      <c r="E611" s="144"/>
    </row>
    <row r="612" spans="2:5">
      <c r="B612" s="144"/>
      <c r="C612" s="144"/>
      <c r="D612" s="144"/>
      <c r="E612" s="144"/>
    </row>
    <row r="613" spans="2:5">
      <c r="B613" s="144"/>
      <c r="C613" s="144"/>
      <c r="D613" s="144"/>
      <c r="E613" s="144"/>
    </row>
    <row r="614" spans="2:5">
      <c r="B614" s="144"/>
      <c r="C614" s="144"/>
      <c r="D614" s="144"/>
      <c r="E614" s="144"/>
    </row>
    <row r="615" spans="2:5">
      <c r="B615" s="144"/>
      <c r="C615" s="144"/>
      <c r="D615" s="144"/>
      <c r="E615" s="144"/>
    </row>
    <row r="616" spans="2:5">
      <c r="B616" s="144"/>
      <c r="C616" s="144"/>
      <c r="D616" s="144"/>
      <c r="E616" s="144"/>
    </row>
    <row r="617" spans="2:5">
      <c r="B617" s="144"/>
      <c r="C617" s="144"/>
      <c r="D617" s="144"/>
      <c r="E617" s="144"/>
    </row>
    <row r="618" spans="2:5">
      <c r="B618" s="144"/>
      <c r="C618" s="144"/>
      <c r="D618" s="144"/>
      <c r="E618" s="144"/>
    </row>
    <row r="619" spans="2:5">
      <c r="B619" s="144"/>
      <c r="C619" s="144"/>
      <c r="D619" s="144"/>
      <c r="E619" s="144"/>
    </row>
    <row r="620" spans="2:5">
      <c r="B620" s="144"/>
      <c r="C620" s="144"/>
      <c r="D620" s="144"/>
      <c r="E620" s="144"/>
    </row>
    <row r="621" spans="2:5">
      <c r="B621" s="144"/>
      <c r="C621" s="144"/>
      <c r="D621" s="144"/>
      <c r="E621" s="144"/>
    </row>
    <row r="622" spans="2:5">
      <c r="B622" s="144"/>
      <c r="C622" s="144"/>
      <c r="D622" s="144"/>
      <c r="E622" s="144"/>
    </row>
    <row r="623" spans="2:5">
      <c r="B623" s="144"/>
      <c r="C623" s="144"/>
      <c r="D623" s="144"/>
      <c r="E623" s="144"/>
    </row>
    <row r="624" spans="2:5">
      <c r="B624" s="144"/>
      <c r="C624" s="144"/>
      <c r="D624" s="144"/>
      <c r="E624" s="144"/>
    </row>
    <row r="625" spans="2:5">
      <c r="B625" s="144"/>
      <c r="C625" s="144"/>
      <c r="D625" s="144"/>
      <c r="E625" s="144"/>
    </row>
    <row r="626" spans="2:5">
      <c r="B626" s="144"/>
      <c r="C626" s="144"/>
      <c r="D626" s="144"/>
      <c r="E626" s="144"/>
    </row>
    <row r="627" spans="2:5">
      <c r="B627" s="144"/>
      <c r="C627" s="144"/>
      <c r="D627" s="144"/>
      <c r="E627" s="144"/>
    </row>
    <row r="628" spans="2:5">
      <c r="B628" s="144"/>
      <c r="C628" s="144"/>
      <c r="D628" s="144"/>
      <c r="E628" s="144"/>
    </row>
    <row r="629" spans="2:5">
      <c r="B629" s="144"/>
      <c r="C629" s="144"/>
      <c r="D629" s="144"/>
      <c r="E629" s="144"/>
    </row>
    <row r="630" spans="2:5">
      <c r="B630" s="144"/>
      <c r="C630" s="144"/>
      <c r="D630" s="144"/>
      <c r="E630" s="144"/>
    </row>
    <row r="631" spans="2:5">
      <c r="B631" s="144"/>
      <c r="C631" s="144"/>
      <c r="D631" s="144"/>
      <c r="E631" s="144"/>
    </row>
    <row r="632" spans="2:5">
      <c r="B632" s="144"/>
      <c r="C632" s="144"/>
      <c r="D632" s="144"/>
      <c r="E632" s="144"/>
    </row>
    <row r="633" spans="2:5">
      <c r="B633" s="144"/>
      <c r="C633" s="144"/>
      <c r="D633" s="144"/>
      <c r="E633" s="144"/>
    </row>
    <row r="634" spans="2:5">
      <c r="B634" s="144"/>
      <c r="C634" s="144"/>
      <c r="D634" s="144"/>
      <c r="E634" s="144"/>
    </row>
    <row r="635" spans="2:5">
      <c r="B635" s="144"/>
      <c r="C635" s="144"/>
      <c r="D635" s="144"/>
      <c r="E635" s="144"/>
    </row>
    <row r="636" spans="2:5">
      <c r="B636" s="144"/>
      <c r="C636" s="144"/>
      <c r="D636" s="144"/>
      <c r="E636" s="144"/>
    </row>
    <row r="637" spans="2:5">
      <c r="B637" s="144"/>
      <c r="C637" s="144"/>
      <c r="D637" s="144"/>
      <c r="E637" s="144"/>
    </row>
    <row r="638" spans="2:5">
      <c r="B638" s="144"/>
      <c r="C638" s="144"/>
      <c r="D638" s="144"/>
      <c r="E638" s="144"/>
    </row>
    <row r="639" spans="2:5">
      <c r="B639" s="144"/>
      <c r="C639" s="144"/>
      <c r="D639" s="144"/>
      <c r="E639" s="144"/>
    </row>
    <row r="640" spans="2:5">
      <c r="B640" s="144"/>
      <c r="C640" s="144"/>
      <c r="D640" s="144"/>
      <c r="E640" s="144"/>
    </row>
    <row r="641" spans="2:5">
      <c r="B641" s="144"/>
      <c r="C641" s="144"/>
      <c r="D641" s="144"/>
      <c r="E641" s="144"/>
    </row>
    <row r="642" spans="2:5">
      <c r="B642" s="144"/>
      <c r="C642" s="144"/>
      <c r="D642" s="144"/>
      <c r="E642" s="144"/>
    </row>
    <row r="643" spans="2:5">
      <c r="B643" s="144"/>
      <c r="C643" s="144"/>
      <c r="D643" s="144"/>
      <c r="E643" s="144"/>
    </row>
    <row r="644" spans="2:5">
      <c r="B644" s="144"/>
      <c r="C644" s="144"/>
      <c r="D644" s="144"/>
      <c r="E644" s="144"/>
    </row>
    <row r="645" spans="2:5">
      <c r="B645" s="144"/>
      <c r="C645" s="144"/>
      <c r="D645" s="144"/>
      <c r="E645" s="144"/>
    </row>
    <row r="646" spans="2:5">
      <c r="B646" s="144"/>
      <c r="C646" s="144"/>
      <c r="D646" s="144"/>
      <c r="E646" s="144"/>
    </row>
    <row r="647" spans="2:5">
      <c r="B647" s="144"/>
      <c r="C647" s="144"/>
      <c r="D647" s="144"/>
      <c r="E647" s="144"/>
    </row>
    <row r="648" spans="2:5">
      <c r="B648" s="144"/>
      <c r="C648" s="144"/>
      <c r="D648" s="144"/>
      <c r="E648" s="144"/>
    </row>
    <row r="649" spans="2:5">
      <c r="B649" s="144"/>
      <c r="C649" s="144"/>
      <c r="D649" s="144"/>
      <c r="E649" s="144"/>
    </row>
    <row r="650" spans="2:5">
      <c r="B650" s="144"/>
      <c r="C650" s="144"/>
      <c r="D650" s="144"/>
      <c r="E650" s="144"/>
    </row>
    <row r="651" spans="2:5">
      <c r="B651" s="144"/>
      <c r="C651" s="144"/>
      <c r="D651" s="144"/>
      <c r="E651" s="144"/>
    </row>
    <row r="652" spans="2:5">
      <c r="B652" s="144"/>
      <c r="C652" s="144"/>
      <c r="D652" s="144"/>
      <c r="E652" s="144"/>
    </row>
    <row r="653" spans="2:5">
      <c r="B653" s="144"/>
      <c r="C653" s="144"/>
      <c r="D653" s="144"/>
      <c r="E653" s="144"/>
    </row>
    <row r="654" spans="2:5">
      <c r="B654" s="144"/>
      <c r="C654" s="144"/>
      <c r="D654" s="144"/>
      <c r="E654" s="144"/>
    </row>
    <row r="655" spans="2:5">
      <c r="B655" s="144"/>
      <c r="C655" s="144"/>
      <c r="D655" s="144"/>
      <c r="E655" s="144"/>
    </row>
    <row r="656" spans="2:5">
      <c r="B656" s="144"/>
      <c r="C656" s="144"/>
      <c r="D656" s="144"/>
      <c r="E656" s="144"/>
    </row>
    <row r="657" spans="2:5">
      <c r="B657" s="144"/>
      <c r="C657" s="144"/>
      <c r="D657" s="144"/>
      <c r="E657" s="144"/>
    </row>
    <row r="658" spans="2:5">
      <c r="B658" s="144"/>
      <c r="C658" s="144"/>
      <c r="D658" s="144"/>
      <c r="E658" s="144"/>
    </row>
    <row r="659" spans="2:5">
      <c r="B659" s="144"/>
      <c r="C659" s="144"/>
      <c r="D659" s="144"/>
      <c r="E659" s="144"/>
    </row>
    <row r="660" spans="2:5">
      <c r="B660" s="144"/>
      <c r="C660" s="144"/>
      <c r="D660" s="144"/>
      <c r="E660" s="144"/>
    </row>
    <row r="661" spans="2:5">
      <c r="B661" s="144"/>
      <c r="C661" s="144"/>
      <c r="D661" s="144"/>
      <c r="E661" s="144"/>
    </row>
    <row r="662" spans="2:5">
      <c r="B662" s="144"/>
      <c r="C662" s="144"/>
      <c r="D662" s="144"/>
      <c r="E662" s="144"/>
    </row>
    <row r="663" spans="2:5">
      <c r="B663" s="144"/>
      <c r="C663" s="144"/>
      <c r="D663" s="144"/>
      <c r="E663" s="144"/>
    </row>
    <row r="664" spans="2:5">
      <c r="B664" s="144"/>
      <c r="C664" s="144"/>
      <c r="D664" s="144"/>
      <c r="E664" s="144"/>
    </row>
    <row r="665" spans="2:5">
      <c r="B665" s="144"/>
      <c r="C665" s="144"/>
      <c r="D665" s="144"/>
      <c r="E665" s="144"/>
    </row>
    <row r="666" spans="2:5">
      <c r="B666" s="144"/>
      <c r="C666" s="144"/>
      <c r="D666" s="144"/>
      <c r="E666" s="144"/>
    </row>
    <row r="667" spans="2:5">
      <c r="B667" s="144"/>
      <c r="C667" s="144"/>
      <c r="D667" s="144"/>
      <c r="E667" s="144"/>
    </row>
    <row r="668" spans="2:5">
      <c r="B668" s="144"/>
      <c r="C668" s="144"/>
      <c r="D668" s="144"/>
      <c r="E668" s="144"/>
    </row>
    <row r="669" spans="2:5">
      <c r="B669" s="144"/>
      <c r="C669" s="144"/>
      <c r="D669" s="144"/>
      <c r="E669" s="144"/>
    </row>
    <row r="670" spans="2:5">
      <c r="B670" s="144"/>
      <c r="C670" s="144"/>
      <c r="D670" s="144"/>
      <c r="E670" s="144"/>
    </row>
    <row r="671" spans="2:5">
      <c r="B671" s="144"/>
      <c r="C671" s="144"/>
      <c r="D671" s="144"/>
      <c r="E671" s="144"/>
    </row>
    <row r="672" spans="2:5">
      <c r="B672" s="144"/>
      <c r="C672" s="144"/>
      <c r="D672" s="144"/>
      <c r="E672" s="144"/>
    </row>
    <row r="673" spans="2:5">
      <c r="B673" s="144"/>
      <c r="C673" s="144"/>
      <c r="D673" s="144"/>
      <c r="E673" s="144"/>
    </row>
    <row r="674" spans="2:5">
      <c r="B674" s="144"/>
      <c r="C674" s="144"/>
      <c r="D674" s="144"/>
      <c r="E674" s="144"/>
    </row>
    <row r="675" spans="2:5">
      <c r="B675" s="144"/>
      <c r="C675" s="144"/>
      <c r="D675" s="144"/>
      <c r="E675" s="144"/>
    </row>
    <row r="676" spans="2:5">
      <c r="B676" s="144"/>
      <c r="C676" s="144"/>
      <c r="D676" s="144"/>
      <c r="E676" s="144"/>
    </row>
    <row r="677" spans="2:5">
      <c r="B677" s="144"/>
      <c r="C677" s="144"/>
      <c r="D677" s="144"/>
      <c r="E677" s="144"/>
    </row>
    <row r="678" spans="2:5">
      <c r="B678" s="144"/>
      <c r="C678" s="144"/>
      <c r="D678" s="144"/>
      <c r="E678" s="144"/>
    </row>
    <row r="679" spans="2:5">
      <c r="B679" s="144"/>
      <c r="C679" s="144"/>
      <c r="D679" s="144"/>
      <c r="E679" s="144"/>
    </row>
    <row r="680" spans="2:5">
      <c r="B680" s="144"/>
      <c r="C680" s="144"/>
      <c r="D680" s="144"/>
      <c r="E680" s="144"/>
    </row>
    <row r="681" spans="2:5">
      <c r="B681" s="144"/>
      <c r="C681" s="144"/>
      <c r="D681" s="144"/>
      <c r="E681" s="144"/>
    </row>
    <row r="682" spans="2:5">
      <c r="B682" s="144"/>
      <c r="C682" s="144"/>
      <c r="D682" s="144"/>
      <c r="E682" s="144"/>
    </row>
    <row r="683" spans="2:5">
      <c r="B683" s="144"/>
      <c r="C683" s="144"/>
      <c r="D683" s="144"/>
      <c r="E683" s="144"/>
    </row>
    <row r="684" spans="2:5">
      <c r="B684" s="144"/>
      <c r="C684" s="144"/>
      <c r="D684" s="144"/>
      <c r="E684" s="144"/>
    </row>
    <row r="685" spans="2:5">
      <c r="B685" s="144"/>
      <c r="C685" s="144"/>
      <c r="D685" s="144"/>
      <c r="E685" s="144"/>
    </row>
    <row r="686" spans="2:5">
      <c r="B686" s="144"/>
      <c r="C686" s="144"/>
      <c r="D686" s="144"/>
      <c r="E686" s="144"/>
    </row>
    <row r="687" spans="2:5">
      <c r="B687" s="144"/>
      <c r="C687" s="144"/>
      <c r="D687" s="144"/>
      <c r="E687" s="144"/>
    </row>
    <row r="688" spans="2:5">
      <c r="B688" s="144"/>
      <c r="C688" s="144"/>
      <c r="D688" s="144"/>
      <c r="E688" s="144"/>
    </row>
    <row r="689" spans="2:5">
      <c r="B689" s="144"/>
      <c r="C689" s="144"/>
      <c r="D689" s="144"/>
      <c r="E689" s="144"/>
    </row>
    <row r="690" spans="2:5">
      <c r="B690" s="144"/>
      <c r="C690" s="144"/>
      <c r="D690" s="144"/>
      <c r="E690" s="144"/>
    </row>
    <row r="691" spans="2:5">
      <c r="B691" s="144"/>
      <c r="C691" s="144"/>
      <c r="D691" s="144"/>
      <c r="E691" s="144"/>
    </row>
    <row r="692" spans="2:5">
      <c r="B692" s="144"/>
      <c r="C692" s="144"/>
      <c r="D692" s="144"/>
      <c r="E692" s="144"/>
    </row>
    <row r="693" spans="2:5">
      <c r="B693" s="144"/>
      <c r="C693" s="144"/>
      <c r="D693" s="144"/>
      <c r="E693" s="144"/>
    </row>
    <row r="694" spans="2:5">
      <c r="B694" s="144"/>
      <c r="C694" s="144"/>
      <c r="D694" s="144"/>
      <c r="E694" s="144"/>
    </row>
    <row r="695" spans="2:5">
      <c r="B695" s="144"/>
      <c r="C695" s="144"/>
      <c r="D695" s="144"/>
      <c r="E695" s="144"/>
    </row>
    <row r="696" spans="2:5">
      <c r="B696" s="144"/>
      <c r="C696" s="144"/>
      <c r="D696" s="144"/>
      <c r="E696" s="144"/>
    </row>
    <row r="697" spans="2:5">
      <c r="B697" s="144"/>
      <c r="C697" s="144"/>
      <c r="D697" s="144"/>
      <c r="E697" s="144"/>
    </row>
    <row r="698" spans="2:5">
      <c r="B698" s="144"/>
      <c r="C698" s="144"/>
      <c r="D698" s="144"/>
      <c r="E698" s="144"/>
    </row>
    <row r="699" spans="2:5">
      <c r="B699" s="144"/>
      <c r="C699" s="144"/>
      <c r="D699" s="144"/>
      <c r="E699" s="144"/>
    </row>
    <row r="700" spans="2:5">
      <c r="B700" s="144"/>
      <c r="C700" s="144"/>
      <c r="D700" s="144"/>
      <c r="E700" s="144"/>
    </row>
    <row r="701" spans="2:5">
      <c r="B701" s="144"/>
      <c r="C701" s="144"/>
      <c r="D701" s="144"/>
      <c r="E701" s="144"/>
    </row>
    <row r="702" spans="2:5">
      <c r="B702" s="144"/>
      <c r="C702" s="144"/>
      <c r="D702" s="144"/>
      <c r="E702" s="144"/>
    </row>
    <row r="703" spans="2:5">
      <c r="B703" s="144"/>
      <c r="C703" s="144"/>
      <c r="D703" s="144"/>
      <c r="E703" s="144"/>
    </row>
    <row r="704" spans="2:5">
      <c r="B704" s="144"/>
      <c r="C704" s="144"/>
      <c r="D704" s="144"/>
      <c r="E704" s="144"/>
    </row>
    <row r="705" spans="2:5">
      <c r="B705" s="144"/>
      <c r="C705" s="144"/>
      <c r="D705" s="144"/>
      <c r="E705" s="144"/>
    </row>
    <row r="706" spans="2:5">
      <c r="B706" s="144"/>
      <c r="C706" s="144"/>
      <c r="D706" s="144"/>
      <c r="E706" s="144"/>
    </row>
    <row r="707" spans="2:5">
      <c r="B707" s="144"/>
      <c r="C707" s="144"/>
      <c r="D707" s="144"/>
      <c r="E707" s="144"/>
    </row>
    <row r="708" spans="2:5">
      <c r="B708" s="144"/>
      <c r="C708" s="144"/>
      <c r="D708" s="144"/>
      <c r="E708" s="144"/>
    </row>
    <row r="709" spans="2:5">
      <c r="B709" s="144"/>
      <c r="C709" s="144"/>
      <c r="D709" s="144"/>
      <c r="E709" s="144"/>
    </row>
    <row r="710" spans="2:5">
      <c r="B710" s="144"/>
      <c r="C710" s="144"/>
      <c r="D710" s="144"/>
      <c r="E710" s="144"/>
    </row>
    <row r="711" spans="2:5">
      <c r="B711" s="144"/>
      <c r="C711" s="144"/>
      <c r="D711" s="144"/>
      <c r="E711" s="144"/>
    </row>
    <row r="712" spans="2:5">
      <c r="B712" s="144"/>
      <c r="C712" s="144"/>
      <c r="D712" s="144"/>
      <c r="E712" s="144"/>
    </row>
    <row r="713" spans="2:5">
      <c r="B713" s="144"/>
      <c r="C713" s="144"/>
      <c r="D713" s="144"/>
      <c r="E713" s="144"/>
    </row>
    <row r="714" spans="2:5">
      <c r="B714" s="144"/>
      <c r="C714" s="144"/>
      <c r="D714" s="144"/>
      <c r="E714" s="144"/>
    </row>
    <row r="715" spans="2:5">
      <c r="B715" s="144"/>
      <c r="C715" s="144"/>
      <c r="D715" s="144"/>
      <c r="E715" s="144"/>
    </row>
    <row r="716" spans="2:5">
      <c r="B716" s="144"/>
      <c r="C716" s="144"/>
      <c r="D716" s="144"/>
      <c r="E716" s="144"/>
    </row>
    <row r="717" spans="2:5">
      <c r="B717" s="144"/>
      <c r="C717" s="144"/>
      <c r="D717" s="144"/>
      <c r="E717" s="144"/>
    </row>
    <row r="718" spans="2:5">
      <c r="B718" s="144"/>
      <c r="C718" s="144"/>
      <c r="D718" s="144"/>
      <c r="E718" s="144"/>
    </row>
    <row r="719" spans="2:5">
      <c r="B719" s="144"/>
      <c r="C719" s="144"/>
      <c r="D719" s="144"/>
      <c r="E719" s="144"/>
    </row>
    <row r="720" spans="2:5">
      <c r="B720" s="144"/>
      <c r="C720" s="144"/>
      <c r="D720" s="144"/>
      <c r="E720" s="144"/>
    </row>
    <row r="721" spans="2:5">
      <c r="B721" s="144"/>
      <c r="C721" s="144"/>
      <c r="D721" s="144"/>
      <c r="E721" s="144"/>
    </row>
    <row r="722" spans="2:5">
      <c r="B722" s="144"/>
      <c r="C722" s="144"/>
      <c r="D722" s="144"/>
      <c r="E722" s="144"/>
    </row>
    <row r="723" spans="2:5">
      <c r="B723" s="144"/>
      <c r="C723" s="144"/>
      <c r="D723" s="144"/>
      <c r="E723" s="144"/>
    </row>
    <row r="724" spans="2:5">
      <c r="B724" s="144"/>
      <c r="C724" s="144"/>
      <c r="D724" s="144"/>
      <c r="E724" s="144"/>
    </row>
    <row r="725" spans="2:5">
      <c r="B725" s="144"/>
      <c r="C725" s="144"/>
      <c r="D725" s="144"/>
      <c r="E725" s="144"/>
    </row>
    <row r="726" spans="2:5">
      <c r="B726" s="144"/>
      <c r="C726" s="144"/>
      <c r="D726" s="144"/>
      <c r="E726" s="144"/>
    </row>
    <row r="727" spans="2:5">
      <c r="B727" s="144"/>
      <c r="C727" s="144"/>
      <c r="D727" s="144"/>
      <c r="E727" s="144"/>
    </row>
    <row r="728" spans="2:5">
      <c r="B728" s="144"/>
      <c r="C728" s="144"/>
      <c r="D728" s="144"/>
      <c r="E728" s="144"/>
    </row>
    <row r="729" spans="2:5">
      <c r="B729" s="144"/>
      <c r="C729" s="144"/>
      <c r="D729" s="144"/>
      <c r="E729" s="144"/>
    </row>
    <row r="730" spans="2:5">
      <c r="B730" s="144"/>
      <c r="C730" s="144"/>
      <c r="D730" s="144"/>
      <c r="E730" s="144"/>
    </row>
    <row r="731" spans="2:5">
      <c r="B731" s="144"/>
      <c r="C731" s="144"/>
      <c r="D731" s="144"/>
      <c r="E731" s="144"/>
    </row>
    <row r="732" spans="2:5">
      <c r="B732" s="144"/>
      <c r="C732" s="144"/>
      <c r="D732" s="144"/>
      <c r="E732" s="144"/>
    </row>
    <row r="733" spans="2:5">
      <c r="B733" s="144"/>
      <c r="C733" s="144"/>
      <c r="D733" s="144"/>
      <c r="E733" s="144"/>
    </row>
    <row r="734" spans="2:5">
      <c r="B734" s="144"/>
      <c r="C734" s="144"/>
      <c r="D734" s="144"/>
      <c r="E734" s="144"/>
    </row>
    <row r="735" spans="2:5">
      <c r="B735" s="144"/>
      <c r="C735" s="144"/>
      <c r="D735" s="144"/>
      <c r="E735" s="144"/>
    </row>
    <row r="736" spans="2:5">
      <c r="B736" s="144"/>
      <c r="C736" s="144"/>
      <c r="D736" s="144"/>
      <c r="E736" s="144"/>
    </row>
    <row r="737" spans="2:5">
      <c r="B737" s="144"/>
      <c r="C737" s="144"/>
      <c r="D737" s="144"/>
      <c r="E737" s="144"/>
    </row>
    <row r="738" spans="2:5">
      <c r="B738" s="144"/>
      <c r="C738" s="144"/>
      <c r="D738" s="144"/>
      <c r="E738" s="144"/>
    </row>
    <row r="739" spans="2:5">
      <c r="B739" s="144"/>
      <c r="C739" s="144"/>
      <c r="D739" s="144"/>
      <c r="E739" s="144"/>
    </row>
    <row r="740" spans="2:5">
      <c r="B740" s="144"/>
      <c r="C740" s="144"/>
      <c r="D740" s="144"/>
      <c r="E740" s="144"/>
    </row>
    <row r="741" spans="2:5">
      <c r="B741" s="144"/>
      <c r="C741" s="144"/>
      <c r="D741" s="144"/>
      <c r="E741" s="144"/>
    </row>
    <row r="742" spans="2:5">
      <c r="B742" s="144"/>
      <c r="C742" s="144"/>
      <c r="D742" s="144"/>
      <c r="E742" s="144"/>
    </row>
    <row r="743" spans="2:5">
      <c r="B743" s="144"/>
      <c r="C743" s="144"/>
      <c r="D743" s="144"/>
      <c r="E743" s="144"/>
    </row>
    <row r="744" spans="2:5">
      <c r="B744" s="144"/>
      <c r="C744" s="144"/>
      <c r="D744" s="144"/>
      <c r="E744" s="144"/>
    </row>
    <row r="745" spans="2:5">
      <c r="B745" s="144"/>
      <c r="C745" s="144"/>
      <c r="D745" s="144"/>
      <c r="E745" s="144"/>
    </row>
    <row r="746" spans="2:5">
      <c r="B746" s="144"/>
      <c r="C746" s="144"/>
      <c r="D746" s="144"/>
      <c r="E746" s="144"/>
    </row>
    <row r="747" spans="2:5">
      <c r="B747" s="144"/>
      <c r="C747" s="144"/>
      <c r="D747" s="144"/>
      <c r="E747" s="144"/>
    </row>
    <row r="748" spans="2:5">
      <c r="B748" s="144"/>
      <c r="C748" s="144"/>
      <c r="D748" s="144"/>
      <c r="E748" s="144"/>
    </row>
    <row r="749" spans="2:5">
      <c r="B749" s="144"/>
      <c r="C749" s="144"/>
      <c r="D749" s="144"/>
      <c r="E749" s="144"/>
    </row>
    <row r="750" spans="2:5">
      <c r="B750" s="144"/>
      <c r="C750" s="144"/>
      <c r="D750" s="144"/>
      <c r="E750" s="144"/>
    </row>
    <row r="751" spans="2:5">
      <c r="B751" s="144"/>
      <c r="C751" s="144"/>
      <c r="D751" s="144"/>
      <c r="E751" s="144"/>
    </row>
    <row r="752" spans="2:5">
      <c r="B752" s="144"/>
      <c r="C752" s="144"/>
      <c r="D752" s="144"/>
      <c r="E752" s="144"/>
    </row>
    <row r="753" spans="2:5">
      <c r="B753" s="144"/>
      <c r="C753" s="144"/>
      <c r="D753" s="144"/>
      <c r="E753" s="144"/>
    </row>
    <row r="754" spans="2:5">
      <c r="B754" s="144"/>
      <c r="C754" s="144"/>
      <c r="D754" s="144"/>
      <c r="E754" s="144"/>
    </row>
    <row r="755" spans="2:5">
      <c r="B755" s="144"/>
      <c r="C755" s="144"/>
      <c r="D755" s="144"/>
      <c r="E755" s="144"/>
    </row>
    <row r="756" spans="2:5">
      <c r="B756" s="144"/>
      <c r="C756" s="144"/>
      <c r="D756" s="144"/>
      <c r="E756" s="144"/>
    </row>
    <row r="757" spans="2:5">
      <c r="B757" s="144"/>
      <c r="C757" s="144"/>
      <c r="D757" s="144"/>
      <c r="E757" s="144"/>
    </row>
    <row r="758" spans="2:5">
      <c r="B758" s="144"/>
      <c r="C758" s="144"/>
      <c r="D758" s="144"/>
      <c r="E758" s="144"/>
    </row>
    <row r="759" spans="2:5">
      <c r="B759" s="144"/>
      <c r="C759" s="144"/>
      <c r="D759" s="144"/>
      <c r="E759" s="144"/>
    </row>
    <row r="760" spans="2:5">
      <c r="B760" s="144"/>
      <c r="C760" s="144"/>
      <c r="D760" s="144"/>
      <c r="E760" s="144"/>
    </row>
    <row r="761" spans="2:5">
      <c r="B761" s="144"/>
      <c r="C761" s="144"/>
      <c r="D761" s="144"/>
      <c r="E761" s="144"/>
    </row>
    <row r="762" spans="2:5">
      <c r="B762" s="144"/>
      <c r="C762" s="144"/>
      <c r="D762" s="144"/>
      <c r="E762" s="144"/>
    </row>
    <row r="763" spans="2:5">
      <c r="B763" s="144"/>
      <c r="C763" s="144"/>
      <c r="D763" s="144"/>
      <c r="E763" s="144"/>
    </row>
    <row r="764" spans="2:5">
      <c r="B764" s="144"/>
      <c r="C764" s="144"/>
      <c r="D764" s="144"/>
      <c r="E764" s="144"/>
    </row>
    <row r="765" spans="2:5">
      <c r="B765" s="144"/>
      <c r="C765" s="144"/>
      <c r="D765" s="144"/>
      <c r="E765" s="144"/>
    </row>
    <row r="766" spans="2:5">
      <c r="B766" s="144"/>
      <c r="C766" s="144"/>
      <c r="D766" s="144"/>
      <c r="E766" s="144"/>
    </row>
    <row r="767" spans="2:5">
      <c r="B767" s="144"/>
      <c r="C767" s="144"/>
      <c r="D767" s="144"/>
      <c r="E767" s="144"/>
    </row>
    <row r="768" spans="2:5">
      <c r="B768" s="144"/>
      <c r="C768" s="144"/>
      <c r="D768" s="144"/>
      <c r="E768" s="144"/>
    </row>
    <row r="769" spans="2:5">
      <c r="B769" s="144"/>
      <c r="C769" s="144"/>
      <c r="D769" s="144"/>
      <c r="E769" s="144"/>
    </row>
    <row r="770" spans="2:5">
      <c r="B770" s="144"/>
      <c r="C770" s="144"/>
      <c r="D770" s="144"/>
      <c r="E770" s="144"/>
    </row>
    <row r="771" spans="2:5">
      <c r="B771" s="144"/>
      <c r="C771" s="144"/>
      <c r="D771" s="144"/>
      <c r="E771" s="144"/>
    </row>
    <row r="772" spans="2:5">
      <c r="B772" s="144"/>
      <c r="C772" s="144"/>
      <c r="D772" s="144"/>
      <c r="E772" s="144"/>
    </row>
    <row r="773" spans="2:5">
      <c r="B773" s="144"/>
      <c r="C773" s="144"/>
      <c r="D773" s="144"/>
      <c r="E773" s="144"/>
    </row>
    <row r="774" spans="2:5">
      <c r="B774" s="144"/>
      <c r="C774" s="144"/>
      <c r="D774" s="144"/>
      <c r="E774" s="144"/>
    </row>
    <row r="775" spans="2:5">
      <c r="B775" s="144"/>
      <c r="C775" s="144"/>
      <c r="D775" s="144"/>
      <c r="E775" s="144"/>
    </row>
    <row r="776" spans="2:5">
      <c r="B776" s="144"/>
      <c r="C776" s="144"/>
      <c r="D776" s="144"/>
      <c r="E776" s="144"/>
    </row>
    <row r="777" spans="2:5">
      <c r="B777" s="144"/>
      <c r="C777" s="144"/>
      <c r="D777" s="144"/>
      <c r="E777" s="144"/>
    </row>
    <row r="778" spans="2:5">
      <c r="B778" s="144"/>
      <c r="C778" s="144"/>
      <c r="D778" s="144"/>
      <c r="E778" s="144"/>
    </row>
    <row r="779" spans="2:5">
      <c r="B779" s="144"/>
      <c r="C779" s="144"/>
      <c r="D779" s="144"/>
      <c r="E779" s="144"/>
    </row>
    <row r="780" spans="2:5">
      <c r="B780" s="144"/>
      <c r="C780" s="144"/>
      <c r="D780" s="144"/>
      <c r="E780" s="144"/>
    </row>
    <row r="781" spans="2:5">
      <c r="B781" s="144"/>
      <c r="C781" s="144"/>
      <c r="D781" s="144"/>
      <c r="E781" s="144"/>
    </row>
    <row r="782" spans="2:5">
      <c r="B782" s="144"/>
      <c r="C782" s="144"/>
      <c r="D782" s="144"/>
      <c r="E782" s="144"/>
    </row>
    <row r="783" spans="2:5">
      <c r="B783" s="144"/>
      <c r="C783" s="144"/>
      <c r="D783" s="144"/>
      <c r="E783" s="144"/>
    </row>
    <row r="784" spans="2:5">
      <c r="B784" s="144"/>
      <c r="C784" s="144"/>
      <c r="D784" s="144"/>
      <c r="E784" s="144"/>
    </row>
    <row r="785" spans="2:5">
      <c r="B785" s="144"/>
      <c r="C785" s="144"/>
      <c r="D785" s="144"/>
      <c r="E785" s="144"/>
    </row>
    <row r="786" spans="2:5">
      <c r="B786" s="144"/>
      <c r="C786" s="144"/>
      <c r="D786" s="144"/>
      <c r="E786" s="144"/>
    </row>
    <row r="787" spans="2:5">
      <c r="B787" s="144"/>
      <c r="C787" s="144"/>
      <c r="D787" s="144"/>
      <c r="E787" s="144"/>
    </row>
    <row r="788" spans="2:5">
      <c r="B788" s="144"/>
      <c r="C788" s="144"/>
      <c r="D788" s="144"/>
      <c r="E788" s="144"/>
    </row>
    <row r="789" spans="2:5">
      <c r="B789" s="144"/>
      <c r="C789" s="144"/>
      <c r="D789" s="144"/>
      <c r="E789" s="144"/>
    </row>
    <row r="790" spans="2:5">
      <c r="B790" s="144"/>
      <c r="C790" s="144"/>
      <c r="D790" s="144"/>
      <c r="E790" s="144"/>
    </row>
    <row r="791" spans="2:5">
      <c r="B791" s="144"/>
      <c r="C791" s="144"/>
      <c r="D791" s="144"/>
      <c r="E791" s="144"/>
    </row>
    <row r="792" spans="2:5">
      <c r="B792" s="144"/>
      <c r="C792" s="144"/>
      <c r="D792" s="144"/>
      <c r="E792" s="144"/>
    </row>
    <row r="793" spans="2:5">
      <c r="B793" s="144"/>
      <c r="C793" s="144"/>
      <c r="D793" s="144"/>
      <c r="E793" s="144"/>
    </row>
    <row r="794" spans="2:5">
      <c r="B794" s="144"/>
      <c r="C794" s="144"/>
      <c r="D794" s="144"/>
      <c r="E794" s="144"/>
    </row>
    <row r="795" spans="2:5">
      <c r="B795" s="144"/>
      <c r="C795" s="144"/>
      <c r="D795" s="144"/>
      <c r="E795" s="144"/>
    </row>
    <row r="796" spans="2:5">
      <c r="B796" s="144"/>
      <c r="C796" s="144"/>
      <c r="D796" s="144"/>
      <c r="E796" s="144"/>
    </row>
    <row r="797" spans="2:5">
      <c r="B797" s="144"/>
      <c r="C797" s="144"/>
      <c r="D797" s="144"/>
      <c r="E797" s="144"/>
    </row>
    <row r="798" spans="2:5">
      <c r="B798" s="144"/>
      <c r="C798" s="144"/>
      <c r="D798" s="144"/>
      <c r="E798" s="144"/>
    </row>
    <row r="799" spans="2:5">
      <c r="B799" s="144"/>
      <c r="C799" s="144"/>
      <c r="D799" s="144"/>
      <c r="E799" s="144"/>
    </row>
    <row r="800" spans="2:5">
      <c r="B800" s="144"/>
      <c r="C800" s="144"/>
      <c r="D800" s="144"/>
      <c r="E800" s="144"/>
    </row>
    <row r="801" spans="2:5">
      <c r="B801" s="144"/>
      <c r="C801" s="144"/>
      <c r="D801" s="144"/>
      <c r="E801" s="144"/>
    </row>
    <row r="802" spans="2:5">
      <c r="B802" s="144"/>
      <c r="C802" s="144"/>
      <c r="D802" s="144"/>
      <c r="E802" s="144"/>
    </row>
    <row r="803" spans="2:5">
      <c r="B803" s="144"/>
      <c r="C803" s="144"/>
      <c r="D803" s="144"/>
      <c r="E803" s="144"/>
    </row>
    <row r="804" spans="2:5">
      <c r="B804" s="144"/>
      <c r="C804" s="144"/>
      <c r="D804" s="144"/>
      <c r="E804" s="144"/>
    </row>
    <row r="805" spans="2:5">
      <c r="B805" s="144"/>
      <c r="C805" s="144"/>
      <c r="D805" s="144"/>
      <c r="E805" s="144"/>
    </row>
    <row r="806" spans="2:5">
      <c r="B806" s="144"/>
      <c r="C806" s="144"/>
      <c r="D806" s="144"/>
      <c r="E806" s="144"/>
    </row>
    <row r="807" spans="2:5">
      <c r="B807" s="144"/>
      <c r="C807" s="144"/>
      <c r="D807" s="144"/>
      <c r="E807" s="144"/>
    </row>
    <row r="808" spans="2:5">
      <c r="B808" s="144"/>
      <c r="C808" s="144"/>
      <c r="D808" s="144"/>
      <c r="E808" s="144"/>
    </row>
    <row r="809" spans="2:5">
      <c r="B809" s="144"/>
      <c r="C809" s="144"/>
      <c r="D809" s="144"/>
      <c r="E809" s="144"/>
    </row>
    <row r="810" spans="2:5">
      <c r="B810" s="144"/>
      <c r="C810" s="144"/>
      <c r="D810" s="144"/>
      <c r="E810" s="144"/>
    </row>
    <row r="811" spans="2:5">
      <c r="B811" s="144"/>
      <c r="C811" s="144"/>
      <c r="D811" s="144"/>
      <c r="E811" s="144"/>
    </row>
    <row r="812" spans="2:5">
      <c r="B812" s="144"/>
      <c r="C812" s="144"/>
      <c r="D812" s="144"/>
      <c r="E812" s="144"/>
    </row>
    <row r="813" spans="2:5">
      <c r="B813" s="144"/>
      <c r="C813" s="144"/>
      <c r="D813" s="144"/>
      <c r="E813" s="144"/>
    </row>
    <row r="814" spans="2:5">
      <c r="B814" s="144"/>
      <c r="C814" s="144"/>
      <c r="D814" s="144"/>
      <c r="E814" s="144"/>
    </row>
    <row r="815" spans="2:5">
      <c r="B815" s="144"/>
      <c r="C815" s="144"/>
      <c r="D815" s="144"/>
      <c r="E815" s="144"/>
    </row>
    <row r="816" spans="2:5">
      <c r="B816" s="144"/>
      <c r="C816" s="144"/>
      <c r="D816" s="144"/>
      <c r="E816" s="144"/>
    </row>
    <row r="817" spans="2:5">
      <c r="B817" s="144"/>
      <c r="C817" s="144"/>
      <c r="D817" s="144"/>
      <c r="E817" s="144"/>
    </row>
    <row r="818" spans="2:5">
      <c r="B818" s="144"/>
      <c r="C818" s="144"/>
      <c r="D818" s="144"/>
      <c r="E818" s="144"/>
    </row>
    <row r="819" spans="2:5">
      <c r="B819" s="144"/>
      <c r="C819" s="144"/>
      <c r="D819" s="144"/>
      <c r="E819" s="144"/>
    </row>
    <row r="820" spans="2:5">
      <c r="B820" s="144"/>
      <c r="C820" s="144"/>
      <c r="D820" s="144"/>
      <c r="E820" s="144"/>
    </row>
    <row r="821" spans="2:5">
      <c r="B821" s="144"/>
      <c r="C821" s="144"/>
      <c r="D821" s="144"/>
      <c r="E821" s="144"/>
    </row>
    <row r="822" spans="2:5">
      <c r="B822" s="144"/>
      <c r="C822" s="144"/>
      <c r="D822" s="144"/>
      <c r="E822" s="144"/>
    </row>
    <row r="823" spans="2:5">
      <c r="B823" s="144"/>
      <c r="C823" s="144"/>
      <c r="D823" s="144"/>
      <c r="E823" s="144"/>
    </row>
    <row r="824" spans="2:5">
      <c r="B824" s="144"/>
      <c r="C824" s="144"/>
      <c r="D824" s="144"/>
      <c r="E824" s="144"/>
    </row>
    <row r="825" spans="2:5">
      <c r="B825" s="144"/>
      <c r="C825" s="144"/>
      <c r="D825" s="144"/>
      <c r="E825" s="144"/>
    </row>
    <row r="826" spans="2:5">
      <c r="B826" s="144"/>
      <c r="C826" s="144"/>
      <c r="D826" s="144"/>
      <c r="E826" s="144"/>
    </row>
    <row r="827" spans="2:5">
      <c r="B827" s="144"/>
      <c r="C827" s="144"/>
      <c r="D827" s="144"/>
      <c r="E827" s="144"/>
    </row>
    <row r="828" spans="2:5">
      <c r="B828" s="144"/>
      <c r="C828" s="144"/>
      <c r="D828" s="144"/>
      <c r="E828" s="144"/>
    </row>
    <row r="829" spans="2:5">
      <c r="B829" s="144"/>
      <c r="C829" s="144"/>
      <c r="D829" s="144"/>
      <c r="E829" s="144"/>
    </row>
    <row r="830" spans="2:5">
      <c r="B830" s="144"/>
      <c r="C830" s="144"/>
      <c r="D830" s="144"/>
      <c r="E830" s="144"/>
    </row>
    <row r="831" spans="2:5">
      <c r="B831" s="144"/>
      <c r="C831" s="144"/>
      <c r="D831" s="144"/>
      <c r="E831" s="144"/>
    </row>
    <row r="832" spans="2:5">
      <c r="B832" s="144"/>
      <c r="C832" s="144"/>
      <c r="D832" s="144"/>
      <c r="E832" s="144"/>
    </row>
    <row r="833" spans="2:5">
      <c r="B833" s="144"/>
      <c r="C833" s="144"/>
      <c r="D833" s="144"/>
      <c r="E833" s="144"/>
    </row>
    <row r="834" spans="2:5">
      <c r="B834" s="144"/>
      <c r="C834" s="144"/>
      <c r="D834" s="144"/>
      <c r="E834" s="144"/>
    </row>
    <row r="835" spans="2:5">
      <c r="B835" s="144"/>
      <c r="C835" s="144"/>
      <c r="D835" s="144"/>
      <c r="E835" s="144"/>
    </row>
    <row r="836" spans="2:5">
      <c r="B836" s="144"/>
      <c r="C836" s="144"/>
      <c r="D836" s="144"/>
      <c r="E836" s="144"/>
    </row>
    <row r="837" spans="2:5">
      <c r="B837" s="144"/>
      <c r="C837" s="144"/>
      <c r="D837" s="144"/>
      <c r="E837" s="144"/>
    </row>
    <row r="838" spans="2:5">
      <c r="B838" s="144"/>
      <c r="C838" s="144"/>
      <c r="D838" s="144"/>
      <c r="E838" s="144"/>
    </row>
    <row r="839" spans="2:5">
      <c r="B839" s="144"/>
      <c r="C839" s="144"/>
      <c r="D839" s="144"/>
      <c r="E839" s="144"/>
    </row>
    <row r="840" spans="2:5">
      <c r="B840" s="144"/>
      <c r="C840" s="144"/>
      <c r="D840" s="144"/>
      <c r="E840" s="144"/>
    </row>
    <row r="841" spans="2:5">
      <c r="B841" s="144"/>
      <c r="C841" s="144"/>
      <c r="D841" s="144"/>
      <c r="E841" s="144"/>
    </row>
    <row r="842" spans="2:5">
      <c r="B842" s="144"/>
      <c r="C842" s="144"/>
      <c r="D842" s="144"/>
      <c r="E842" s="144"/>
    </row>
    <row r="843" spans="2:5">
      <c r="B843" s="144"/>
      <c r="C843" s="144"/>
      <c r="D843" s="144"/>
      <c r="E843" s="144"/>
    </row>
    <row r="844" spans="2:5">
      <c r="B844" s="144"/>
      <c r="C844" s="144"/>
      <c r="D844" s="144"/>
      <c r="E844" s="144"/>
    </row>
    <row r="845" spans="2:5">
      <c r="B845" s="144"/>
      <c r="C845" s="144"/>
      <c r="D845" s="144"/>
      <c r="E845" s="144"/>
    </row>
    <row r="846" spans="2:5">
      <c r="B846" s="144"/>
      <c r="C846" s="144"/>
      <c r="D846" s="144"/>
      <c r="E846" s="144"/>
    </row>
    <row r="847" spans="2:5">
      <c r="B847" s="144"/>
      <c r="C847" s="144"/>
      <c r="D847" s="144"/>
      <c r="E847" s="144"/>
    </row>
    <row r="848" spans="2:5">
      <c r="B848" s="144"/>
      <c r="C848" s="144"/>
      <c r="D848" s="144"/>
      <c r="E848" s="144"/>
    </row>
    <row r="849" spans="2:5">
      <c r="B849" s="144"/>
      <c r="C849" s="144"/>
      <c r="D849" s="144"/>
      <c r="E849" s="144"/>
    </row>
    <row r="850" spans="2:5">
      <c r="B850" s="144"/>
      <c r="C850" s="144"/>
      <c r="D850" s="144"/>
      <c r="E850" s="144"/>
    </row>
    <row r="851" spans="2:5">
      <c r="B851" s="144"/>
      <c r="C851" s="144"/>
      <c r="D851" s="144"/>
      <c r="E851" s="144"/>
    </row>
    <row r="852" spans="2:5">
      <c r="B852" s="144"/>
      <c r="C852" s="144"/>
      <c r="D852" s="144"/>
      <c r="E852" s="144"/>
    </row>
    <row r="853" spans="2:5">
      <c r="B853" s="144"/>
      <c r="C853" s="144"/>
      <c r="D853" s="144"/>
      <c r="E853" s="144"/>
    </row>
    <row r="854" spans="2:5">
      <c r="B854" s="144"/>
      <c r="C854" s="144"/>
      <c r="D854" s="144"/>
      <c r="E854" s="144"/>
    </row>
    <row r="855" spans="2:5">
      <c r="B855" s="144"/>
      <c r="C855" s="144"/>
      <c r="D855" s="144"/>
      <c r="E855" s="144"/>
    </row>
    <row r="856" spans="2:5">
      <c r="B856" s="144"/>
      <c r="C856" s="144"/>
      <c r="D856" s="144"/>
      <c r="E856" s="144"/>
    </row>
    <row r="857" spans="2:5">
      <c r="B857" s="144"/>
      <c r="C857" s="144"/>
      <c r="D857" s="144"/>
      <c r="E857" s="144"/>
    </row>
    <row r="858" spans="2:5">
      <c r="B858" s="144"/>
      <c r="C858" s="144"/>
      <c r="D858" s="144"/>
      <c r="E858" s="144"/>
    </row>
    <row r="859" spans="2:5">
      <c r="B859" s="144"/>
      <c r="C859" s="144"/>
      <c r="D859" s="144"/>
      <c r="E859" s="144"/>
    </row>
    <row r="860" spans="2:5">
      <c r="B860" s="144"/>
      <c r="C860" s="144"/>
      <c r="D860" s="144"/>
      <c r="E860" s="144"/>
    </row>
    <row r="861" spans="2:5">
      <c r="B861" s="144"/>
      <c r="C861" s="144"/>
      <c r="D861" s="144"/>
      <c r="E861" s="144"/>
    </row>
    <row r="862" spans="2:5">
      <c r="B862" s="144"/>
      <c r="C862" s="144"/>
      <c r="D862" s="144"/>
      <c r="E862" s="144"/>
    </row>
    <row r="863" spans="2:5">
      <c r="B863" s="144"/>
      <c r="C863" s="144"/>
      <c r="D863" s="144"/>
      <c r="E863" s="144"/>
    </row>
    <row r="864" spans="2:5">
      <c r="B864" s="144"/>
      <c r="C864" s="144"/>
      <c r="D864" s="144"/>
      <c r="E864" s="144"/>
    </row>
    <row r="865" spans="2:5">
      <c r="B865" s="144"/>
      <c r="C865" s="144"/>
      <c r="D865" s="144"/>
      <c r="E865" s="144"/>
    </row>
    <row r="866" spans="2:5">
      <c r="B866" s="144"/>
      <c r="C866" s="144"/>
      <c r="D866" s="144"/>
      <c r="E866" s="144"/>
    </row>
    <row r="867" spans="2:5">
      <c r="B867" s="144"/>
      <c r="C867" s="144"/>
      <c r="D867" s="144"/>
      <c r="E867" s="144"/>
    </row>
    <row r="868" spans="2:5">
      <c r="B868" s="144"/>
      <c r="C868" s="144"/>
      <c r="D868" s="144"/>
      <c r="E868" s="144"/>
    </row>
    <row r="869" spans="2:5">
      <c r="B869" s="144"/>
      <c r="C869" s="144"/>
      <c r="D869" s="144"/>
      <c r="E869" s="144"/>
    </row>
    <row r="870" spans="2:5">
      <c r="B870" s="144"/>
      <c r="C870" s="144"/>
      <c r="D870" s="144"/>
      <c r="E870" s="144"/>
    </row>
    <row r="871" spans="2:5">
      <c r="B871" s="144"/>
      <c r="C871" s="144"/>
      <c r="D871" s="144"/>
      <c r="E871" s="144"/>
    </row>
    <row r="872" spans="2:5">
      <c r="B872" s="144"/>
      <c r="C872" s="144"/>
      <c r="D872" s="144"/>
      <c r="E872" s="144"/>
    </row>
    <row r="873" spans="2:5">
      <c r="B873" s="144"/>
      <c r="C873" s="144"/>
      <c r="D873" s="144"/>
      <c r="E873" s="144"/>
    </row>
    <row r="874" spans="2:5">
      <c r="B874" s="144"/>
      <c r="C874" s="144"/>
      <c r="D874" s="144"/>
      <c r="E874" s="144"/>
    </row>
    <row r="875" spans="2:5">
      <c r="B875" s="144"/>
      <c r="C875" s="144"/>
      <c r="D875" s="144"/>
      <c r="E875" s="144"/>
    </row>
    <row r="876" spans="2:5">
      <c r="B876" s="144"/>
      <c r="C876" s="144"/>
      <c r="D876" s="144"/>
      <c r="E876" s="144"/>
    </row>
    <row r="877" spans="2:5">
      <c r="B877" s="144"/>
      <c r="C877" s="144"/>
      <c r="D877" s="144"/>
      <c r="E877" s="144"/>
    </row>
    <row r="878" spans="2:5">
      <c r="B878" s="144"/>
      <c r="C878" s="144"/>
      <c r="D878" s="144"/>
      <c r="E878" s="144"/>
    </row>
    <row r="879" spans="2:5">
      <c r="B879" s="144"/>
      <c r="C879" s="144"/>
      <c r="D879" s="144"/>
      <c r="E879" s="144"/>
    </row>
    <row r="880" spans="2:5">
      <c r="B880" s="144"/>
      <c r="C880" s="144"/>
      <c r="D880" s="144"/>
      <c r="E880" s="144"/>
    </row>
    <row r="881" spans="2:5">
      <c r="B881" s="144"/>
      <c r="C881" s="144"/>
      <c r="D881" s="144"/>
      <c r="E881" s="144"/>
    </row>
    <row r="882" spans="2:5">
      <c r="B882" s="144"/>
      <c r="C882" s="144"/>
      <c r="D882" s="144"/>
      <c r="E882" s="144"/>
    </row>
    <row r="883" spans="2:5">
      <c r="B883" s="144"/>
      <c r="C883" s="144"/>
      <c r="D883" s="144"/>
      <c r="E883" s="144"/>
    </row>
    <row r="884" spans="2:5">
      <c r="B884" s="144"/>
      <c r="C884" s="144"/>
      <c r="D884" s="144"/>
      <c r="E884" s="144"/>
    </row>
    <row r="885" spans="2:5">
      <c r="B885" s="144"/>
      <c r="C885" s="144"/>
      <c r="D885" s="144"/>
      <c r="E885" s="144"/>
    </row>
    <row r="886" spans="2:5">
      <c r="B886" s="144"/>
      <c r="C886" s="144"/>
      <c r="D886" s="144"/>
      <c r="E886" s="144"/>
    </row>
    <row r="887" spans="2:5">
      <c r="B887" s="144"/>
      <c r="C887" s="144"/>
      <c r="D887" s="144"/>
      <c r="E887" s="144"/>
    </row>
    <row r="888" spans="2:5">
      <c r="B888" s="144"/>
      <c r="C888" s="144"/>
      <c r="D888" s="144"/>
      <c r="E888" s="144"/>
    </row>
    <row r="889" spans="2:5">
      <c r="B889" s="144"/>
      <c r="C889" s="144"/>
      <c r="D889" s="144"/>
      <c r="E889" s="144"/>
    </row>
    <row r="890" spans="2:5">
      <c r="B890" s="144"/>
      <c r="C890" s="144"/>
      <c r="D890" s="144"/>
      <c r="E890" s="144"/>
    </row>
    <row r="891" spans="2:5">
      <c r="B891" s="144"/>
      <c r="C891" s="144"/>
      <c r="D891" s="144"/>
      <c r="E891" s="144"/>
    </row>
    <row r="892" spans="2:5">
      <c r="B892" s="144"/>
      <c r="C892" s="144"/>
      <c r="D892" s="144"/>
      <c r="E892" s="144"/>
    </row>
    <row r="893" spans="2:5">
      <c r="B893" s="144"/>
      <c r="C893" s="144"/>
      <c r="D893" s="144"/>
      <c r="E893" s="144"/>
    </row>
    <row r="894" spans="2:5">
      <c r="B894" s="144"/>
      <c r="C894" s="144"/>
      <c r="D894" s="144"/>
      <c r="E894" s="144"/>
    </row>
    <row r="895" spans="2:5">
      <c r="B895" s="144"/>
      <c r="C895" s="144"/>
      <c r="D895" s="144"/>
      <c r="E895" s="144"/>
    </row>
    <row r="896" spans="2:5">
      <c r="B896" s="144"/>
      <c r="C896" s="144"/>
      <c r="D896" s="144"/>
      <c r="E896" s="144"/>
    </row>
    <row r="897" spans="2:5">
      <c r="B897" s="144"/>
      <c r="C897" s="144"/>
      <c r="D897" s="144"/>
      <c r="E897" s="144"/>
    </row>
    <row r="898" spans="2:5">
      <c r="B898" s="144"/>
      <c r="C898" s="144"/>
      <c r="D898" s="144"/>
      <c r="E898" s="144"/>
    </row>
    <row r="899" spans="2:5">
      <c r="B899" s="144"/>
      <c r="C899" s="144"/>
      <c r="D899" s="144"/>
      <c r="E899" s="144"/>
    </row>
    <row r="900" spans="2:5">
      <c r="B900" s="144"/>
      <c r="C900" s="144"/>
      <c r="D900" s="144"/>
      <c r="E900" s="144"/>
    </row>
    <row r="901" spans="2:5">
      <c r="B901" s="144"/>
      <c r="C901" s="144"/>
      <c r="D901" s="144"/>
      <c r="E901" s="144"/>
    </row>
    <row r="902" spans="2:5">
      <c r="B902" s="144"/>
      <c r="C902" s="144"/>
      <c r="D902" s="144"/>
      <c r="E902" s="144"/>
    </row>
    <row r="903" spans="2:5">
      <c r="B903" s="144"/>
      <c r="C903" s="144"/>
      <c r="D903" s="144"/>
      <c r="E903" s="144"/>
    </row>
    <row r="904" spans="2:5">
      <c r="B904" s="144"/>
      <c r="C904" s="144"/>
      <c r="D904" s="144"/>
      <c r="E904" s="144"/>
    </row>
    <row r="905" spans="2:5">
      <c r="B905" s="144"/>
      <c r="C905" s="144"/>
      <c r="D905" s="144"/>
      <c r="E905" s="144"/>
    </row>
    <row r="906" spans="2:5">
      <c r="B906" s="144"/>
      <c r="C906" s="144"/>
      <c r="D906" s="144"/>
      <c r="E906" s="144"/>
    </row>
    <row r="907" spans="2:5">
      <c r="B907" s="144"/>
      <c r="C907" s="144"/>
      <c r="D907" s="144"/>
      <c r="E907" s="144"/>
    </row>
    <row r="908" spans="2:5">
      <c r="B908" s="144"/>
      <c r="C908" s="144"/>
      <c r="D908" s="144"/>
      <c r="E908" s="144"/>
    </row>
    <row r="909" spans="2:5">
      <c r="B909" s="144"/>
      <c r="C909" s="144"/>
      <c r="D909" s="144"/>
      <c r="E909" s="144"/>
    </row>
    <row r="910" spans="2:5">
      <c r="B910" s="144"/>
      <c r="C910" s="144"/>
      <c r="D910" s="144"/>
      <c r="E910" s="144"/>
    </row>
    <row r="911" spans="2:5">
      <c r="B911" s="144"/>
      <c r="C911" s="144"/>
      <c r="D911" s="144"/>
      <c r="E911" s="144"/>
    </row>
    <row r="912" spans="2:5">
      <c r="B912" s="144"/>
      <c r="C912" s="144"/>
      <c r="D912" s="144"/>
      <c r="E912" s="144"/>
    </row>
    <row r="913" spans="2:5">
      <c r="B913" s="144"/>
      <c r="C913" s="144"/>
      <c r="D913" s="144"/>
      <c r="E913" s="144"/>
    </row>
    <row r="914" spans="2:5">
      <c r="B914" s="144"/>
      <c r="C914" s="144"/>
      <c r="D914" s="144"/>
      <c r="E914" s="144"/>
    </row>
    <row r="915" spans="2:5">
      <c r="B915" s="144"/>
      <c r="C915" s="144"/>
      <c r="D915" s="144"/>
      <c r="E915" s="144"/>
    </row>
    <row r="916" spans="2:5">
      <c r="B916" s="144"/>
      <c r="C916" s="144"/>
      <c r="D916" s="144"/>
      <c r="E916" s="144"/>
    </row>
    <row r="917" spans="2:5">
      <c r="B917" s="144"/>
      <c r="C917" s="144"/>
      <c r="D917" s="144"/>
      <c r="E917" s="144"/>
    </row>
    <row r="918" spans="2:5">
      <c r="B918" s="144"/>
      <c r="C918" s="144"/>
      <c r="D918" s="144"/>
      <c r="E918" s="144"/>
    </row>
    <row r="919" spans="2:5">
      <c r="B919" s="144"/>
      <c r="C919" s="144"/>
      <c r="D919" s="144"/>
      <c r="E919" s="144"/>
    </row>
    <row r="920" spans="2:5">
      <c r="B920" s="144"/>
      <c r="C920" s="144"/>
      <c r="D920" s="144"/>
      <c r="E920" s="144"/>
    </row>
    <row r="921" spans="2:5">
      <c r="B921" s="144"/>
      <c r="C921" s="144"/>
      <c r="D921" s="144"/>
      <c r="E921" s="144"/>
    </row>
    <row r="922" spans="2:5">
      <c r="B922" s="144"/>
      <c r="C922" s="144"/>
      <c r="D922" s="144"/>
      <c r="E922" s="144"/>
    </row>
    <row r="923" spans="2:5">
      <c r="B923" s="144"/>
      <c r="C923" s="144"/>
      <c r="D923" s="144"/>
      <c r="E923" s="144"/>
    </row>
    <row r="924" spans="2:5">
      <c r="B924" s="144"/>
      <c r="C924" s="144"/>
      <c r="D924" s="144"/>
      <c r="E924" s="144"/>
    </row>
    <row r="925" spans="2:5">
      <c r="B925" s="144"/>
      <c r="C925" s="144"/>
      <c r="D925" s="144"/>
      <c r="E925" s="144"/>
    </row>
    <row r="926" spans="2:5">
      <c r="B926" s="144"/>
      <c r="C926" s="144"/>
      <c r="D926" s="144"/>
      <c r="E926" s="144"/>
    </row>
    <row r="927" spans="2:5">
      <c r="B927" s="144"/>
      <c r="C927" s="144"/>
      <c r="D927" s="144"/>
      <c r="E927" s="144"/>
    </row>
    <row r="928" spans="2:5">
      <c r="B928" s="144"/>
      <c r="C928" s="144"/>
      <c r="D928" s="144"/>
      <c r="E928" s="144"/>
    </row>
    <row r="929" spans="2:5">
      <c r="B929" s="144"/>
      <c r="C929" s="144"/>
      <c r="D929" s="144"/>
      <c r="E929" s="144"/>
    </row>
    <row r="930" spans="2:5">
      <c r="B930" s="144"/>
      <c r="C930" s="144"/>
      <c r="D930" s="144"/>
      <c r="E930" s="144"/>
    </row>
    <row r="931" spans="2:5">
      <c r="B931" s="144"/>
      <c r="C931" s="144"/>
      <c r="D931" s="144"/>
      <c r="E931" s="144"/>
    </row>
    <row r="932" spans="2:5">
      <c r="B932" s="144"/>
      <c r="C932" s="144"/>
      <c r="D932" s="144"/>
      <c r="E932" s="144"/>
    </row>
    <row r="933" spans="2:5">
      <c r="B933" s="144"/>
      <c r="C933" s="144"/>
      <c r="D933" s="144"/>
      <c r="E933" s="144"/>
    </row>
    <row r="934" spans="2:5">
      <c r="B934" s="144"/>
      <c r="C934" s="144"/>
      <c r="D934" s="144"/>
      <c r="E934" s="144"/>
    </row>
    <row r="935" spans="2:5">
      <c r="B935" s="144"/>
      <c r="C935" s="144"/>
      <c r="D935" s="144"/>
      <c r="E935" s="144"/>
    </row>
    <row r="936" spans="2:5">
      <c r="B936" s="144"/>
      <c r="C936" s="144"/>
      <c r="D936" s="144"/>
      <c r="E936" s="144"/>
    </row>
    <row r="937" spans="2:5">
      <c r="B937" s="144"/>
      <c r="C937" s="144"/>
      <c r="D937" s="144"/>
      <c r="E937" s="144"/>
    </row>
    <row r="938" spans="2:5">
      <c r="B938" s="144"/>
      <c r="C938" s="144"/>
      <c r="D938" s="144"/>
      <c r="E938" s="144"/>
    </row>
    <row r="939" spans="2:5">
      <c r="B939" s="144"/>
      <c r="C939" s="144"/>
      <c r="D939" s="144"/>
      <c r="E939" s="144"/>
    </row>
    <row r="940" spans="2:5">
      <c r="B940" s="144"/>
      <c r="C940" s="144"/>
      <c r="D940" s="144"/>
      <c r="E940" s="144"/>
    </row>
    <row r="941" spans="2:5">
      <c r="B941" s="144"/>
      <c r="C941" s="144"/>
      <c r="D941" s="144"/>
      <c r="E941" s="144"/>
    </row>
    <row r="942" spans="2:5">
      <c r="B942" s="144"/>
      <c r="C942" s="144"/>
      <c r="D942" s="144"/>
      <c r="E942" s="144"/>
    </row>
    <row r="943" spans="2:5">
      <c r="B943" s="144"/>
      <c r="C943" s="144"/>
      <c r="D943" s="144"/>
      <c r="E943" s="144"/>
    </row>
    <row r="944" spans="2:5">
      <c r="B944" s="144"/>
      <c r="C944" s="144"/>
      <c r="D944" s="144"/>
      <c r="E944" s="144"/>
    </row>
    <row r="945" spans="2:5">
      <c r="B945" s="144"/>
      <c r="C945" s="144"/>
      <c r="D945" s="144"/>
      <c r="E945" s="144"/>
    </row>
    <row r="946" spans="2:5">
      <c r="B946" s="144"/>
      <c r="C946" s="144"/>
      <c r="D946" s="144"/>
      <c r="E946" s="144"/>
    </row>
    <row r="947" spans="2:5">
      <c r="B947" s="144"/>
      <c r="C947" s="144"/>
      <c r="D947" s="144"/>
      <c r="E947" s="144"/>
    </row>
    <row r="948" spans="2:5">
      <c r="B948" s="144"/>
      <c r="C948" s="144"/>
      <c r="D948" s="144"/>
      <c r="E948" s="144"/>
    </row>
    <row r="949" spans="2:5">
      <c r="B949" s="144"/>
      <c r="C949" s="144"/>
      <c r="D949" s="144"/>
      <c r="E949" s="144"/>
    </row>
    <row r="950" spans="2:5">
      <c r="B950" s="144"/>
      <c r="C950" s="144"/>
      <c r="D950" s="144"/>
      <c r="E950" s="144"/>
    </row>
    <row r="951" spans="2:5">
      <c r="B951" s="144"/>
      <c r="C951" s="144"/>
      <c r="D951" s="144"/>
      <c r="E951" s="144"/>
    </row>
    <row r="952" spans="2:5">
      <c r="B952" s="144"/>
      <c r="C952" s="144"/>
      <c r="D952" s="144"/>
      <c r="E952" s="144"/>
    </row>
    <row r="953" spans="2:5">
      <c r="B953" s="144"/>
      <c r="C953" s="144"/>
      <c r="D953" s="144"/>
      <c r="E953" s="144"/>
    </row>
    <row r="954" spans="2:5">
      <c r="B954" s="144"/>
      <c r="C954" s="144"/>
      <c r="D954" s="144"/>
      <c r="E954" s="144"/>
    </row>
    <row r="955" spans="2:5">
      <c r="B955" s="144"/>
      <c r="C955" s="144"/>
      <c r="D955" s="144"/>
      <c r="E955" s="144"/>
    </row>
    <row r="956" spans="2:5">
      <c r="B956" s="144"/>
      <c r="C956" s="144"/>
      <c r="D956" s="144"/>
      <c r="E956" s="144"/>
    </row>
    <row r="957" spans="2:5">
      <c r="B957" s="144"/>
      <c r="C957" s="144"/>
      <c r="D957" s="144"/>
      <c r="E957" s="144"/>
    </row>
    <row r="958" spans="2:5">
      <c r="B958" s="144"/>
      <c r="C958" s="144"/>
      <c r="D958" s="144"/>
      <c r="E958" s="144"/>
    </row>
    <row r="959" spans="2:5">
      <c r="B959" s="144"/>
      <c r="C959" s="144"/>
      <c r="D959" s="144"/>
      <c r="E959" s="144"/>
    </row>
    <row r="960" spans="2:5">
      <c r="B960" s="144"/>
      <c r="C960" s="144"/>
      <c r="D960" s="144"/>
      <c r="E960" s="144"/>
    </row>
    <row r="961" spans="2:5">
      <c r="B961" s="144"/>
      <c r="C961" s="144"/>
      <c r="D961" s="144"/>
      <c r="E961" s="144"/>
    </row>
    <row r="962" spans="2:5">
      <c r="B962" s="144"/>
      <c r="C962" s="144"/>
      <c r="D962" s="144"/>
      <c r="E962" s="144"/>
    </row>
    <row r="963" spans="2:5">
      <c r="B963" s="144"/>
      <c r="C963" s="144"/>
      <c r="D963" s="144"/>
      <c r="E963" s="144"/>
    </row>
    <row r="964" spans="2:5">
      <c r="B964" s="144"/>
      <c r="C964" s="144"/>
      <c r="D964" s="144"/>
      <c r="E964" s="144"/>
    </row>
    <row r="965" spans="2:5">
      <c r="B965" s="144"/>
      <c r="C965" s="144"/>
      <c r="D965" s="144"/>
      <c r="E965" s="144"/>
    </row>
    <row r="966" spans="2:5">
      <c r="B966" s="144"/>
      <c r="C966" s="144"/>
      <c r="D966" s="144"/>
      <c r="E966" s="144"/>
    </row>
    <row r="967" spans="2:5">
      <c r="B967" s="144"/>
      <c r="C967" s="144"/>
      <c r="D967" s="144"/>
      <c r="E967" s="144"/>
    </row>
    <row r="968" spans="2:5">
      <c r="B968" s="144"/>
      <c r="C968" s="144"/>
      <c r="D968" s="144"/>
      <c r="E968" s="144"/>
    </row>
    <row r="969" spans="2:5">
      <c r="B969" s="144"/>
      <c r="C969" s="144"/>
      <c r="D969" s="144"/>
      <c r="E969" s="144"/>
    </row>
    <row r="970" spans="2:5">
      <c r="B970" s="144"/>
      <c r="C970" s="144"/>
      <c r="D970" s="144"/>
      <c r="E970" s="144"/>
    </row>
    <row r="971" spans="2:5">
      <c r="B971" s="144"/>
      <c r="C971" s="144"/>
      <c r="D971" s="144"/>
      <c r="E971" s="144"/>
    </row>
    <row r="972" spans="2:5">
      <c r="B972" s="144"/>
      <c r="C972" s="144"/>
      <c r="D972" s="144"/>
      <c r="E972" s="144"/>
    </row>
    <row r="973" spans="2:5">
      <c r="B973" s="144"/>
      <c r="C973" s="144"/>
      <c r="D973" s="144"/>
      <c r="E973" s="144"/>
    </row>
    <row r="974" spans="2:5">
      <c r="B974" s="144"/>
      <c r="C974" s="144"/>
      <c r="D974" s="144"/>
      <c r="E974" s="144"/>
    </row>
    <row r="975" spans="2:5">
      <c r="B975" s="144"/>
      <c r="C975" s="144"/>
      <c r="D975" s="144"/>
      <c r="E975" s="144"/>
    </row>
    <row r="976" spans="2:5">
      <c r="B976" s="144"/>
      <c r="C976" s="144"/>
      <c r="D976" s="144"/>
      <c r="E976" s="144"/>
    </row>
    <row r="977" spans="2:5">
      <c r="B977" s="144"/>
      <c r="C977" s="144"/>
      <c r="D977" s="144"/>
      <c r="E977" s="144"/>
    </row>
    <row r="978" spans="2:5">
      <c r="B978" s="144"/>
      <c r="C978" s="144"/>
      <c r="D978" s="144"/>
      <c r="E978" s="144"/>
    </row>
    <row r="979" spans="2:5">
      <c r="B979" s="144"/>
      <c r="C979" s="144"/>
      <c r="D979" s="144"/>
      <c r="E979" s="144"/>
    </row>
    <row r="980" spans="2:5">
      <c r="B980" s="144"/>
      <c r="C980" s="144"/>
      <c r="D980" s="144"/>
      <c r="E980" s="144"/>
    </row>
  </sheetData>
  <mergeCells count="1">
    <mergeCell ref="B2:E2"/>
  </mergeCells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defaultColWidth="11.125" defaultRowHeight="15" customHeight="1"/>
  <cols>
    <col min="1" max="1" width="13.875" customWidth="1"/>
    <col min="2" max="2" width="60.875" customWidth="1"/>
    <col min="3" max="7" width="12.125" customWidth="1"/>
    <col min="8" max="26" width="11" customWidth="1"/>
  </cols>
  <sheetData>
    <row r="1" spans="1:26" ht="15.75" customHeight="1">
      <c r="A1" s="4"/>
    </row>
    <row r="2" spans="1:26" ht="15.75" customHeight="1">
      <c r="A2" s="4"/>
    </row>
    <row r="3" spans="1:26" ht="15.75" customHeight="1">
      <c r="A3" s="4"/>
    </row>
    <row r="4" spans="1:26" ht="15.75" customHeight="1">
      <c r="A4" s="4"/>
    </row>
    <row r="5" spans="1:26" ht="15.75" customHeight="1">
      <c r="A5" s="5"/>
      <c r="B5" s="6" t="s">
        <v>49</v>
      </c>
      <c r="C5" s="7">
        <v>4</v>
      </c>
      <c r="D5" s="7">
        <v>3</v>
      </c>
      <c r="E5" s="7">
        <v>2</v>
      </c>
      <c r="F5" s="7">
        <v>1</v>
      </c>
      <c r="G5" s="7">
        <v>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31.5" customHeight="1">
      <c r="A6" s="4" t="s">
        <v>37</v>
      </c>
      <c r="B6" s="9" t="s">
        <v>50</v>
      </c>
      <c r="C6" s="448" t="s">
        <v>51</v>
      </c>
      <c r="D6" s="444" t="s">
        <v>52</v>
      </c>
      <c r="E6" s="445"/>
      <c r="F6" s="444" t="s">
        <v>53</v>
      </c>
      <c r="G6" s="445"/>
    </row>
    <row r="7" spans="1:26" ht="24" customHeight="1">
      <c r="A7" s="4"/>
      <c r="B7" s="10"/>
      <c r="C7" s="449"/>
      <c r="D7" s="450" t="s">
        <v>54</v>
      </c>
      <c r="E7" s="447"/>
      <c r="F7" s="446"/>
      <c r="G7" s="447"/>
    </row>
    <row r="8" spans="1:26" ht="36" customHeight="1">
      <c r="A8" s="4"/>
      <c r="B8" s="10" t="s">
        <v>55</v>
      </c>
      <c r="C8" s="449"/>
      <c r="D8" s="450" t="s">
        <v>56</v>
      </c>
      <c r="E8" s="447"/>
      <c r="F8" s="446"/>
      <c r="G8" s="447"/>
    </row>
    <row r="9" spans="1:26" ht="24.75" customHeight="1">
      <c r="A9" s="4"/>
      <c r="B9" s="11"/>
      <c r="C9" s="449"/>
      <c r="D9" s="450" t="s">
        <v>57</v>
      </c>
      <c r="E9" s="447"/>
      <c r="F9" s="446"/>
      <c r="G9" s="447"/>
    </row>
    <row r="10" spans="1:26" ht="36" customHeight="1">
      <c r="A10" s="4" t="s">
        <v>40</v>
      </c>
      <c r="B10" s="9" t="s">
        <v>58</v>
      </c>
      <c r="C10" s="448" t="s">
        <v>59</v>
      </c>
      <c r="D10" s="444" t="s">
        <v>60</v>
      </c>
      <c r="E10" s="452"/>
      <c r="F10" s="445"/>
      <c r="G10" s="448" t="s">
        <v>61</v>
      </c>
    </row>
    <row r="11" spans="1:26" ht="15.75" customHeight="1">
      <c r="A11" s="4"/>
      <c r="B11" s="10"/>
      <c r="C11" s="449"/>
      <c r="D11" s="446"/>
      <c r="E11" s="453"/>
      <c r="F11" s="447"/>
      <c r="G11" s="449"/>
    </row>
    <row r="12" spans="1:26" ht="15.75" customHeight="1">
      <c r="A12" s="4"/>
      <c r="B12" s="10" t="s">
        <v>62</v>
      </c>
      <c r="C12" s="449"/>
      <c r="D12" s="446"/>
      <c r="E12" s="453"/>
      <c r="F12" s="447"/>
      <c r="G12" s="449"/>
    </row>
    <row r="13" spans="1:26" ht="15.75" customHeight="1">
      <c r="A13" s="4"/>
      <c r="B13" s="10" t="s">
        <v>63</v>
      </c>
      <c r="C13" s="449"/>
      <c r="D13" s="446"/>
      <c r="E13" s="453"/>
      <c r="F13" s="447"/>
      <c r="G13" s="449"/>
    </row>
    <row r="14" spans="1:26" ht="15.75" customHeight="1">
      <c r="A14" s="4"/>
      <c r="B14" s="10"/>
      <c r="C14" s="449"/>
      <c r="D14" s="446"/>
      <c r="E14" s="453"/>
      <c r="F14" s="447"/>
      <c r="G14" s="449"/>
    </row>
    <row r="15" spans="1:26" ht="15.75" customHeight="1">
      <c r="A15" s="4"/>
      <c r="B15" s="10"/>
      <c r="C15" s="449"/>
      <c r="D15" s="446"/>
      <c r="E15" s="453"/>
      <c r="F15" s="447"/>
      <c r="G15" s="449"/>
    </row>
    <row r="16" spans="1:26" ht="15.75" customHeight="1">
      <c r="A16" s="4"/>
      <c r="B16" s="10" t="s">
        <v>64</v>
      </c>
      <c r="C16" s="449"/>
      <c r="D16" s="446"/>
      <c r="E16" s="453"/>
      <c r="F16" s="447"/>
      <c r="G16" s="449"/>
    </row>
    <row r="17" spans="1:7" ht="15.75" customHeight="1">
      <c r="A17" s="4"/>
      <c r="B17" s="12" t="s">
        <v>65</v>
      </c>
      <c r="C17" s="449"/>
      <c r="D17" s="446"/>
      <c r="E17" s="453"/>
      <c r="F17" s="447"/>
      <c r="G17" s="449"/>
    </row>
    <row r="18" spans="1:7" ht="15.75" customHeight="1">
      <c r="A18" s="4"/>
      <c r="B18" s="12" t="s">
        <v>66</v>
      </c>
      <c r="C18" s="449"/>
      <c r="D18" s="446"/>
      <c r="E18" s="453"/>
      <c r="F18" s="447"/>
      <c r="G18" s="449"/>
    </row>
    <row r="19" spans="1:7" ht="15.75" customHeight="1">
      <c r="A19" s="4"/>
      <c r="B19" s="12" t="s">
        <v>67</v>
      </c>
      <c r="C19" s="449"/>
      <c r="D19" s="446"/>
      <c r="E19" s="453"/>
      <c r="F19" s="447"/>
      <c r="G19" s="449"/>
    </row>
    <row r="20" spans="1:7" ht="15.75" customHeight="1">
      <c r="A20" s="4"/>
      <c r="B20" s="12" t="s">
        <v>68</v>
      </c>
      <c r="C20" s="449"/>
      <c r="D20" s="446"/>
      <c r="E20" s="453"/>
      <c r="F20" s="447"/>
      <c r="G20" s="449"/>
    </row>
    <row r="21" spans="1:7" ht="15.75" customHeight="1">
      <c r="A21" s="4"/>
      <c r="B21" s="12"/>
      <c r="C21" s="449"/>
      <c r="D21" s="446"/>
      <c r="E21" s="453"/>
      <c r="F21" s="447"/>
      <c r="G21" s="449"/>
    </row>
    <row r="22" spans="1:7" ht="24" customHeight="1">
      <c r="A22" s="4" t="s">
        <v>41</v>
      </c>
      <c r="B22" s="9" t="s">
        <v>69</v>
      </c>
      <c r="C22" s="448" t="s">
        <v>70</v>
      </c>
      <c r="D22" s="444" t="s">
        <v>71</v>
      </c>
      <c r="E22" s="452"/>
      <c r="F22" s="445"/>
      <c r="G22" s="448" t="s">
        <v>61</v>
      </c>
    </row>
    <row r="23" spans="1:7" ht="15.75" customHeight="1">
      <c r="A23" s="4"/>
      <c r="B23" s="10"/>
      <c r="C23" s="449"/>
      <c r="D23" s="446"/>
      <c r="E23" s="453"/>
      <c r="F23" s="447"/>
      <c r="G23" s="449"/>
    </row>
    <row r="24" spans="1:7" ht="15.75" customHeight="1">
      <c r="A24" s="4"/>
      <c r="B24" s="10" t="s">
        <v>62</v>
      </c>
      <c r="C24" s="449"/>
      <c r="D24" s="446"/>
      <c r="E24" s="453"/>
      <c r="F24" s="447"/>
      <c r="G24" s="449"/>
    </row>
    <row r="25" spans="1:7" ht="15.75" customHeight="1">
      <c r="A25" s="4"/>
      <c r="B25" s="10" t="s">
        <v>63</v>
      </c>
      <c r="C25" s="449"/>
      <c r="D25" s="446"/>
      <c r="E25" s="453"/>
      <c r="F25" s="447"/>
      <c r="G25" s="449"/>
    </row>
    <row r="26" spans="1:7" ht="15.75" customHeight="1">
      <c r="A26" s="4"/>
      <c r="B26" s="10"/>
      <c r="C26" s="449"/>
      <c r="D26" s="446"/>
      <c r="E26" s="453"/>
      <c r="F26" s="447"/>
      <c r="G26" s="449"/>
    </row>
    <row r="27" spans="1:7" ht="15.75" customHeight="1">
      <c r="A27" s="4"/>
      <c r="B27" s="10" t="s">
        <v>64</v>
      </c>
      <c r="C27" s="449"/>
      <c r="D27" s="446"/>
      <c r="E27" s="453"/>
      <c r="F27" s="447"/>
      <c r="G27" s="449"/>
    </row>
    <row r="28" spans="1:7" ht="15.75" customHeight="1">
      <c r="A28" s="4"/>
      <c r="B28" s="12" t="s">
        <v>72</v>
      </c>
      <c r="C28" s="449"/>
      <c r="D28" s="446"/>
      <c r="E28" s="453"/>
      <c r="F28" s="447"/>
      <c r="G28" s="449"/>
    </row>
    <row r="29" spans="1:7" ht="15.75" customHeight="1">
      <c r="A29" s="4"/>
      <c r="B29" s="12" t="s">
        <v>73</v>
      </c>
      <c r="C29" s="449"/>
      <c r="D29" s="446"/>
      <c r="E29" s="453"/>
      <c r="F29" s="447"/>
      <c r="G29" s="449"/>
    </row>
    <row r="30" spans="1:7" ht="15.75" customHeight="1">
      <c r="A30" s="4"/>
      <c r="B30" s="12" t="s">
        <v>74</v>
      </c>
      <c r="C30" s="449"/>
      <c r="D30" s="446"/>
      <c r="E30" s="453"/>
      <c r="F30" s="447"/>
      <c r="G30" s="449"/>
    </row>
    <row r="31" spans="1:7" ht="15.75" customHeight="1">
      <c r="A31" s="4"/>
      <c r="B31" s="12" t="s">
        <v>75</v>
      </c>
      <c r="C31" s="449"/>
      <c r="D31" s="446"/>
      <c r="E31" s="453"/>
      <c r="F31" s="447"/>
      <c r="G31" s="449"/>
    </row>
    <row r="32" spans="1:7" ht="15.75" customHeight="1">
      <c r="A32" s="4"/>
      <c r="B32" s="13"/>
      <c r="C32" s="449"/>
      <c r="D32" s="446"/>
      <c r="E32" s="453"/>
      <c r="F32" s="447"/>
      <c r="G32" s="449"/>
    </row>
    <row r="33" spans="1:7" ht="38.25" customHeight="1">
      <c r="A33" s="4" t="s">
        <v>42</v>
      </c>
      <c r="B33" s="9" t="s">
        <v>76</v>
      </c>
      <c r="C33" s="448" t="s">
        <v>77</v>
      </c>
      <c r="D33" s="444" t="s">
        <v>78</v>
      </c>
      <c r="E33" s="452"/>
      <c r="F33" s="445"/>
      <c r="G33" s="448" t="s">
        <v>61</v>
      </c>
    </row>
    <row r="34" spans="1:7" ht="15.75" customHeight="1">
      <c r="A34" s="4"/>
      <c r="B34" s="10" t="s">
        <v>62</v>
      </c>
      <c r="C34" s="449"/>
      <c r="D34" s="446"/>
      <c r="E34" s="453"/>
      <c r="F34" s="447"/>
      <c r="G34" s="449"/>
    </row>
    <row r="35" spans="1:7" ht="15.75" customHeight="1">
      <c r="A35" s="4"/>
      <c r="B35" s="10"/>
      <c r="C35" s="449"/>
      <c r="D35" s="446"/>
      <c r="E35" s="453"/>
      <c r="F35" s="447"/>
      <c r="G35" s="449"/>
    </row>
    <row r="36" spans="1:7" ht="15.75" customHeight="1">
      <c r="A36" s="4"/>
      <c r="B36" s="10" t="s">
        <v>63</v>
      </c>
      <c r="C36" s="449"/>
      <c r="D36" s="446"/>
      <c r="E36" s="453"/>
      <c r="F36" s="447"/>
      <c r="G36" s="449"/>
    </row>
    <row r="37" spans="1:7" ht="15.75" customHeight="1">
      <c r="A37" s="4"/>
      <c r="B37" s="10"/>
      <c r="C37" s="449"/>
      <c r="D37" s="446"/>
      <c r="E37" s="453"/>
      <c r="F37" s="447"/>
      <c r="G37" s="449"/>
    </row>
    <row r="38" spans="1:7" ht="15.75" customHeight="1">
      <c r="A38" s="4"/>
      <c r="B38" s="10"/>
      <c r="C38" s="449"/>
      <c r="D38" s="446"/>
      <c r="E38" s="453"/>
      <c r="F38" s="447"/>
      <c r="G38" s="449"/>
    </row>
    <row r="39" spans="1:7" ht="15.75" customHeight="1">
      <c r="A39" s="4"/>
      <c r="B39" s="10" t="s">
        <v>64</v>
      </c>
      <c r="C39" s="449"/>
      <c r="D39" s="446"/>
      <c r="E39" s="453"/>
      <c r="F39" s="447"/>
      <c r="G39" s="449"/>
    </row>
    <row r="40" spans="1:7" ht="15.75" customHeight="1">
      <c r="A40" s="4"/>
      <c r="B40" s="12" t="s">
        <v>79</v>
      </c>
      <c r="C40" s="449"/>
      <c r="D40" s="446"/>
      <c r="E40" s="453"/>
      <c r="F40" s="447"/>
      <c r="G40" s="449"/>
    </row>
    <row r="41" spans="1:7" ht="15.75" customHeight="1">
      <c r="A41" s="4"/>
      <c r="B41" s="12" t="s">
        <v>80</v>
      </c>
      <c r="C41" s="449"/>
      <c r="D41" s="446"/>
      <c r="E41" s="453"/>
      <c r="F41" s="447"/>
      <c r="G41" s="449"/>
    </row>
    <row r="42" spans="1:7" ht="28.5" customHeight="1">
      <c r="A42" s="4"/>
      <c r="B42" s="12" t="s">
        <v>81</v>
      </c>
      <c r="C42" s="449"/>
      <c r="D42" s="446"/>
      <c r="E42" s="453"/>
      <c r="F42" s="447"/>
      <c r="G42" s="449"/>
    </row>
    <row r="43" spans="1:7" ht="15.75" customHeight="1">
      <c r="A43" s="4"/>
      <c r="B43" s="12" t="s">
        <v>75</v>
      </c>
      <c r="C43" s="449"/>
      <c r="D43" s="446"/>
      <c r="E43" s="453"/>
      <c r="F43" s="447"/>
      <c r="G43" s="449"/>
    </row>
    <row r="44" spans="1:7" ht="15.75" customHeight="1">
      <c r="A44" s="4"/>
      <c r="B44" s="14"/>
      <c r="C44" s="451"/>
      <c r="D44" s="454"/>
      <c r="E44" s="455"/>
      <c r="F44" s="456"/>
      <c r="G44" s="451"/>
    </row>
    <row r="45" spans="1:7" ht="15.75" customHeight="1">
      <c r="A45" s="4"/>
    </row>
    <row r="46" spans="1:7" ht="15.75" customHeight="1">
      <c r="A46" s="4"/>
    </row>
    <row r="47" spans="1:7" ht="15.75" customHeight="1">
      <c r="A47" s="4"/>
    </row>
    <row r="48" spans="1:7" ht="15.75" customHeight="1">
      <c r="A48" s="4"/>
    </row>
    <row r="49" spans="1:1" ht="15.75" customHeight="1">
      <c r="A49" s="4"/>
    </row>
    <row r="50" spans="1:1" ht="15.75" customHeight="1">
      <c r="A50" s="4"/>
    </row>
    <row r="51" spans="1:1" ht="15.75" customHeight="1">
      <c r="A51" s="4"/>
    </row>
    <row r="52" spans="1:1" ht="15.75" customHeight="1">
      <c r="A52" s="4"/>
    </row>
    <row r="53" spans="1:1" ht="15.75" customHeight="1">
      <c r="A53" s="4"/>
    </row>
    <row r="54" spans="1:1" ht="15.75" customHeight="1">
      <c r="A54" s="4"/>
    </row>
    <row r="55" spans="1:1" ht="15.75" customHeight="1">
      <c r="A55" s="4"/>
    </row>
    <row r="56" spans="1:1" ht="15.75" customHeight="1">
      <c r="A56" s="4"/>
    </row>
    <row r="57" spans="1:1" ht="15.75" customHeight="1">
      <c r="A57" s="4"/>
    </row>
    <row r="58" spans="1:1" ht="15.75" customHeight="1">
      <c r="A58" s="4"/>
    </row>
    <row r="59" spans="1:1" ht="15.75" customHeight="1">
      <c r="A59" s="4"/>
    </row>
    <row r="60" spans="1:1" ht="15.75" customHeight="1">
      <c r="A60" s="4"/>
    </row>
    <row r="61" spans="1:1" ht="15.75" customHeight="1">
      <c r="A61" s="4"/>
    </row>
    <row r="62" spans="1:1" ht="15.75" customHeight="1">
      <c r="A62" s="4"/>
    </row>
    <row r="63" spans="1:1" ht="15.75" customHeight="1">
      <c r="A63" s="4"/>
    </row>
    <row r="64" spans="1:1" ht="15.75" customHeight="1">
      <c r="A64" s="4"/>
    </row>
    <row r="65" spans="1:1" ht="15.75" customHeight="1">
      <c r="A65" s="4"/>
    </row>
    <row r="66" spans="1:1" ht="15.75" customHeight="1">
      <c r="A66" s="4"/>
    </row>
    <row r="67" spans="1:1" ht="15.75" customHeight="1">
      <c r="A67" s="4"/>
    </row>
    <row r="68" spans="1:1" ht="15.75" customHeight="1">
      <c r="A68" s="4"/>
    </row>
    <row r="69" spans="1:1" ht="15.75" customHeight="1">
      <c r="A69" s="4"/>
    </row>
    <row r="70" spans="1:1" ht="15.75" customHeight="1">
      <c r="A70" s="4"/>
    </row>
    <row r="71" spans="1:1" ht="15.75" customHeight="1">
      <c r="A71" s="4"/>
    </row>
    <row r="72" spans="1:1" ht="15.75" customHeight="1">
      <c r="A72" s="4"/>
    </row>
    <row r="73" spans="1:1" ht="15.75" customHeight="1">
      <c r="A73" s="4"/>
    </row>
    <row r="74" spans="1:1" ht="15.75" customHeight="1">
      <c r="A74" s="4"/>
    </row>
    <row r="75" spans="1:1" ht="15.75" customHeight="1">
      <c r="A75" s="4"/>
    </row>
    <row r="76" spans="1:1" ht="15.75" customHeight="1">
      <c r="A76" s="4"/>
    </row>
    <row r="77" spans="1:1" ht="15.75" customHeight="1">
      <c r="A77" s="4"/>
    </row>
    <row r="78" spans="1:1" ht="15.75" customHeight="1">
      <c r="A78" s="4"/>
    </row>
    <row r="79" spans="1:1" ht="15.75" customHeight="1">
      <c r="A79" s="4"/>
    </row>
    <row r="80" spans="1:1" ht="15.75" customHeight="1">
      <c r="A80" s="4"/>
    </row>
    <row r="81" spans="1:1" ht="15.75" customHeight="1">
      <c r="A81" s="4"/>
    </row>
    <row r="82" spans="1:1" ht="15.75" customHeight="1">
      <c r="A82" s="4"/>
    </row>
    <row r="83" spans="1:1" ht="15.75" customHeight="1">
      <c r="A83" s="4"/>
    </row>
    <row r="84" spans="1:1" ht="15.75" customHeight="1">
      <c r="A84" s="4"/>
    </row>
    <row r="85" spans="1:1" ht="15.75" customHeight="1">
      <c r="A85" s="4"/>
    </row>
    <row r="86" spans="1:1" ht="15.75" customHeight="1">
      <c r="A86" s="4"/>
    </row>
    <row r="87" spans="1:1" ht="15.75" customHeight="1">
      <c r="A87" s="4"/>
    </row>
    <row r="88" spans="1:1" ht="15.75" customHeight="1">
      <c r="A88" s="4"/>
    </row>
    <row r="89" spans="1:1" ht="15.75" customHeight="1">
      <c r="A89" s="4"/>
    </row>
    <row r="90" spans="1:1" ht="15.75" customHeight="1">
      <c r="A90" s="4"/>
    </row>
    <row r="91" spans="1:1" ht="15.75" customHeight="1">
      <c r="A91" s="4"/>
    </row>
    <row r="92" spans="1:1" ht="15.75" customHeight="1">
      <c r="A92" s="4"/>
    </row>
    <row r="93" spans="1:1" ht="15.75" customHeight="1">
      <c r="A93" s="4"/>
    </row>
    <row r="94" spans="1:1" ht="15.75" customHeight="1">
      <c r="A94" s="4"/>
    </row>
    <row r="95" spans="1:1" ht="15.75" customHeight="1">
      <c r="A95" s="4"/>
    </row>
    <row r="96" spans="1:1" ht="15.75" customHeight="1">
      <c r="A96" s="4"/>
    </row>
    <row r="97" spans="1:1" ht="15.75" customHeight="1">
      <c r="A97" s="4"/>
    </row>
    <row r="98" spans="1:1" ht="15.75" customHeight="1">
      <c r="A98" s="4"/>
    </row>
    <row r="99" spans="1:1" ht="15.75" customHeight="1">
      <c r="A99" s="4"/>
    </row>
    <row r="100" spans="1:1" ht="15.75" customHeight="1">
      <c r="A100" s="4"/>
    </row>
    <row r="101" spans="1:1" ht="15.75" customHeight="1">
      <c r="A101" s="4"/>
    </row>
    <row r="102" spans="1:1" ht="15.75" customHeight="1">
      <c r="A102" s="4"/>
    </row>
    <row r="103" spans="1:1" ht="15.75" customHeight="1">
      <c r="A103" s="4"/>
    </row>
    <row r="104" spans="1:1" ht="15.75" customHeight="1">
      <c r="A104" s="4"/>
    </row>
    <row r="105" spans="1:1" ht="15.75" customHeight="1">
      <c r="A105" s="4"/>
    </row>
    <row r="106" spans="1:1" ht="15.75" customHeight="1">
      <c r="A106" s="4"/>
    </row>
    <row r="107" spans="1:1" ht="15.75" customHeight="1">
      <c r="A107" s="4"/>
    </row>
    <row r="108" spans="1:1" ht="15.75" customHeight="1">
      <c r="A108" s="4"/>
    </row>
    <row r="109" spans="1:1" ht="15.75" customHeight="1">
      <c r="A109" s="4"/>
    </row>
    <row r="110" spans="1:1" ht="15.75" customHeight="1">
      <c r="A110" s="4"/>
    </row>
    <row r="111" spans="1:1" ht="15.75" customHeight="1">
      <c r="A111" s="4"/>
    </row>
    <row r="112" spans="1:1" ht="15.75" customHeight="1">
      <c r="A112" s="4"/>
    </row>
    <row r="113" spans="1:1" ht="15.75" customHeight="1">
      <c r="A113" s="4"/>
    </row>
    <row r="114" spans="1:1" ht="15.75" customHeight="1">
      <c r="A114" s="4"/>
    </row>
    <row r="115" spans="1:1" ht="15.75" customHeight="1">
      <c r="A115" s="4"/>
    </row>
    <row r="116" spans="1:1" ht="15.75" customHeight="1">
      <c r="A116" s="4"/>
    </row>
    <row r="117" spans="1:1" ht="15.75" customHeight="1">
      <c r="A117" s="4"/>
    </row>
    <row r="118" spans="1:1" ht="15.75" customHeight="1">
      <c r="A118" s="4"/>
    </row>
    <row r="119" spans="1:1" ht="15.75" customHeight="1">
      <c r="A119" s="4"/>
    </row>
    <row r="120" spans="1:1" ht="15.75" customHeight="1">
      <c r="A120" s="4"/>
    </row>
    <row r="121" spans="1:1" ht="15.75" customHeight="1">
      <c r="A121" s="4"/>
    </row>
    <row r="122" spans="1:1" ht="15.75" customHeight="1">
      <c r="A122" s="4"/>
    </row>
    <row r="123" spans="1:1" ht="15.75" customHeight="1">
      <c r="A123" s="4"/>
    </row>
    <row r="124" spans="1:1" ht="15.75" customHeight="1">
      <c r="A124" s="4"/>
    </row>
    <row r="125" spans="1:1" ht="15.75" customHeight="1">
      <c r="A125" s="4"/>
    </row>
    <row r="126" spans="1:1" ht="15.75" customHeight="1">
      <c r="A126" s="4"/>
    </row>
    <row r="127" spans="1:1" ht="15.75" customHeight="1">
      <c r="A127" s="4"/>
    </row>
    <row r="128" spans="1:1" ht="15.75" customHeight="1">
      <c r="A128" s="4"/>
    </row>
    <row r="129" spans="1:1" ht="15.75" customHeight="1">
      <c r="A129" s="4"/>
    </row>
    <row r="130" spans="1:1" ht="15.75" customHeight="1">
      <c r="A130" s="4"/>
    </row>
    <row r="131" spans="1:1" ht="15.75" customHeight="1">
      <c r="A131" s="4"/>
    </row>
    <row r="132" spans="1:1" ht="15.75" customHeight="1">
      <c r="A132" s="4"/>
    </row>
    <row r="133" spans="1:1" ht="15.75" customHeight="1">
      <c r="A133" s="4"/>
    </row>
    <row r="134" spans="1:1" ht="15.75" customHeight="1">
      <c r="A134" s="4"/>
    </row>
    <row r="135" spans="1:1" ht="15.75" customHeight="1">
      <c r="A135" s="4"/>
    </row>
    <row r="136" spans="1:1" ht="15.75" customHeight="1">
      <c r="A136" s="4"/>
    </row>
    <row r="137" spans="1:1" ht="15.75" customHeight="1">
      <c r="A137" s="4"/>
    </row>
    <row r="138" spans="1:1" ht="15.75" customHeight="1">
      <c r="A138" s="4"/>
    </row>
    <row r="139" spans="1:1" ht="15.75" customHeight="1">
      <c r="A139" s="4"/>
    </row>
    <row r="140" spans="1:1" ht="15.75" customHeight="1">
      <c r="A140" s="4"/>
    </row>
    <row r="141" spans="1:1" ht="15.75" customHeight="1">
      <c r="A141" s="4"/>
    </row>
    <row r="142" spans="1:1" ht="15.75" customHeight="1">
      <c r="A142" s="4"/>
    </row>
    <row r="143" spans="1:1" ht="15.75" customHeight="1">
      <c r="A143" s="4"/>
    </row>
    <row r="144" spans="1:1" ht="15.75" customHeight="1">
      <c r="A144" s="4"/>
    </row>
    <row r="145" spans="1:1" ht="15.75" customHeight="1">
      <c r="A145" s="4"/>
    </row>
    <row r="146" spans="1:1" ht="15.75" customHeight="1">
      <c r="A146" s="4"/>
    </row>
    <row r="147" spans="1:1" ht="15.75" customHeight="1">
      <c r="A147" s="4"/>
    </row>
    <row r="148" spans="1:1" ht="15.75" customHeight="1">
      <c r="A148" s="4"/>
    </row>
    <row r="149" spans="1:1" ht="15.75" customHeight="1">
      <c r="A149" s="4"/>
    </row>
    <row r="150" spans="1:1" ht="15.75" customHeight="1">
      <c r="A150" s="4"/>
    </row>
    <row r="151" spans="1:1" ht="15.75" customHeight="1">
      <c r="A151" s="4"/>
    </row>
    <row r="152" spans="1:1" ht="15.75" customHeight="1">
      <c r="A152" s="4"/>
    </row>
    <row r="153" spans="1:1" ht="15.75" customHeight="1">
      <c r="A153" s="4"/>
    </row>
    <row r="154" spans="1:1" ht="15.75" customHeight="1">
      <c r="A154" s="4"/>
    </row>
    <row r="155" spans="1:1" ht="15.75" customHeight="1">
      <c r="A155" s="4"/>
    </row>
    <row r="156" spans="1:1" ht="15.75" customHeight="1">
      <c r="A156" s="4"/>
    </row>
    <row r="157" spans="1:1" ht="15.75" customHeight="1">
      <c r="A157" s="4"/>
    </row>
    <row r="158" spans="1:1" ht="15.75" customHeight="1">
      <c r="A158" s="4"/>
    </row>
    <row r="159" spans="1:1" ht="15.75" customHeight="1">
      <c r="A159" s="4"/>
    </row>
    <row r="160" spans="1:1" ht="15.75" customHeight="1">
      <c r="A160" s="4"/>
    </row>
    <row r="161" spans="1:1" ht="15.75" customHeight="1">
      <c r="A161" s="4"/>
    </row>
    <row r="162" spans="1:1" ht="15.75" customHeight="1">
      <c r="A162" s="4"/>
    </row>
    <row r="163" spans="1:1" ht="15.75" customHeight="1">
      <c r="A163" s="4"/>
    </row>
    <row r="164" spans="1:1" ht="15.75" customHeight="1">
      <c r="A164" s="4"/>
    </row>
    <row r="165" spans="1:1" ht="15.75" customHeight="1">
      <c r="A165" s="4"/>
    </row>
    <row r="166" spans="1:1" ht="15.75" customHeight="1">
      <c r="A166" s="4"/>
    </row>
    <row r="167" spans="1:1" ht="15.75" customHeight="1">
      <c r="A167" s="4"/>
    </row>
    <row r="168" spans="1:1" ht="15.75" customHeight="1">
      <c r="A168" s="4"/>
    </row>
    <row r="169" spans="1:1" ht="15.75" customHeight="1">
      <c r="A169" s="4"/>
    </row>
    <row r="170" spans="1:1" ht="15.75" customHeight="1">
      <c r="A170" s="4"/>
    </row>
    <row r="171" spans="1:1" ht="15.75" customHeight="1">
      <c r="A171" s="4"/>
    </row>
    <row r="172" spans="1:1" ht="15.75" customHeight="1">
      <c r="A172" s="4"/>
    </row>
    <row r="173" spans="1:1" ht="15.75" customHeight="1">
      <c r="A173" s="4"/>
    </row>
    <row r="174" spans="1:1" ht="15.75" customHeight="1">
      <c r="A174" s="4"/>
    </row>
    <row r="175" spans="1:1" ht="15.75" customHeight="1">
      <c r="A175" s="4"/>
    </row>
    <row r="176" spans="1:1" ht="15.75" customHeight="1">
      <c r="A176" s="4"/>
    </row>
    <row r="177" spans="1:1" ht="15.75" customHeight="1">
      <c r="A177" s="4"/>
    </row>
    <row r="178" spans="1:1" ht="15.75" customHeight="1">
      <c r="A178" s="4"/>
    </row>
    <row r="179" spans="1:1" ht="15.75" customHeight="1">
      <c r="A179" s="4"/>
    </row>
    <row r="180" spans="1:1" ht="15.75" customHeight="1">
      <c r="A180" s="4"/>
    </row>
    <row r="181" spans="1:1" ht="15.75" customHeight="1">
      <c r="A181" s="4"/>
    </row>
    <row r="182" spans="1:1" ht="15.75" customHeight="1">
      <c r="A182" s="4"/>
    </row>
    <row r="183" spans="1:1" ht="15.75" customHeight="1">
      <c r="A183" s="4"/>
    </row>
    <row r="184" spans="1:1" ht="15.75" customHeight="1">
      <c r="A184" s="4"/>
    </row>
    <row r="185" spans="1:1" ht="15.75" customHeight="1">
      <c r="A185" s="4"/>
    </row>
    <row r="186" spans="1:1" ht="15.75" customHeight="1">
      <c r="A186" s="4"/>
    </row>
    <row r="187" spans="1:1" ht="15.75" customHeight="1">
      <c r="A187" s="4"/>
    </row>
    <row r="188" spans="1:1" ht="15.75" customHeight="1">
      <c r="A188" s="4"/>
    </row>
    <row r="189" spans="1:1" ht="15.75" customHeight="1">
      <c r="A189" s="4"/>
    </row>
    <row r="190" spans="1:1" ht="15.75" customHeight="1">
      <c r="A190" s="4"/>
    </row>
    <row r="191" spans="1:1" ht="15.75" customHeight="1">
      <c r="A191" s="4"/>
    </row>
    <row r="192" spans="1:1" ht="15.75" customHeight="1">
      <c r="A192" s="4"/>
    </row>
    <row r="193" spans="1:1" ht="15.75" customHeight="1">
      <c r="A193" s="4"/>
    </row>
    <row r="194" spans="1:1" ht="15.75" customHeight="1">
      <c r="A194" s="4"/>
    </row>
    <row r="195" spans="1:1" ht="15.75" customHeight="1">
      <c r="A195" s="4"/>
    </row>
    <row r="196" spans="1:1" ht="15.75" customHeight="1">
      <c r="A196" s="4"/>
    </row>
    <row r="197" spans="1:1" ht="15.75" customHeight="1">
      <c r="A197" s="4"/>
    </row>
    <row r="198" spans="1:1" ht="15.75" customHeight="1">
      <c r="A198" s="4"/>
    </row>
    <row r="199" spans="1:1" ht="15.75" customHeight="1">
      <c r="A199" s="4"/>
    </row>
    <row r="200" spans="1:1" ht="15.75" customHeight="1">
      <c r="A200" s="4"/>
    </row>
    <row r="201" spans="1:1" ht="15.75" customHeight="1">
      <c r="A201" s="4"/>
    </row>
    <row r="202" spans="1:1" ht="15.75" customHeight="1">
      <c r="A202" s="4"/>
    </row>
    <row r="203" spans="1:1" ht="15.75" customHeight="1">
      <c r="A203" s="4"/>
    </row>
    <row r="204" spans="1:1" ht="15.75" customHeight="1">
      <c r="A204" s="4"/>
    </row>
    <row r="205" spans="1:1" ht="15.75" customHeight="1">
      <c r="A205" s="4"/>
    </row>
    <row r="206" spans="1:1" ht="15.75" customHeight="1">
      <c r="A206" s="4"/>
    </row>
    <row r="207" spans="1:1" ht="15.75" customHeight="1">
      <c r="A207" s="4"/>
    </row>
    <row r="208" spans="1:1" ht="15.75" customHeight="1">
      <c r="A208" s="4"/>
    </row>
    <row r="209" spans="1:1" ht="15.75" customHeight="1">
      <c r="A209" s="4"/>
    </row>
    <row r="210" spans="1:1" ht="15.75" customHeight="1">
      <c r="A210" s="4"/>
    </row>
    <row r="211" spans="1:1" ht="15.75" customHeight="1">
      <c r="A211" s="4"/>
    </row>
    <row r="212" spans="1:1" ht="15.75" customHeight="1">
      <c r="A212" s="4"/>
    </row>
    <row r="213" spans="1:1" ht="15.75" customHeight="1">
      <c r="A213" s="4"/>
    </row>
    <row r="214" spans="1:1" ht="15.75" customHeight="1">
      <c r="A214" s="4"/>
    </row>
    <row r="215" spans="1:1" ht="15.75" customHeight="1">
      <c r="A215" s="4"/>
    </row>
    <row r="216" spans="1:1" ht="15.75" customHeight="1">
      <c r="A216" s="4"/>
    </row>
    <row r="217" spans="1:1" ht="15.75" customHeight="1">
      <c r="A217" s="4"/>
    </row>
    <row r="218" spans="1:1" ht="15.75" customHeight="1">
      <c r="A218" s="4"/>
    </row>
    <row r="219" spans="1:1" ht="15.75" customHeight="1">
      <c r="A219" s="4"/>
    </row>
    <row r="220" spans="1:1" ht="15.75" customHeight="1">
      <c r="A220" s="4"/>
    </row>
    <row r="221" spans="1:1" ht="15.75" customHeight="1">
      <c r="A221" s="4"/>
    </row>
    <row r="222" spans="1:1" ht="15.75" customHeight="1">
      <c r="A222" s="4"/>
    </row>
    <row r="223" spans="1:1" ht="15.75" customHeight="1">
      <c r="A223" s="4"/>
    </row>
    <row r="224" spans="1:1" ht="15.75" customHeight="1">
      <c r="A224" s="4"/>
    </row>
    <row r="225" spans="1:1" ht="15.75" customHeight="1">
      <c r="A225" s="4"/>
    </row>
    <row r="226" spans="1:1" ht="15.75" customHeight="1">
      <c r="A226" s="4"/>
    </row>
    <row r="227" spans="1:1" ht="15.75" customHeight="1">
      <c r="A227" s="4"/>
    </row>
    <row r="228" spans="1:1" ht="15.75" customHeight="1">
      <c r="A228" s="4"/>
    </row>
    <row r="229" spans="1:1" ht="15.75" customHeight="1">
      <c r="A229" s="4"/>
    </row>
    <row r="230" spans="1:1" ht="15.75" customHeight="1">
      <c r="A230" s="4"/>
    </row>
    <row r="231" spans="1:1" ht="15.75" customHeight="1">
      <c r="A231" s="4"/>
    </row>
    <row r="232" spans="1:1" ht="15.75" customHeight="1">
      <c r="A232" s="4"/>
    </row>
    <row r="233" spans="1:1" ht="15.75" customHeight="1">
      <c r="A233" s="4"/>
    </row>
    <row r="234" spans="1:1" ht="15.75" customHeight="1">
      <c r="A234" s="4"/>
    </row>
    <row r="235" spans="1:1" ht="15.75" customHeight="1">
      <c r="A235" s="4"/>
    </row>
    <row r="236" spans="1:1" ht="15.75" customHeight="1">
      <c r="A236" s="4"/>
    </row>
    <row r="237" spans="1:1" ht="15.75" customHeight="1">
      <c r="A237" s="4"/>
    </row>
    <row r="238" spans="1:1" ht="15.75" customHeight="1">
      <c r="A238" s="4"/>
    </row>
    <row r="239" spans="1:1" ht="15.75" customHeight="1">
      <c r="A239" s="4"/>
    </row>
    <row r="240" spans="1:1" ht="15.75" customHeight="1">
      <c r="A240" s="4"/>
    </row>
    <row r="241" spans="1:1" ht="15.75" customHeight="1">
      <c r="A241" s="4"/>
    </row>
    <row r="242" spans="1:1" ht="15.75" customHeight="1">
      <c r="A242" s="4"/>
    </row>
    <row r="243" spans="1:1" ht="15.75" customHeight="1">
      <c r="A243" s="4"/>
    </row>
    <row r="244" spans="1:1" ht="15.75" customHeight="1">
      <c r="A244" s="4"/>
    </row>
    <row r="245" spans="1:1" ht="15.75" customHeight="1">
      <c r="A245" s="4"/>
    </row>
    <row r="246" spans="1:1" ht="15.75" customHeight="1">
      <c r="A246" s="4"/>
    </row>
    <row r="247" spans="1:1" ht="15.75" customHeight="1">
      <c r="A247" s="4"/>
    </row>
    <row r="248" spans="1:1" ht="15.75" customHeight="1">
      <c r="A248" s="4"/>
    </row>
    <row r="249" spans="1:1" ht="15.75" customHeight="1">
      <c r="A249" s="4"/>
    </row>
    <row r="250" spans="1:1" ht="15.75" customHeight="1">
      <c r="A250" s="4"/>
    </row>
    <row r="251" spans="1:1" ht="15.75" customHeight="1">
      <c r="A251" s="4"/>
    </row>
    <row r="252" spans="1:1" ht="15.75" customHeight="1">
      <c r="A252" s="4"/>
    </row>
    <row r="253" spans="1:1" ht="15.75" customHeight="1">
      <c r="A253" s="4"/>
    </row>
    <row r="254" spans="1:1" ht="15.75" customHeight="1">
      <c r="A254" s="4"/>
    </row>
    <row r="255" spans="1:1" ht="15.75" customHeight="1">
      <c r="A255" s="4"/>
    </row>
    <row r="256" spans="1:1" ht="15.75" customHeight="1">
      <c r="A256" s="4"/>
    </row>
    <row r="257" spans="1:1" ht="15.75" customHeight="1">
      <c r="A257" s="4"/>
    </row>
    <row r="258" spans="1:1" ht="15.75" customHeight="1">
      <c r="A258" s="4"/>
    </row>
    <row r="259" spans="1:1" ht="15.75" customHeight="1">
      <c r="A259" s="4"/>
    </row>
    <row r="260" spans="1:1" ht="15.75" customHeight="1">
      <c r="A260" s="4"/>
    </row>
    <row r="261" spans="1:1" ht="15.75" customHeight="1">
      <c r="A261" s="4"/>
    </row>
    <row r="262" spans="1:1" ht="15.75" customHeight="1">
      <c r="A262" s="4"/>
    </row>
    <row r="263" spans="1:1" ht="15.75" customHeight="1">
      <c r="A263" s="4"/>
    </row>
    <row r="264" spans="1:1" ht="15.75" customHeight="1">
      <c r="A264" s="4"/>
    </row>
    <row r="265" spans="1:1" ht="15.75" customHeight="1">
      <c r="A265" s="4"/>
    </row>
    <row r="266" spans="1:1" ht="15.75" customHeight="1">
      <c r="A266" s="4"/>
    </row>
    <row r="267" spans="1:1" ht="15.75" customHeight="1">
      <c r="A267" s="4"/>
    </row>
    <row r="268" spans="1:1" ht="15.75" customHeight="1">
      <c r="A268" s="4"/>
    </row>
    <row r="269" spans="1:1" ht="15.75" customHeight="1">
      <c r="A269" s="4"/>
    </row>
    <row r="270" spans="1:1" ht="15.75" customHeight="1">
      <c r="A270" s="4"/>
    </row>
    <row r="271" spans="1:1" ht="15.75" customHeight="1">
      <c r="A271" s="4"/>
    </row>
    <row r="272" spans="1:1" ht="15.75" customHeight="1">
      <c r="A272" s="4"/>
    </row>
    <row r="273" spans="1:1" ht="15.75" customHeight="1">
      <c r="A273" s="4"/>
    </row>
    <row r="274" spans="1:1" ht="15.75" customHeight="1">
      <c r="A274" s="4"/>
    </row>
    <row r="275" spans="1:1" ht="15.75" customHeight="1">
      <c r="A275" s="4"/>
    </row>
    <row r="276" spans="1:1" ht="15.75" customHeight="1">
      <c r="A276" s="4"/>
    </row>
    <row r="277" spans="1:1" ht="15.75" customHeight="1">
      <c r="A277" s="4"/>
    </row>
    <row r="278" spans="1:1" ht="15.75" customHeight="1">
      <c r="A278" s="4"/>
    </row>
    <row r="279" spans="1:1" ht="15.75" customHeight="1">
      <c r="A279" s="4"/>
    </row>
    <row r="280" spans="1:1" ht="15.75" customHeight="1">
      <c r="A280" s="4"/>
    </row>
    <row r="281" spans="1:1" ht="15.75" customHeight="1">
      <c r="A281" s="4"/>
    </row>
    <row r="282" spans="1:1" ht="15.75" customHeight="1">
      <c r="A282" s="4"/>
    </row>
    <row r="283" spans="1:1" ht="15.75" customHeight="1">
      <c r="A283" s="4"/>
    </row>
    <row r="284" spans="1:1" ht="15.75" customHeight="1">
      <c r="A284" s="4"/>
    </row>
    <row r="285" spans="1:1" ht="15.75" customHeight="1">
      <c r="A285" s="4"/>
    </row>
    <row r="286" spans="1:1" ht="15.75" customHeight="1">
      <c r="A286" s="4"/>
    </row>
    <row r="287" spans="1:1" ht="15.75" customHeight="1">
      <c r="A287" s="4"/>
    </row>
    <row r="288" spans="1:1" ht="15.75" customHeight="1">
      <c r="A288" s="4"/>
    </row>
    <row r="289" spans="1:1" ht="15.75" customHeight="1">
      <c r="A289" s="4"/>
    </row>
    <row r="290" spans="1:1" ht="15.75" customHeight="1">
      <c r="A290" s="4"/>
    </row>
    <row r="291" spans="1:1" ht="15.75" customHeight="1">
      <c r="A291" s="4"/>
    </row>
    <row r="292" spans="1:1" ht="15.75" customHeight="1">
      <c r="A292" s="4"/>
    </row>
    <row r="293" spans="1:1" ht="15.75" customHeight="1">
      <c r="A293" s="4"/>
    </row>
    <row r="294" spans="1:1" ht="15.75" customHeight="1">
      <c r="A294" s="4"/>
    </row>
    <row r="295" spans="1:1" ht="15.75" customHeight="1">
      <c r="A295" s="4"/>
    </row>
    <row r="296" spans="1:1" ht="15.75" customHeight="1">
      <c r="A296" s="4"/>
    </row>
    <row r="297" spans="1:1" ht="15.75" customHeight="1">
      <c r="A297" s="4"/>
    </row>
    <row r="298" spans="1:1" ht="15.75" customHeight="1">
      <c r="A298" s="4"/>
    </row>
    <row r="299" spans="1:1" ht="15.75" customHeight="1">
      <c r="A299" s="4"/>
    </row>
    <row r="300" spans="1:1" ht="15.75" customHeight="1">
      <c r="A300" s="4"/>
    </row>
    <row r="301" spans="1:1" ht="15.75" customHeight="1">
      <c r="A301" s="4"/>
    </row>
    <row r="302" spans="1:1" ht="15.75" customHeight="1">
      <c r="A302" s="4"/>
    </row>
    <row r="303" spans="1:1" ht="15.75" customHeight="1">
      <c r="A303" s="4"/>
    </row>
    <row r="304" spans="1:1" ht="15.75" customHeight="1">
      <c r="A304" s="4"/>
    </row>
    <row r="305" spans="1:1" ht="15.75" customHeight="1">
      <c r="A305" s="4"/>
    </row>
    <row r="306" spans="1:1" ht="15.75" customHeight="1">
      <c r="A306" s="4"/>
    </row>
    <row r="307" spans="1:1" ht="15.75" customHeight="1">
      <c r="A307" s="4"/>
    </row>
    <row r="308" spans="1:1" ht="15.75" customHeight="1">
      <c r="A308" s="4"/>
    </row>
    <row r="309" spans="1:1" ht="15.75" customHeight="1">
      <c r="A309" s="4"/>
    </row>
    <row r="310" spans="1:1" ht="15.75" customHeight="1">
      <c r="A310" s="4"/>
    </row>
    <row r="311" spans="1:1" ht="15.75" customHeight="1">
      <c r="A311" s="4"/>
    </row>
    <row r="312" spans="1:1" ht="15.75" customHeight="1">
      <c r="A312" s="4"/>
    </row>
    <row r="313" spans="1:1" ht="15.75" customHeight="1">
      <c r="A313" s="4"/>
    </row>
    <row r="314" spans="1:1" ht="15.75" customHeight="1">
      <c r="A314" s="4"/>
    </row>
    <row r="315" spans="1:1" ht="15.75" customHeight="1">
      <c r="A315" s="4"/>
    </row>
    <row r="316" spans="1:1" ht="15.75" customHeight="1">
      <c r="A316" s="4"/>
    </row>
    <row r="317" spans="1:1" ht="15.75" customHeight="1">
      <c r="A317" s="4"/>
    </row>
    <row r="318" spans="1:1" ht="15.75" customHeight="1">
      <c r="A318" s="4"/>
    </row>
    <row r="319" spans="1:1" ht="15.75" customHeight="1">
      <c r="A319" s="4"/>
    </row>
    <row r="320" spans="1:1" ht="15.75" customHeight="1">
      <c r="A320" s="4"/>
    </row>
    <row r="321" spans="1:1" ht="15.75" customHeight="1">
      <c r="A321" s="4"/>
    </row>
    <row r="322" spans="1:1" ht="15.75" customHeight="1">
      <c r="A322" s="4"/>
    </row>
    <row r="323" spans="1:1" ht="15.75" customHeight="1">
      <c r="A323" s="4"/>
    </row>
    <row r="324" spans="1:1" ht="15.75" customHeight="1">
      <c r="A324" s="4"/>
    </row>
    <row r="325" spans="1:1" ht="15.75" customHeight="1">
      <c r="A325" s="4"/>
    </row>
    <row r="326" spans="1:1" ht="15.75" customHeight="1">
      <c r="A326" s="4"/>
    </row>
    <row r="327" spans="1:1" ht="15.75" customHeight="1">
      <c r="A327" s="4"/>
    </row>
    <row r="328" spans="1:1" ht="15.75" customHeight="1">
      <c r="A328" s="4"/>
    </row>
    <row r="329" spans="1:1" ht="15.75" customHeight="1">
      <c r="A329" s="4"/>
    </row>
    <row r="330" spans="1:1" ht="15.75" customHeight="1">
      <c r="A330" s="4"/>
    </row>
    <row r="331" spans="1:1" ht="15.75" customHeight="1">
      <c r="A331" s="4"/>
    </row>
    <row r="332" spans="1:1" ht="15.75" customHeight="1">
      <c r="A332" s="4"/>
    </row>
    <row r="333" spans="1:1" ht="15.75" customHeight="1">
      <c r="A333" s="4"/>
    </row>
    <row r="334" spans="1:1" ht="15.75" customHeight="1">
      <c r="A334" s="4"/>
    </row>
    <row r="335" spans="1:1" ht="15.75" customHeight="1">
      <c r="A335" s="4"/>
    </row>
    <row r="336" spans="1:1" ht="15.75" customHeight="1">
      <c r="A336" s="4"/>
    </row>
    <row r="337" spans="1:1" ht="15.75" customHeight="1">
      <c r="A337" s="4"/>
    </row>
    <row r="338" spans="1:1" ht="15.75" customHeight="1">
      <c r="A338" s="4"/>
    </row>
    <row r="339" spans="1:1" ht="15.75" customHeight="1">
      <c r="A339" s="4"/>
    </row>
    <row r="340" spans="1:1" ht="15.75" customHeight="1">
      <c r="A340" s="4"/>
    </row>
    <row r="341" spans="1:1" ht="15.75" customHeight="1">
      <c r="A341" s="4"/>
    </row>
    <row r="342" spans="1:1" ht="15.75" customHeight="1">
      <c r="A342" s="4"/>
    </row>
    <row r="343" spans="1:1" ht="15.75" customHeight="1">
      <c r="A343" s="4"/>
    </row>
    <row r="344" spans="1:1" ht="15.75" customHeight="1">
      <c r="A344" s="4"/>
    </row>
    <row r="345" spans="1:1" ht="15.75" customHeight="1">
      <c r="A345" s="4"/>
    </row>
    <row r="346" spans="1:1" ht="15.75" customHeight="1">
      <c r="A346" s="4"/>
    </row>
    <row r="347" spans="1:1" ht="15.75" customHeight="1">
      <c r="A347" s="4"/>
    </row>
    <row r="348" spans="1:1" ht="15.75" customHeight="1">
      <c r="A348" s="4"/>
    </row>
    <row r="349" spans="1:1" ht="15.75" customHeight="1">
      <c r="A349" s="4"/>
    </row>
    <row r="350" spans="1:1" ht="15.75" customHeight="1">
      <c r="A350" s="4"/>
    </row>
    <row r="351" spans="1:1" ht="15.75" customHeight="1">
      <c r="A351" s="4"/>
    </row>
    <row r="352" spans="1:1" ht="15.75" customHeight="1">
      <c r="A352" s="4"/>
    </row>
    <row r="353" spans="1:1" ht="15.75" customHeight="1">
      <c r="A353" s="4"/>
    </row>
    <row r="354" spans="1:1" ht="15.75" customHeight="1">
      <c r="A354" s="4"/>
    </row>
    <row r="355" spans="1:1" ht="15.75" customHeight="1">
      <c r="A355" s="4"/>
    </row>
    <row r="356" spans="1:1" ht="15.75" customHeight="1">
      <c r="A356" s="4"/>
    </row>
    <row r="357" spans="1:1" ht="15.75" customHeight="1">
      <c r="A357" s="4"/>
    </row>
    <row r="358" spans="1:1" ht="15.75" customHeight="1">
      <c r="A358" s="4"/>
    </row>
    <row r="359" spans="1:1" ht="15.75" customHeight="1">
      <c r="A359" s="4"/>
    </row>
    <row r="360" spans="1:1" ht="15.75" customHeight="1">
      <c r="A360" s="4"/>
    </row>
    <row r="361" spans="1:1" ht="15.75" customHeight="1">
      <c r="A361" s="4"/>
    </row>
    <row r="362" spans="1:1" ht="15.75" customHeight="1">
      <c r="A362" s="4"/>
    </row>
    <row r="363" spans="1:1" ht="15.75" customHeight="1">
      <c r="A363" s="4"/>
    </row>
    <row r="364" spans="1:1" ht="15.75" customHeight="1">
      <c r="A364" s="4"/>
    </row>
    <row r="365" spans="1:1" ht="15.75" customHeight="1">
      <c r="A365" s="4"/>
    </row>
    <row r="366" spans="1:1" ht="15.75" customHeight="1">
      <c r="A366" s="4"/>
    </row>
    <row r="367" spans="1:1" ht="15.75" customHeight="1">
      <c r="A367" s="4"/>
    </row>
    <row r="368" spans="1:1" ht="15.75" customHeight="1">
      <c r="A368" s="4"/>
    </row>
    <row r="369" spans="1:1" ht="15.75" customHeight="1">
      <c r="A369" s="4"/>
    </row>
    <row r="370" spans="1:1" ht="15.75" customHeight="1">
      <c r="A370" s="4"/>
    </row>
    <row r="371" spans="1:1" ht="15.75" customHeight="1">
      <c r="A371" s="4"/>
    </row>
    <row r="372" spans="1:1" ht="15.75" customHeight="1">
      <c r="A372" s="4"/>
    </row>
    <row r="373" spans="1:1" ht="15.75" customHeight="1">
      <c r="A373" s="4"/>
    </row>
    <row r="374" spans="1:1" ht="15.75" customHeight="1">
      <c r="A374" s="4"/>
    </row>
    <row r="375" spans="1:1" ht="15.75" customHeight="1">
      <c r="A375" s="4"/>
    </row>
    <row r="376" spans="1:1" ht="15.75" customHeight="1">
      <c r="A376" s="4"/>
    </row>
    <row r="377" spans="1:1" ht="15.75" customHeight="1">
      <c r="A377" s="4"/>
    </row>
    <row r="378" spans="1:1" ht="15.75" customHeight="1">
      <c r="A378" s="4"/>
    </row>
    <row r="379" spans="1:1" ht="15.75" customHeight="1">
      <c r="A379" s="4"/>
    </row>
    <row r="380" spans="1:1" ht="15.75" customHeight="1">
      <c r="A380" s="4"/>
    </row>
    <row r="381" spans="1:1" ht="15.75" customHeight="1">
      <c r="A381" s="4"/>
    </row>
    <row r="382" spans="1:1" ht="15.75" customHeight="1">
      <c r="A382" s="4"/>
    </row>
    <row r="383" spans="1:1" ht="15.75" customHeight="1">
      <c r="A383" s="4"/>
    </row>
    <row r="384" spans="1:1" ht="15.75" customHeight="1">
      <c r="A384" s="4"/>
    </row>
    <row r="385" spans="1:1" ht="15.75" customHeight="1">
      <c r="A385" s="4"/>
    </row>
    <row r="386" spans="1:1" ht="15.75" customHeight="1">
      <c r="A386" s="4"/>
    </row>
    <row r="387" spans="1:1" ht="15.75" customHeight="1">
      <c r="A387" s="4"/>
    </row>
    <row r="388" spans="1:1" ht="15.75" customHeight="1">
      <c r="A388" s="4"/>
    </row>
    <row r="389" spans="1:1" ht="15.75" customHeight="1">
      <c r="A389" s="4"/>
    </row>
    <row r="390" spans="1:1" ht="15.75" customHeight="1">
      <c r="A390" s="4"/>
    </row>
    <row r="391" spans="1:1" ht="15.75" customHeight="1">
      <c r="A391" s="4"/>
    </row>
    <row r="392" spans="1:1" ht="15.75" customHeight="1">
      <c r="A392" s="4"/>
    </row>
    <row r="393" spans="1:1" ht="15.75" customHeight="1">
      <c r="A393" s="4"/>
    </row>
    <row r="394" spans="1:1" ht="15.75" customHeight="1">
      <c r="A394" s="4"/>
    </row>
    <row r="395" spans="1:1" ht="15.75" customHeight="1">
      <c r="A395" s="4"/>
    </row>
    <row r="396" spans="1:1" ht="15.75" customHeight="1">
      <c r="A396" s="4"/>
    </row>
    <row r="397" spans="1:1" ht="15.75" customHeight="1">
      <c r="A397" s="4"/>
    </row>
    <row r="398" spans="1:1" ht="15.75" customHeight="1">
      <c r="A398" s="4"/>
    </row>
    <row r="399" spans="1:1" ht="15.75" customHeight="1">
      <c r="A399" s="4"/>
    </row>
    <row r="400" spans="1:1" ht="15.75" customHeight="1">
      <c r="A400" s="4"/>
    </row>
    <row r="401" spans="1:1" ht="15.75" customHeight="1">
      <c r="A401" s="4"/>
    </row>
    <row r="402" spans="1:1" ht="15.75" customHeight="1">
      <c r="A402" s="4"/>
    </row>
    <row r="403" spans="1:1" ht="15.75" customHeight="1">
      <c r="A403" s="4"/>
    </row>
    <row r="404" spans="1:1" ht="15.75" customHeight="1">
      <c r="A404" s="4"/>
    </row>
    <row r="405" spans="1:1" ht="15.75" customHeight="1">
      <c r="A405" s="4"/>
    </row>
    <row r="406" spans="1:1" ht="15.75" customHeight="1">
      <c r="A406" s="4"/>
    </row>
    <row r="407" spans="1:1" ht="15.75" customHeight="1">
      <c r="A407" s="4"/>
    </row>
    <row r="408" spans="1:1" ht="15.75" customHeight="1">
      <c r="A408" s="4"/>
    </row>
    <row r="409" spans="1:1" ht="15.75" customHeight="1">
      <c r="A409" s="4"/>
    </row>
    <row r="410" spans="1:1" ht="15.75" customHeight="1">
      <c r="A410" s="4"/>
    </row>
    <row r="411" spans="1:1" ht="15.75" customHeight="1">
      <c r="A411" s="4"/>
    </row>
    <row r="412" spans="1:1" ht="15.75" customHeight="1">
      <c r="A412" s="4"/>
    </row>
    <row r="413" spans="1:1" ht="15.75" customHeight="1">
      <c r="A413" s="4"/>
    </row>
    <row r="414" spans="1:1" ht="15.75" customHeight="1">
      <c r="A414" s="4"/>
    </row>
    <row r="415" spans="1:1" ht="15.75" customHeight="1">
      <c r="A415" s="4"/>
    </row>
    <row r="416" spans="1:1" ht="15.75" customHeight="1">
      <c r="A416" s="4"/>
    </row>
    <row r="417" spans="1:1" ht="15.75" customHeight="1">
      <c r="A417" s="4"/>
    </row>
    <row r="418" spans="1:1" ht="15.75" customHeight="1">
      <c r="A418" s="4"/>
    </row>
    <row r="419" spans="1:1" ht="15.75" customHeight="1">
      <c r="A419" s="4"/>
    </row>
    <row r="420" spans="1:1" ht="15.75" customHeight="1">
      <c r="A420" s="4"/>
    </row>
    <row r="421" spans="1:1" ht="15.75" customHeight="1">
      <c r="A421" s="4"/>
    </row>
    <row r="422" spans="1:1" ht="15.75" customHeight="1">
      <c r="A422" s="4"/>
    </row>
    <row r="423" spans="1:1" ht="15.75" customHeight="1">
      <c r="A423" s="4"/>
    </row>
    <row r="424" spans="1:1" ht="15.75" customHeight="1">
      <c r="A424" s="4"/>
    </row>
    <row r="425" spans="1:1" ht="15.75" customHeight="1">
      <c r="A425" s="4"/>
    </row>
    <row r="426" spans="1:1" ht="15.75" customHeight="1">
      <c r="A426" s="4"/>
    </row>
    <row r="427" spans="1:1" ht="15.75" customHeight="1">
      <c r="A427" s="4"/>
    </row>
    <row r="428" spans="1:1" ht="15.75" customHeight="1">
      <c r="A428" s="4"/>
    </row>
    <row r="429" spans="1:1" ht="15.75" customHeight="1">
      <c r="A429" s="4"/>
    </row>
    <row r="430" spans="1:1" ht="15.75" customHeight="1">
      <c r="A430" s="4"/>
    </row>
    <row r="431" spans="1:1" ht="15.75" customHeight="1">
      <c r="A431" s="4"/>
    </row>
    <row r="432" spans="1:1" ht="15.75" customHeight="1">
      <c r="A432" s="4"/>
    </row>
    <row r="433" spans="1:1" ht="15.75" customHeight="1">
      <c r="A433" s="4"/>
    </row>
    <row r="434" spans="1:1" ht="15.75" customHeight="1">
      <c r="A434" s="4"/>
    </row>
    <row r="435" spans="1:1" ht="15.75" customHeight="1">
      <c r="A435" s="4"/>
    </row>
    <row r="436" spans="1:1" ht="15.75" customHeight="1">
      <c r="A436" s="4"/>
    </row>
    <row r="437" spans="1:1" ht="15.75" customHeight="1">
      <c r="A437" s="4"/>
    </row>
    <row r="438" spans="1:1" ht="15.75" customHeight="1">
      <c r="A438" s="4"/>
    </row>
    <row r="439" spans="1:1" ht="15.75" customHeight="1">
      <c r="A439" s="4"/>
    </row>
    <row r="440" spans="1:1" ht="15.75" customHeight="1">
      <c r="A440" s="4"/>
    </row>
    <row r="441" spans="1:1" ht="15.75" customHeight="1">
      <c r="A441" s="4"/>
    </row>
    <row r="442" spans="1:1" ht="15.75" customHeight="1">
      <c r="A442" s="4"/>
    </row>
    <row r="443" spans="1:1" ht="15.75" customHeight="1">
      <c r="A443" s="4"/>
    </row>
    <row r="444" spans="1:1" ht="15.75" customHeight="1">
      <c r="A444" s="4"/>
    </row>
    <row r="445" spans="1:1" ht="15.75" customHeight="1">
      <c r="A445" s="4"/>
    </row>
    <row r="446" spans="1:1" ht="15.75" customHeight="1">
      <c r="A446" s="4"/>
    </row>
    <row r="447" spans="1:1" ht="15.75" customHeight="1">
      <c r="A447" s="4"/>
    </row>
    <row r="448" spans="1:1" ht="15.75" customHeight="1">
      <c r="A448" s="4"/>
    </row>
    <row r="449" spans="1:1" ht="15.75" customHeight="1">
      <c r="A449" s="4"/>
    </row>
    <row r="450" spans="1:1" ht="15.75" customHeight="1">
      <c r="A450" s="4"/>
    </row>
    <row r="451" spans="1:1" ht="15.75" customHeight="1">
      <c r="A451" s="4"/>
    </row>
    <row r="452" spans="1:1" ht="15.75" customHeight="1">
      <c r="A452" s="4"/>
    </row>
    <row r="453" spans="1:1" ht="15.75" customHeight="1">
      <c r="A453" s="4"/>
    </row>
    <row r="454" spans="1:1" ht="15.75" customHeight="1">
      <c r="A454" s="4"/>
    </row>
    <row r="455" spans="1:1" ht="15.75" customHeight="1">
      <c r="A455" s="4"/>
    </row>
    <row r="456" spans="1:1" ht="15.75" customHeight="1">
      <c r="A456" s="4"/>
    </row>
    <row r="457" spans="1:1" ht="15.75" customHeight="1">
      <c r="A457" s="4"/>
    </row>
    <row r="458" spans="1:1" ht="15.75" customHeight="1">
      <c r="A458" s="4"/>
    </row>
    <row r="459" spans="1:1" ht="15.75" customHeight="1">
      <c r="A459" s="4"/>
    </row>
    <row r="460" spans="1:1" ht="15.75" customHeight="1">
      <c r="A460" s="4"/>
    </row>
    <row r="461" spans="1:1" ht="15.75" customHeight="1">
      <c r="A461" s="4"/>
    </row>
    <row r="462" spans="1:1" ht="15.75" customHeight="1">
      <c r="A462" s="4"/>
    </row>
    <row r="463" spans="1:1" ht="15.75" customHeight="1">
      <c r="A463" s="4"/>
    </row>
    <row r="464" spans="1:1" ht="15.75" customHeight="1">
      <c r="A464" s="4"/>
    </row>
    <row r="465" spans="1:1" ht="15.75" customHeight="1">
      <c r="A465" s="4"/>
    </row>
    <row r="466" spans="1:1" ht="15.75" customHeight="1">
      <c r="A466" s="4"/>
    </row>
    <row r="467" spans="1:1" ht="15.75" customHeight="1">
      <c r="A467" s="4"/>
    </row>
    <row r="468" spans="1:1" ht="15.75" customHeight="1">
      <c r="A468" s="4"/>
    </row>
    <row r="469" spans="1:1" ht="15.75" customHeight="1">
      <c r="A469" s="4"/>
    </row>
    <row r="470" spans="1:1" ht="15.75" customHeight="1">
      <c r="A470" s="4"/>
    </row>
    <row r="471" spans="1:1" ht="15.75" customHeight="1">
      <c r="A471" s="4"/>
    </row>
    <row r="472" spans="1:1" ht="15.75" customHeight="1">
      <c r="A472" s="4"/>
    </row>
    <row r="473" spans="1:1" ht="15.75" customHeight="1">
      <c r="A473" s="4"/>
    </row>
    <row r="474" spans="1:1" ht="15.75" customHeight="1">
      <c r="A474" s="4"/>
    </row>
    <row r="475" spans="1:1" ht="15.75" customHeight="1">
      <c r="A475" s="4"/>
    </row>
    <row r="476" spans="1:1" ht="15.75" customHeight="1">
      <c r="A476" s="4"/>
    </row>
    <row r="477" spans="1:1" ht="15.75" customHeight="1">
      <c r="A477" s="4"/>
    </row>
    <row r="478" spans="1:1" ht="15.75" customHeight="1">
      <c r="A478" s="4"/>
    </row>
    <row r="479" spans="1:1" ht="15.75" customHeight="1">
      <c r="A479" s="4"/>
    </row>
    <row r="480" spans="1:1" ht="15.75" customHeight="1">
      <c r="A480" s="4"/>
    </row>
    <row r="481" spans="1:1" ht="15.75" customHeight="1">
      <c r="A481" s="4"/>
    </row>
    <row r="482" spans="1:1" ht="15.75" customHeight="1">
      <c r="A482" s="4"/>
    </row>
    <row r="483" spans="1:1" ht="15.75" customHeight="1">
      <c r="A483" s="4"/>
    </row>
    <row r="484" spans="1:1" ht="15.75" customHeight="1">
      <c r="A484" s="4"/>
    </row>
    <row r="485" spans="1:1" ht="15.75" customHeight="1">
      <c r="A485" s="4"/>
    </row>
    <row r="486" spans="1:1" ht="15.75" customHeight="1">
      <c r="A486" s="4"/>
    </row>
    <row r="487" spans="1:1" ht="15.75" customHeight="1">
      <c r="A487" s="4"/>
    </row>
    <row r="488" spans="1:1" ht="15.75" customHeight="1">
      <c r="A488" s="4"/>
    </row>
    <row r="489" spans="1:1" ht="15.75" customHeight="1">
      <c r="A489" s="4"/>
    </row>
    <row r="490" spans="1:1" ht="15.75" customHeight="1">
      <c r="A490" s="4"/>
    </row>
    <row r="491" spans="1:1" ht="15.75" customHeight="1">
      <c r="A491" s="4"/>
    </row>
    <row r="492" spans="1:1" ht="15.75" customHeight="1">
      <c r="A492" s="4"/>
    </row>
    <row r="493" spans="1:1" ht="15.75" customHeight="1">
      <c r="A493" s="4"/>
    </row>
    <row r="494" spans="1:1" ht="15.75" customHeight="1">
      <c r="A494" s="4"/>
    </row>
    <row r="495" spans="1:1" ht="15.75" customHeight="1">
      <c r="A495" s="4"/>
    </row>
    <row r="496" spans="1:1" ht="15.75" customHeight="1">
      <c r="A496" s="4"/>
    </row>
    <row r="497" spans="1:1" ht="15.75" customHeight="1">
      <c r="A497" s="4"/>
    </row>
    <row r="498" spans="1:1" ht="15.75" customHeight="1">
      <c r="A498" s="4"/>
    </row>
    <row r="499" spans="1:1" ht="15.75" customHeight="1">
      <c r="A499" s="4"/>
    </row>
    <row r="500" spans="1:1" ht="15.75" customHeight="1">
      <c r="A500" s="4"/>
    </row>
    <row r="501" spans="1:1" ht="15.75" customHeight="1">
      <c r="A501" s="4"/>
    </row>
    <row r="502" spans="1:1" ht="15.75" customHeight="1">
      <c r="A502" s="4"/>
    </row>
    <row r="503" spans="1:1" ht="15.75" customHeight="1">
      <c r="A503" s="4"/>
    </row>
    <row r="504" spans="1:1" ht="15.75" customHeight="1">
      <c r="A504" s="4"/>
    </row>
    <row r="505" spans="1:1" ht="15.75" customHeight="1">
      <c r="A505" s="4"/>
    </row>
    <row r="506" spans="1:1" ht="15.75" customHeight="1">
      <c r="A506" s="4"/>
    </row>
    <row r="507" spans="1:1" ht="15.75" customHeight="1">
      <c r="A507" s="4"/>
    </row>
    <row r="508" spans="1:1" ht="15.75" customHeight="1">
      <c r="A508" s="4"/>
    </row>
    <row r="509" spans="1:1" ht="15.75" customHeight="1">
      <c r="A509" s="4"/>
    </row>
    <row r="510" spans="1:1" ht="15.75" customHeight="1">
      <c r="A510" s="4"/>
    </row>
    <row r="511" spans="1:1" ht="15.75" customHeight="1">
      <c r="A511" s="4"/>
    </row>
    <row r="512" spans="1:1" ht="15.75" customHeight="1">
      <c r="A512" s="4"/>
    </row>
    <row r="513" spans="1:1" ht="15.75" customHeight="1">
      <c r="A513" s="4"/>
    </row>
    <row r="514" spans="1:1" ht="15.75" customHeight="1">
      <c r="A514" s="4"/>
    </row>
    <row r="515" spans="1:1" ht="15.75" customHeight="1">
      <c r="A515" s="4"/>
    </row>
    <row r="516" spans="1:1" ht="15.75" customHeight="1">
      <c r="A516" s="4"/>
    </row>
    <row r="517" spans="1:1" ht="15.75" customHeight="1">
      <c r="A517" s="4"/>
    </row>
    <row r="518" spans="1:1" ht="15.75" customHeight="1">
      <c r="A518" s="4"/>
    </row>
    <row r="519" spans="1:1" ht="15.75" customHeight="1">
      <c r="A519" s="4"/>
    </row>
    <row r="520" spans="1:1" ht="15.75" customHeight="1">
      <c r="A520" s="4"/>
    </row>
    <row r="521" spans="1:1" ht="15.75" customHeight="1">
      <c r="A521" s="4"/>
    </row>
    <row r="522" spans="1:1" ht="15.75" customHeight="1">
      <c r="A522" s="4"/>
    </row>
    <row r="523" spans="1:1" ht="15.75" customHeight="1">
      <c r="A523" s="4"/>
    </row>
    <row r="524" spans="1:1" ht="15.75" customHeight="1">
      <c r="A524" s="4"/>
    </row>
    <row r="525" spans="1:1" ht="15.75" customHeight="1">
      <c r="A525" s="4"/>
    </row>
    <row r="526" spans="1:1" ht="15.75" customHeight="1">
      <c r="A526" s="4"/>
    </row>
    <row r="527" spans="1:1" ht="15.75" customHeight="1">
      <c r="A527" s="4"/>
    </row>
    <row r="528" spans="1:1" ht="15.75" customHeight="1">
      <c r="A528" s="4"/>
    </row>
    <row r="529" spans="1:1" ht="15.75" customHeight="1">
      <c r="A529" s="4"/>
    </row>
    <row r="530" spans="1:1" ht="15.75" customHeight="1">
      <c r="A530" s="4"/>
    </row>
    <row r="531" spans="1:1" ht="15.75" customHeight="1">
      <c r="A531" s="4"/>
    </row>
    <row r="532" spans="1:1" ht="15.75" customHeight="1">
      <c r="A532" s="4"/>
    </row>
    <row r="533" spans="1:1" ht="15.75" customHeight="1">
      <c r="A533" s="4"/>
    </row>
    <row r="534" spans="1:1" ht="15.75" customHeight="1">
      <c r="A534" s="4"/>
    </row>
    <row r="535" spans="1:1" ht="15.75" customHeight="1">
      <c r="A535" s="4"/>
    </row>
    <row r="536" spans="1:1" ht="15.75" customHeight="1">
      <c r="A536" s="4"/>
    </row>
    <row r="537" spans="1:1" ht="15.75" customHeight="1">
      <c r="A537" s="4"/>
    </row>
    <row r="538" spans="1:1" ht="15.75" customHeight="1">
      <c r="A538" s="4"/>
    </row>
    <row r="539" spans="1:1" ht="15.75" customHeight="1">
      <c r="A539" s="4"/>
    </row>
    <row r="540" spans="1:1" ht="15.75" customHeight="1">
      <c r="A540" s="4"/>
    </row>
    <row r="541" spans="1:1" ht="15.75" customHeight="1">
      <c r="A541" s="4"/>
    </row>
    <row r="542" spans="1:1" ht="15.75" customHeight="1">
      <c r="A542" s="4"/>
    </row>
    <row r="543" spans="1:1" ht="15.75" customHeight="1">
      <c r="A543" s="4"/>
    </row>
    <row r="544" spans="1:1" ht="15.75" customHeight="1">
      <c r="A544" s="4"/>
    </row>
    <row r="545" spans="1:1" ht="15.75" customHeight="1">
      <c r="A545" s="4"/>
    </row>
    <row r="546" spans="1:1" ht="15.75" customHeight="1">
      <c r="A546" s="4"/>
    </row>
    <row r="547" spans="1:1" ht="15.75" customHeight="1">
      <c r="A547" s="4"/>
    </row>
    <row r="548" spans="1:1" ht="15.75" customHeight="1">
      <c r="A548" s="4"/>
    </row>
    <row r="549" spans="1:1" ht="15.75" customHeight="1">
      <c r="A549" s="4"/>
    </row>
    <row r="550" spans="1:1" ht="15.75" customHeight="1">
      <c r="A550" s="4"/>
    </row>
    <row r="551" spans="1:1" ht="15.75" customHeight="1">
      <c r="A551" s="4"/>
    </row>
    <row r="552" spans="1:1" ht="15.75" customHeight="1">
      <c r="A552" s="4"/>
    </row>
    <row r="553" spans="1:1" ht="15.75" customHeight="1">
      <c r="A553" s="4"/>
    </row>
    <row r="554" spans="1:1" ht="15.75" customHeight="1">
      <c r="A554" s="4"/>
    </row>
    <row r="555" spans="1:1" ht="15.75" customHeight="1">
      <c r="A555" s="4"/>
    </row>
    <row r="556" spans="1:1" ht="15.75" customHeight="1">
      <c r="A556" s="4"/>
    </row>
    <row r="557" spans="1:1" ht="15.75" customHeight="1">
      <c r="A557" s="4"/>
    </row>
    <row r="558" spans="1:1" ht="15.75" customHeight="1">
      <c r="A558" s="4"/>
    </row>
    <row r="559" spans="1:1" ht="15.75" customHeight="1">
      <c r="A559" s="4"/>
    </row>
    <row r="560" spans="1:1" ht="15.75" customHeight="1">
      <c r="A560" s="4"/>
    </row>
    <row r="561" spans="1:1" ht="15.75" customHeight="1">
      <c r="A561" s="4"/>
    </row>
    <row r="562" spans="1:1" ht="15.75" customHeight="1">
      <c r="A562" s="4"/>
    </row>
    <row r="563" spans="1:1" ht="15.75" customHeight="1">
      <c r="A563" s="4"/>
    </row>
    <row r="564" spans="1:1" ht="15.75" customHeight="1">
      <c r="A564" s="4"/>
    </row>
    <row r="565" spans="1:1" ht="15.75" customHeight="1">
      <c r="A565" s="4"/>
    </row>
    <row r="566" spans="1:1" ht="15.75" customHeight="1">
      <c r="A566" s="4"/>
    </row>
    <row r="567" spans="1:1" ht="15.75" customHeight="1">
      <c r="A567" s="4"/>
    </row>
    <row r="568" spans="1:1" ht="15.75" customHeight="1">
      <c r="A568" s="4"/>
    </row>
    <row r="569" spans="1:1" ht="15.75" customHeight="1">
      <c r="A569" s="4"/>
    </row>
    <row r="570" spans="1:1" ht="15.75" customHeight="1">
      <c r="A570" s="4"/>
    </row>
    <row r="571" spans="1:1" ht="15.75" customHeight="1">
      <c r="A571" s="4"/>
    </row>
    <row r="572" spans="1:1" ht="15.75" customHeight="1">
      <c r="A572" s="4"/>
    </row>
    <row r="573" spans="1:1" ht="15.75" customHeight="1">
      <c r="A573" s="4"/>
    </row>
    <row r="574" spans="1:1" ht="15.75" customHeight="1">
      <c r="A574" s="4"/>
    </row>
    <row r="575" spans="1:1" ht="15.75" customHeight="1">
      <c r="A575" s="4"/>
    </row>
    <row r="576" spans="1:1" ht="15.75" customHeight="1">
      <c r="A576" s="4"/>
    </row>
    <row r="577" spans="1:1" ht="15.75" customHeight="1">
      <c r="A577" s="4"/>
    </row>
    <row r="578" spans="1:1" ht="15.75" customHeight="1">
      <c r="A578" s="4"/>
    </row>
    <row r="579" spans="1:1" ht="15.75" customHeight="1">
      <c r="A579" s="4"/>
    </row>
    <row r="580" spans="1:1" ht="15.75" customHeight="1">
      <c r="A580" s="4"/>
    </row>
    <row r="581" spans="1:1" ht="15.75" customHeight="1">
      <c r="A581" s="4"/>
    </row>
    <row r="582" spans="1:1" ht="15.75" customHeight="1">
      <c r="A582" s="4"/>
    </row>
    <row r="583" spans="1:1" ht="15.75" customHeight="1">
      <c r="A583" s="4"/>
    </row>
    <row r="584" spans="1:1" ht="15.75" customHeight="1">
      <c r="A584" s="4"/>
    </row>
    <row r="585" spans="1:1" ht="15.75" customHeight="1">
      <c r="A585" s="4"/>
    </row>
    <row r="586" spans="1:1" ht="15.75" customHeight="1">
      <c r="A586" s="4"/>
    </row>
    <row r="587" spans="1:1" ht="15.75" customHeight="1">
      <c r="A587" s="4"/>
    </row>
    <row r="588" spans="1:1" ht="15.75" customHeight="1">
      <c r="A588" s="4"/>
    </row>
    <row r="589" spans="1:1" ht="15.75" customHeight="1">
      <c r="A589" s="4"/>
    </row>
    <row r="590" spans="1:1" ht="15.75" customHeight="1">
      <c r="A590" s="4"/>
    </row>
    <row r="591" spans="1:1" ht="15.75" customHeight="1">
      <c r="A591" s="4"/>
    </row>
    <row r="592" spans="1:1" ht="15.75" customHeight="1">
      <c r="A592" s="4"/>
    </row>
    <row r="593" spans="1:1" ht="15.75" customHeight="1">
      <c r="A593" s="4"/>
    </row>
    <row r="594" spans="1:1" ht="15.75" customHeight="1">
      <c r="A594" s="4"/>
    </row>
    <row r="595" spans="1:1" ht="15.75" customHeight="1">
      <c r="A595" s="4"/>
    </row>
    <row r="596" spans="1:1" ht="15.75" customHeight="1">
      <c r="A596" s="4"/>
    </row>
    <row r="597" spans="1:1" ht="15.75" customHeight="1">
      <c r="A597" s="4"/>
    </row>
    <row r="598" spans="1:1" ht="15.75" customHeight="1">
      <c r="A598" s="4"/>
    </row>
    <row r="599" spans="1:1" ht="15.75" customHeight="1">
      <c r="A599" s="4"/>
    </row>
    <row r="600" spans="1:1" ht="15.75" customHeight="1">
      <c r="A600" s="4"/>
    </row>
    <row r="601" spans="1:1" ht="15.75" customHeight="1">
      <c r="A601" s="4"/>
    </row>
    <row r="602" spans="1:1" ht="15.75" customHeight="1">
      <c r="A602" s="4"/>
    </row>
    <row r="603" spans="1:1" ht="15.75" customHeight="1">
      <c r="A603" s="4"/>
    </row>
    <row r="604" spans="1:1" ht="15.75" customHeight="1">
      <c r="A604" s="4"/>
    </row>
    <row r="605" spans="1:1" ht="15.75" customHeight="1">
      <c r="A605" s="4"/>
    </row>
    <row r="606" spans="1:1" ht="15.75" customHeight="1">
      <c r="A606" s="4"/>
    </row>
    <row r="607" spans="1:1" ht="15.75" customHeight="1">
      <c r="A607" s="4"/>
    </row>
    <row r="608" spans="1:1" ht="15.75" customHeight="1">
      <c r="A608" s="4"/>
    </row>
    <row r="609" spans="1:1" ht="15.75" customHeight="1">
      <c r="A609" s="4"/>
    </row>
    <row r="610" spans="1:1" ht="15.75" customHeight="1">
      <c r="A610" s="4"/>
    </row>
    <row r="611" spans="1:1" ht="15.75" customHeight="1">
      <c r="A611" s="4"/>
    </row>
    <row r="612" spans="1:1" ht="15.75" customHeight="1">
      <c r="A612" s="4"/>
    </row>
    <row r="613" spans="1:1" ht="15.75" customHeight="1">
      <c r="A613" s="4"/>
    </row>
    <row r="614" spans="1:1" ht="15.75" customHeight="1">
      <c r="A614" s="4"/>
    </row>
    <row r="615" spans="1:1" ht="15.75" customHeight="1">
      <c r="A615" s="4"/>
    </row>
    <row r="616" spans="1:1" ht="15.75" customHeight="1">
      <c r="A616" s="4"/>
    </row>
    <row r="617" spans="1:1" ht="15.75" customHeight="1">
      <c r="A617" s="4"/>
    </row>
    <row r="618" spans="1:1" ht="15.75" customHeight="1">
      <c r="A618" s="4"/>
    </row>
    <row r="619" spans="1:1" ht="15.75" customHeight="1">
      <c r="A619" s="4"/>
    </row>
    <row r="620" spans="1:1" ht="15.75" customHeight="1">
      <c r="A620" s="4"/>
    </row>
    <row r="621" spans="1:1" ht="15.75" customHeight="1">
      <c r="A621" s="4"/>
    </row>
    <row r="622" spans="1:1" ht="15.75" customHeight="1">
      <c r="A622" s="4"/>
    </row>
    <row r="623" spans="1:1" ht="15.75" customHeight="1">
      <c r="A623" s="4"/>
    </row>
    <row r="624" spans="1:1" ht="15.75" customHeight="1">
      <c r="A624" s="4"/>
    </row>
    <row r="625" spans="1:1" ht="15.75" customHeight="1">
      <c r="A625" s="4"/>
    </row>
    <row r="626" spans="1:1" ht="15.75" customHeight="1">
      <c r="A626" s="4"/>
    </row>
    <row r="627" spans="1:1" ht="15.75" customHeight="1">
      <c r="A627" s="4"/>
    </row>
    <row r="628" spans="1:1" ht="15.75" customHeight="1">
      <c r="A628" s="4"/>
    </row>
    <row r="629" spans="1:1" ht="15.75" customHeight="1">
      <c r="A629" s="4"/>
    </row>
    <row r="630" spans="1:1" ht="15.75" customHeight="1">
      <c r="A630" s="4"/>
    </row>
    <row r="631" spans="1:1" ht="15.75" customHeight="1">
      <c r="A631" s="4"/>
    </row>
    <row r="632" spans="1:1" ht="15.75" customHeight="1">
      <c r="A632" s="4"/>
    </row>
    <row r="633" spans="1:1" ht="15.75" customHeight="1">
      <c r="A633" s="4"/>
    </row>
    <row r="634" spans="1:1" ht="15.75" customHeight="1">
      <c r="A634" s="4"/>
    </row>
    <row r="635" spans="1:1" ht="15.75" customHeight="1">
      <c r="A635" s="4"/>
    </row>
    <row r="636" spans="1:1" ht="15.75" customHeight="1">
      <c r="A636" s="4"/>
    </row>
    <row r="637" spans="1:1" ht="15.75" customHeight="1">
      <c r="A637" s="4"/>
    </row>
    <row r="638" spans="1:1" ht="15.75" customHeight="1">
      <c r="A638" s="4"/>
    </row>
    <row r="639" spans="1:1" ht="15.75" customHeight="1">
      <c r="A639" s="4"/>
    </row>
    <row r="640" spans="1:1" ht="15.75" customHeight="1">
      <c r="A640" s="4"/>
    </row>
    <row r="641" spans="1:1" ht="15.75" customHeight="1">
      <c r="A641" s="4"/>
    </row>
    <row r="642" spans="1:1" ht="15.75" customHeight="1">
      <c r="A642" s="4"/>
    </row>
    <row r="643" spans="1:1" ht="15.75" customHeight="1">
      <c r="A643" s="4"/>
    </row>
    <row r="644" spans="1:1" ht="15.75" customHeight="1">
      <c r="A644" s="4"/>
    </row>
    <row r="645" spans="1:1" ht="15.75" customHeight="1">
      <c r="A645" s="4"/>
    </row>
    <row r="646" spans="1:1" ht="15.75" customHeight="1">
      <c r="A646" s="4"/>
    </row>
    <row r="647" spans="1:1" ht="15.75" customHeight="1">
      <c r="A647" s="4"/>
    </row>
    <row r="648" spans="1:1" ht="15.75" customHeight="1">
      <c r="A648" s="4"/>
    </row>
    <row r="649" spans="1:1" ht="15.75" customHeight="1">
      <c r="A649" s="4"/>
    </row>
    <row r="650" spans="1:1" ht="15.75" customHeight="1">
      <c r="A650" s="4"/>
    </row>
    <row r="651" spans="1:1" ht="15.75" customHeight="1">
      <c r="A651" s="4"/>
    </row>
    <row r="652" spans="1:1" ht="15.75" customHeight="1">
      <c r="A652" s="4"/>
    </row>
    <row r="653" spans="1:1" ht="15.75" customHeight="1">
      <c r="A653" s="4"/>
    </row>
    <row r="654" spans="1:1" ht="15.75" customHeight="1">
      <c r="A654" s="4"/>
    </row>
    <row r="655" spans="1:1" ht="15.75" customHeight="1">
      <c r="A655" s="4"/>
    </row>
    <row r="656" spans="1:1" ht="15.75" customHeight="1">
      <c r="A656" s="4"/>
    </row>
    <row r="657" spans="1:1" ht="15.75" customHeight="1">
      <c r="A657" s="4"/>
    </row>
    <row r="658" spans="1:1" ht="15.75" customHeight="1">
      <c r="A658" s="4"/>
    </row>
    <row r="659" spans="1:1" ht="15.75" customHeight="1">
      <c r="A659" s="4"/>
    </row>
    <row r="660" spans="1:1" ht="15.75" customHeight="1">
      <c r="A660" s="4"/>
    </row>
    <row r="661" spans="1:1" ht="15.75" customHeight="1">
      <c r="A661" s="4"/>
    </row>
    <row r="662" spans="1:1" ht="15.75" customHeight="1">
      <c r="A662" s="4"/>
    </row>
    <row r="663" spans="1:1" ht="15.75" customHeight="1">
      <c r="A663" s="4"/>
    </row>
    <row r="664" spans="1:1" ht="15.75" customHeight="1">
      <c r="A664" s="4"/>
    </row>
    <row r="665" spans="1:1" ht="15.75" customHeight="1">
      <c r="A665" s="4"/>
    </row>
    <row r="666" spans="1:1" ht="15.75" customHeight="1">
      <c r="A666" s="4"/>
    </row>
    <row r="667" spans="1:1" ht="15.75" customHeight="1">
      <c r="A667" s="4"/>
    </row>
    <row r="668" spans="1:1" ht="15.75" customHeight="1">
      <c r="A668" s="4"/>
    </row>
    <row r="669" spans="1:1" ht="15.75" customHeight="1">
      <c r="A669" s="4"/>
    </row>
    <row r="670" spans="1:1" ht="15.75" customHeight="1">
      <c r="A670" s="4"/>
    </row>
    <row r="671" spans="1:1" ht="15.75" customHeight="1">
      <c r="A671" s="4"/>
    </row>
    <row r="672" spans="1:1" ht="15.75" customHeight="1">
      <c r="A672" s="4"/>
    </row>
    <row r="673" spans="1:1" ht="15.75" customHeight="1">
      <c r="A673" s="4"/>
    </row>
    <row r="674" spans="1:1" ht="15.75" customHeight="1">
      <c r="A674" s="4"/>
    </row>
    <row r="675" spans="1:1" ht="15.75" customHeight="1">
      <c r="A675" s="4"/>
    </row>
    <row r="676" spans="1:1" ht="15.75" customHeight="1">
      <c r="A676" s="4"/>
    </row>
    <row r="677" spans="1:1" ht="15.75" customHeight="1">
      <c r="A677" s="4"/>
    </row>
    <row r="678" spans="1:1" ht="15.75" customHeight="1">
      <c r="A678" s="4"/>
    </row>
    <row r="679" spans="1:1" ht="15.75" customHeight="1">
      <c r="A679" s="4"/>
    </row>
    <row r="680" spans="1:1" ht="15.75" customHeight="1">
      <c r="A680" s="4"/>
    </row>
    <row r="681" spans="1:1" ht="15.75" customHeight="1">
      <c r="A681" s="4"/>
    </row>
    <row r="682" spans="1:1" ht="15.75" customHeight="1">
      <c r="A682" s="4"/>
    </row>
    <row r="683" spans="1:1" ht="15.75" customHeight="1">
      <c r="A683" s="4"/>
    </row>
    <row r="684" spans="1:1" ht="15.75" customHeight="1">
      <c r="A684" s="4"/>
    </row>
    <row r="685" spans="1:1" ht="15.75" customHeight="1">
      <c r="A685" s="4"/>
    </row>
    <row r="686" spans="1:1" ht="15.75" customHeight="1">
      <c r="A686" s="4"/>
    </row>
    <row r="687" spans="1:1" ht="15.75" customHeight="1">
      <c r="A687" s="4"/>
    </row>
    <row r="688" spans="1:1" ht="15.75" customHeight="1">
      <c r="A688" s="4"/>
    </row>
    <row r="689" spans="1:1" ht="15.75" customHeight="1">
      <c r="A689" s="4"/>
    </row>
    <row r="690" spans="1:1" ht="15.75" customHeight="1">
      <c r="A690" s="4"/>
    </row>
    <row r="691" spans="1:1" ht="15.75" customHeight="1">
      <c r="A691" s="4"/>
    </row>
    <row r="692" spans="1:1" ht="15.75" customHeight="1">
      <c r="A692" s="4"/>
    </row>
    <row r="693" spans="1:1" ht="15.75" customHeight="1">
      <c r="A693" s="4"/>
    </row>
    <row r="694" spans="1:1" ht="15.75" customHeight="1">
      <c r="A694" s="4"/>
    </row>
    <row r="695" spans="1:1" ht="15.75" customHeight="1">
      <c r="A695" s="4"/>
    </row>
    <row r="696" spans="1:1" ht="15.75" customHeight="1">
      <c r="A696" s="4"/>
    </row>
    <row r="697" spans="1:1" ht="15.75" customHeight="1">
      <c r="A697" s="4"/>
    </row>
    <row r="698" spans="1:1" ht="15.75" customHeight="1">
      <c r="A698" s="4"/>
    </row>
    <row r="699" spans="1:1" ht="15.75" customHeight="1">
      <c r="A699" s="4"/>
    </row>
    <row r="700" spans="1:1" ht="15.75" customHeight="1">
      <c r="A700" s="4"/>
    </row>
    <row r="701" spans="1:1" ht="15.75" customHeight="1">
      <c r="A701" s="4"/>
    </row>
    <row r="702" spans="1:1" ht="15.75" customHeight="1">
      <c r="A702" s="4"/>
    </row>
    <row r="703" spans="1:1" ht="15.75" customHeight="1">
      <c r="A703" s="4"/>
    </row>
    <row r="704" spans="1:1" ht="15.75" customHeight="1">
      <c r="A704" s="4"/>
    </row>
    <row r="705" spans="1:1" ht="15.75" customHeight="1">
      <c r="A705" s="4"/>
    </row>
    <row r="706" spans="1:1" ht="15.75" customHeight="1">
      <c r="A706" s="4"/>
    </row>
    <row r="707" spans="1:1" ht="15.75" customHeight="1">
      <c r="A707" s="4"/>
    </row>
    <row r="708" spans="1:1" ht="15.75" customHeight="1">
      <c r="A708" s="4"/>
    </row>
    <row r="709" spans="1:1" ht="15.75" customHeight="1">
      <c r="A709" s="4"/>
    </row>
    <row r="710" spans="1:1" ht="15.75" customHeight="1">
      <c r="A710" s="4"/>
    </row>
    <row r="711" spans="1:1" ht="15.75" customHeight="1">
      <c r="A711" s="4"/>
    </row>
    <row r="712" spans="1:1" ht="15.75" customHeight="1">
      <c r="A712" s="4"/>
    </row>
    <row r="713" spans="1:1" ht="15.75" customHeight="1">
      <c r="A713" s="4"/>
    </row>
    <row r="714" spans="1:1" ht="15.75" customHeight="1">
      <c r="A714" s="4"/>
    </row>
    <row r="715" spans="1:1" ht="15.75" customHeight="1">
      <c r="A715" s="4"/>
    </row>
    <row r="716" spans="1:1" ht="15.75" customHeight="1">
      <c r="A716" s="4"/>
    </row>
    <row r="717" spans="1:1" ht="15.75" customHeight="1">
      <c r="A717" s="4"/>
    </row>
    <row r="718" spans="1:1" ht="15.75" customHeight="1">
      <c r="A718" s="4"/>
    </row>
    <row r="719" spans="1:1" ht="15.75" customHeight="1">
      <c r="A719" s="4"/>
    </row>
    <row r="720" spans="1:1" ht="15.75" customHeight="1">
      <c r="A720" s="4"/>
    </row>
    <row r="721" spans="1:1" ht="15.75" customHeight="1">
      <c r="A721" s="4"/>
    </row>
    <row r="722" spans="1:1" ht="15.75" customHeight="1">
      <c r="A722" s="4"/>
    </row>
    <row r="723" spans="1:1" ht="15.75" customHeight="1">
      <c r="A723" s="4"/>
    </row>
    <row r="724" spans="1:1" ht="15.75" customHeight="1">
      <c r="A724" s="4"/>
    </row>
    <row r="725" spans="1:1" ht="15.75" customHeight="1">
      <c r="A725" s="4"/>
    </row>
    <row r="726" spans="1:1" ht="15.75" customHeight="1">
      <c r="A726" s="4"/>
    </row>
    <row r="727" spans="1:1" ht="15.75" customHeight="1">
      <c r="A727" s="4"/>
    </row>
    <row r="728" spans="1:1" ht="15.75" customHeight="1">
      <c r="A728" s="4"/>
    </row>
    <row r="729" spans="1:1" ht="15.75" customHeight="1">
      <c r="A729" s="4"/>
    </row>
    <row r="730" spans="1:1" ht="15.75" customHeight="1">
      <c r="A730" s="4"/>
    </row>
    <row r="731" spans="1:1" ht="15.75" customHeight="1">
      <c r="A731" s="4"/>
    </row>
    <row r="732" spans="1:1" ht="15.75" customHeight="1">
      <c r="A732" s="4"/>
    </row>
    <row r="733" spans="1:1" ht="15.75" customHeight="1">
      <c r="A733" s="4"/>
    </row>
    <row r="734" spans="1:1" ht="15.75" customHeight="1">
      <c r="A734" s="4"/>
    </row>
    <row r="735" spans="1:1" ht="15.75" customHeight="1">
      <c r="A735" s="4"/>
    </row>
    <row r="736" spans="1:1" ht="15.75" customHeight="1">
      <c r="A736" s="4"/>
    </row>
    <row r="737" spans="1:1" ht="15.75" customHeight="1">
      <c r="A737" s="4"/>
    </row>
    <row r="738" spans="1:1" ht="15.75" customHeight="1">
      <c r="A738" s="4"/>
    </row>
    <row r="739" spans="1:1" ht="15.75" customHeight="1">
      <c r="A739" s="4"/>
    </row>
    <row r="740" spans="1:1" ht="15.75" customHeight="1">
      <c r="A740" s="4"/>
    </row>
    <row r="741" spans="1:1" ht="15.75" customHeight="1">
      <c r="A741" s="4"/>
    </row>
    <row r="742" spans="1:1" ht="15.75" customHeight="1">
      <c r="A742" s="4"/>
    </row>
    <row r="743" spans="1:1" ht="15.75" customHeight="1">
      <c r="A743" s="4"/>
    </row>
    <row r="744" spans="1:1" ht="15.75" customHeight="1">
      <c r="A744" s="4"/>
    </row>
    <row r="745" spans="1:1" ht="15.75" customHeight="1">
      <c r="A745" s="4"/>
    </row>
    <row r="746" spans="1:1" ht="15.75" customHeight="1">
      <c r="A746" s="4"/>
    </row>
    <row r="747" spans="1:1" ht="15.75" customHeight="1">
      <c r="A747" s="4"/>
    </row>
    <row r="748" spans="1:1" ht="15.75" customHeight="1">
      <c r="A748" s="4"/>
    </row>
    <row r="749" spans="1:1" ht="15.75" customHeight="1">
      <c r="A749" s="4"/>
    </row>
    <row r="750" spans="1:1" ht="15.75" customHeight="1">
      <c r="A750" s="4"/>
    </row>
    <row r="751" spans="1:1" ht="15.75" customHeight="1">
      <c r="A751" s="4"/>
    </row>
    <row r="752" spans="1:1" ht="15.75" customHeight="1">
      <c r="A752" s="4"/>
    </row>
    <row r="753" spans="1:1" ht="15.75" customHeight="1">
      <c r="A753" s="4"/>
    </row>
    <row r="754" spans="1:1" ht="15.75" customHeight="1">
      <c r="A754" s="4"/>
    </row>
    <row r="755" spans="1:1" ht="15.75" customHeight="1">
      <c r="A755" s="4"/>
    </row>
    <row r="756" spans="1:1" ht="15.75" customHeight="1">
      <c r="A756" s="4"/>
    </row>
    <row r="757" spans="1:1" ht="15.75" customHeight="1">
      <c r="A757" s="4"/>
    </row>
    <row r="758" spans="1:1" ht="15.75" customHeight="1">
      <c r="A758" s="4"/>
    </row>
    <row r="759" spans="1:1" ht="15.75" customHeight="1">
      <c r="A759" s="4"/>
    </row>
    <row r="760" spans="1:1" ht="15.75" customHeight="1">
      <c r="A760" s="4"/>
    </row>
    <row r="761" spans="1:1" ht="15.75" customHeight="1">
      <c r="A761" s="4"/>
    </row>
    <row r="762" spans="1:1" ht="15.75" customHeight="1">
      <c r="A762" s="4"/>
    </row>
    <row r="763" spans="1:1" ht="15.75" customHeight="1">
      <c r="A763" s="4"/>
    </row>
    <row r="764" spans="1:1" ht="15.75" customHeight="1">
      <c r="A764" s="4"/>
    </row>
    <row r="765" spans="1:1" ht="15.75" customHeight="1">
      <c r="A765" s="4"/>
    </row>
    <row r="766" spans="1:1" ht="15.75" customHeight="1">
      <c r="A766" s="4"/>
    </row>
    <row r="767" spans="1:1" ht="15.75" customHeight="1">
      <c r="A767" s="4"/>
    </row>
    <row r="768" spans="1:1" ht="15.75" customHeight="1">
      <c r="A768" s="4"/>
    </row>
    <row r="769" spans="1:1" ht="15.75" customHeight="1">
      <c r="A769" s="4"/>
    </row>
    <row r="770" spans="1:1" ht="15.75" customHeight="1">
      <c r="A770" s="4"/>
    </row>
    <row r="771" spans="1:1" ht="15.75" customHeight="1">
      <c r="A771" s="4"/>
    </row>
    <row r="772" spans="1:1" ht="15.75" customHeight="1">
      <c r="A772" s="4"/>
    </row>
    <row r="773" spans="1:1" ht="15.75" customHeight="1">
      <c r="A773" s="4"/>
    </row>
    <row r="774" spans="1:1" ht="15.75" customHeight="1">
      <c r="A774" s="4"/>
    </row>
    <row r="775" spans="1:1" ht="15.75" customHeight="1">
      <c r="A775" s="4"/>
    </row>
    <row r="776" spans="1:1" ht="15.75" customHeight="1">
      <c r="A776" s="4"/>
    </row>
    <row r="777" spans="1:1" ht="15.75" customHeight="1">
      <c r="A777" s="4"/>
    </row>
    <row r="778" spans="1:1" ht="15.75" customHeight="1">
      <c r="A778" s="4"/>
    </row>
    <row r="779" spans="1:1" ht="15.75" customHeight="1">
      <c r="A779" s="4"/>
    </row>
    <row r="780" spans="1:1" ht="15.75" customHeight="1">
      <c r="A780" s="4"/>
    </row>
    <row r="781" spans="1:1" ht="15.75" customHeight="1">
      <c r="A781" s="4"/>
    </row>
    <row r="782" spans="1:1" ht="15.75" customHeight="1">
      <c r="A782" s="4"/>
    </row>
    <row r="783" spans="1:1" ht="15.75" customHeight="1">
      <c r="A783" s="4"/>
    </row>
    <row r="784" spans="1:1" ht="15.75" customHeight="1">
      <c r="A784" s="4"/>
    </row>
    <row r="785" spans="1:1" ht="15.75" customHeight="1">
      <c r="A785" s="4"/>
    </row>
    <row r="786" spans="1:1" ht="15.75" customHeight="1">
      <c r="A786" s="4"/>
    </row>
    <row r="787" spans="1:1" ht="15.75" customHeight="1">
      <c r="A787" s="4"/>
    </row>
    <row r="788" spans="1:1" ht="15.75" customHeight="1">
      <c r="A788" s="4"/>
    </row>
    <row r="789" spans="1:1" ht="15.75" customHeight="1">
      <c r="A789" s="4"/>
    </row>
    <row r="790" spans="1:1" ht="15.75" customHeight="1">
      <c r="A790" s="4"/>
    </row>
    <row r="791" spans="1:1" ht="15.75" customHeight="1">
      <c r="A791" s="4"/>
    </row>
    <row r="792" spans="1:1" ht="15.75" customHeight="1">
      <c r="A792" s="4"/>
    </row>
    <row r="793" spans="1:1" ht="15.75" customHeight="1">
      <c r="A793" s="4"/>
    </row>
    <row r="794" spans="1:1" ht="15.75" customHeight="1">
      <c r="A794" s="4"/>
    </row>
    <row r="795" spans="1:1" ht="15.75" customHeight="1">
      <c r="A795" s="4"/>
    </row>
    <row r="796" spans="1:1" ht="15.75" customHeight="1">
      <c r="A796" s="4"/>
    </row>
    <row r="797" spans="1:1" ht="15.75" customHeight="1">
      <c r="A797" s="4"/>
    </row>
    <row r="798" spans="1:1" ht="15.75" customHeight="1">
      <c r="A798" s="4"/>
    </row>
    <row r="799" spans="1:1" ht="15.75" customHeight="1">
      <c r="A799" s="4"/>
    </row>
    <row r="800" spans="1:1" ht="15.75" customHeight="1">
      <c r="A800" s="4"/>
    </row>
    <row r="801" spans="1:1" ht="15.75" customHeight="1">
      <c r="A801" s="4"/>
    </row>
    <row r="802" spans="1:1" ht="15.75" customHeight="1">
      <c r="A802" s="4"/>
    </row>
    <row r="803" spans="1:1" ht="15.75" customHeight="1">
      <c r="A803" s="4"/>
    </row>
    <row r="804" spans="1:1" ht="15.75" customHeight="1">
      <c r="A804" s="4"/>
    </row>
    <row r="805" spans="1:1" ht="15.75" customHeight="1">
      <c r="A805" s="4"/>
    </row>
    <row r="806" spans="1:1" ht="15.75" customHeight="1">
      <c r="A806" s="4"/>
    </row>
    <row r="807" spans="1:1" ht="15.75" customHeight="1">
      <c r="A807" s="4"/>
    </row>
    <row r="808" spans="1:1" ht="15.75" customHeight="1">
      <c r="A808" s="4"/>
    </row>
    <row r="809" spans="1:1" ht="15.75" customHeight="1">
      <c r="A809" s="4"/>
    </row>
    <row r="810" spans="1:1" ht="15.75" customHeight="1">
      <c r="A810" s="4"/>
    </row>
    <row r="811" spans="1:1" ht="15.75" customHeight="1">
      <c r="A811" s="4"/>
    </row>
    <row r="812" spans="1:1" ht="15.75" customHeight="1">
      <c r="A812" s="4"/>
    </row>
    <row r="813" spans="1:1" ht="15.75" customHeight="1">
      <c r="A813" s="4"/>
    </row>
    <row r="814" spans="1:1" ht="15.75" customHeight="1">
      <c r="A814" s="4"/>
    </row>
    <row r="815" spans="1:1" ht="15.75" customHeight="1">
      <c r="A815" s="4"/>
    </row>
    <row r="816" spans="1:1" ht="15.75" customHeight="1">
      <c r="A816" s="4"/>
    </row>
    <row r="817" spans="1:1" ht="15.75" customHeight="1">
      <c r="A817" s="4"/>
    </row>
    <row r="818" spans="1:1" ht="15.75" customHeight="1">
      <c r="A818" s="4"/>
    </row>
    <row r="819" spans="1:1" ht="15.75" customHeight="1">
      <c r="A819" s="4"/>
    </row>
    <row r="820" spans="1:1" ht="15.75" customHeight="1">
      <c r="A820" s="4"/>
    </row>
    <row r="821" spans="1:1" ht="15.75" customHeight="1">
      <c r="A821" s="4"/>
    </row>
    <row r="822" spans="1:1" ht="15.75" customHeight="1">
      <c r="A822" s="4"/>
    </row>
    <row r="823" spans="1:1" ht="15.75" customHeight="1">
      <c r="A823" s="4"/>
    </row>
    <row r="824" spans="1:1" ht="15.75" customHeight="1">
      <c r="A824" s="4"/>
    </row>
    <row r="825" spans="1:1" ht="15.75" customHeight="1">
      <c r="A825" s="4"/>
    </row>
    <row r="826" spans="1:1" ht="15.75" customHeight="1">
      <c r="A826" s="4"/>
    </row>
    <row r="827" spans="1:1" ht="15.75" customHeight="1">
      <c r="A827" s="4"/>
    </row>
    <row r="828" spans="1:1" ht="15.75" customHeight="1">
      <c r="A828" s="4"/>
    </row>
    <row r="829" spans="1:1" ht="15.75" customHeight="1">
      <c r="A829" s="4"/>
    </row>
    <row r="830" spans="1:1" ht="15.75" customHeight="1">
      <c r="A830" s="4"/>
    </row>
    <row r="831" spans="1:1" ht="15.75" customHeight="1">
      <c r="A831" s="4"/>
    </row>
    <row r="832" spans="1:1" ht="15.75" customHeight="1">
      <c r="A832" s="4"/>
    </row>
    <row r="833" spans="1:1" ht="15.75" customHeight="1">
      <c r="A833" s="4"/>
    </row>
    <row r="834" spans="1:1" ht="15.75" customHeight="1">
      <c r="A834" s="4"/>
    </row>
    <row r="835" spans="1:1" ht="15.75" customHeight="1">
      <c r="A835" s="4"/>
    </row>
    <row r="836" spans="1:1" ht="15.75" customHeight="1">
      <c r="A836" s="4"/>
    </row>
    <row r="837" spans="1:1" ht="15.75" customHeight="1">
      <c r="A837" s="4"/>
    </row>
    <row r="838" spans="1:1" ht="15.75" customHeight="1">
      <c r="A838" s="4"/>
    </row>
    <row r="839" spans="1:1" ht="15.75" customHeight="1">
      <c r="A839" s="4"/>
    </row>
    <row r="840" spans="1:1" ht="15.75" customHeight="1">
      <c r="A840" s="4"/>
    </row>
    <row r="841" spans="1:1" ht="15.75" customHeight="1">
      <c r="A841" s="4"/>
    </row>
    <row r="842" spans="1:1" ht="15.75" customHeight="1">
      <c r="A842" s="4"/>
    </row>
    <row r="843" spans="1:1" ht="15.75" customHeight="1">
      <c r="A843" s="4"/>
    </row>
    <row r="844" spans="1:1" ht="15.75" customHeight="1">
      <c r="A844" s="4"/>
    </row>
    <row r="845" spans="1:1" ht="15.75" customHeight="1">
      <c r="A845" s="4"/>
    </row>
    <row r="846" spans="1:1" ht="15.75" customHeight="1">
      <c r="A846" s="4"/>
    </row>
    <row r="847" spans="1:1" ht="15.75" customHeight="1">
      <c r="A847" s="4"/>
    </row>
    <row r="848" spans="1:1" ht="15.75" customHeight="1">
      <c r="A848" s="4"/>
    </row>
    <row r="849" spans="1:1" ht="15.75" customHeight="1">
      <c r="A849" s="4"/>
    </row>
    <row r="850" spans="1:1" ht="15.75" customHeight="1">
      <c r="A850" s="4"/>
    </row>
    <row r="851" spans="1:1" ht="15.75" customHeight="1">
      <c r="A851" s="4"/>
    </row>
    <row r="852" spans="1:1" ht="15.75" customHeight="1">
      <c r="A852" s="4"/>
    </row>
    <row r="853" spans="1:1" ht="15.75" customHeight="1">
      <c r="A853" s="4"/>
    </row>
    <row r="854" spans="1:1" ht="15.75" customHeight="1">
      <c r="A854" s="4"/>
    </row>
    <row r="855" spans="1:1" ht="15.75" customHeight="1">
      <c r="A855" s="4"/>
    </row>
    <row r="856" spans="1:1" ht="15.75" customHeight="1">
      <c r="A856" s="4"/>
    </row>
    <row r="857" spans="1:1" ht="15.75" customHeight="1">
      <c r="A857" s="4"/>
    </row>
    <row r="858" spans="1:1" ht="15.75" customHeight="1">
      <c r="A858" s="4"/>
    </row>
    <row r="859" spans="1:1" ht="15.75" customHeight="1">
      <c r="A859" s="4"/>
    </row>
    <row r="860" spans="1:1" ht="15.75" customHeight="1">
      <c r="A860" s="4"/>
    </row>
    <row r="861" spans="1:1" ht="15.75" customHeight="1">
      <c r="A861" s="4"/>
    </row>
    <row r="862" spans="1:1" ht="15.75" customHeight="1">
      <c r="A862" s="4"/>
    </row>
    <row r="863" spans="1:1" ht="15.75" customHeight="1">
      <c r="A863" s="4"/>
    </row>
    <row r="864" spans="1:1" ht="15.75" customHeight="1">
      <c r="A864" s="4"/>
    </row>
    <row r="865" spans="1:1" ht="15.75" customHeight="1">
      <c r="A865" s="4"/>
    </row>
    <row r="866" spans="1:1" ht="15.75" customHeight="1">
      <c r="A866" s="4"/>
    </row>
    <row r="867" spans="1:1" ht="15.75" customHeight="1">
      <c r="A867" s="4"/>
    </row>
    <row r="868" spans="1:1" ht="15.75" customHeight="1">
      <c r="A868" s="4"/>
    </row>
    <row r="869" spans="1:1" ht="15.75" customHeight="1">
      <c r="A869" s="4"/>
    </row>
    <row r="870" spans="1:1" ht="15.75" customHeight="1">
      <c r="A870" s="4"/>
    </row>
    <row r="871" spans="1:1" ht="15.75" customHeight="1">
      <c r="A871" s="4"/>
    </row>
    <row r="872" spans="1:1" ht="15.75" customHeight="1">
      <c r="A872" s="4"/>
    </row>
    <row r="873" spans="1:1" ht="15.75" customHeight="1">
      <c r="A873" s="4"/>
    </row>
    <row r="874" spans="1:1" ht="15.75" customHeight="1">
      <c r="A874" s="4"/>
    </row>
    <row r="875" spans="1:1" ht="15.75" customHeight="1">
      <c r="A875" s="4"/>
    </row>
    <row r="876" spans="1:1" ht="15.75" customHeight="1">
      <c r="A876" s="4"/>
    </row>
    <row r="877" spans="1:1" ht="15.75" customHeight="1">
      <c r="A877" s="4"/>
    </row>
    <row r="878" spans="1:1" ht="15.75" customHeight="1">
      <c r="A878" s="4"/>
    </row>
    <row r="879" spans="1:1" ht="15.75" customHeight="1">
      <c r="A879" s="4"/>
    </row>
    <row r="880" spans="1:1" ht="15.75" customHeight="1">
      <c r="A880" s="4"/>
    </row>
    <row r="881" spans="1:1" ht="15.75" customHeight="1">
      <c r="A881" s="4"/>
    </row>
    <row r="882" spans="1:1" ht="15.75" customHeight="1">
      <c r="A882" s="4"/>
    </row>
    <row r="883" spans="1:1" ht="15.75" customHeight="1">
      <c r="A883" s="4"/>
    </row>
    <row r="884" spans="1:1" ht="15.75" customHeight="1">
      <c r="A884" s="4"/>
    </row>
    <row r="885" spans="1:1" ht="15.75" customHeight="1">
      <c r="A885" s="4"/>
    </row>
    <row r="886" spans="1:1" ht="15.75" customHeight="1">
      <c r="A886" s="4"/>
    </row>
    <row r="887" spans="1:1" ht="15.75" customHeight="1">
      <c r="A887" s="4"/>
    </row>
    <row r="888" spans="1:1" ht="15.75" customHeight="1">
      <c r="A888" s="4"/>
    </row>
    <row r="889" spans="1:1" ht="15.75" customHeight="1">
      <c r="A889" s="4"/>
    </row>
    <row r="890" spans="1:1" ht="15.75" customHeight="1">
      <c r="A890" s="4"/>
    </row>
    <row r="891" spans="1:1" ht="15.75" customHeight="1">
      <c r="A891" s="4"/>
    </row>
    <row r="892" spans="1:1" ht="15.75" customHeight="1">
      <c r="A892" s="4"/>
    </row>
    <row r="893" spans="1:1" ht="15.75" customHeight="1">
      <c r="A893" s="4"/>
    </row>
    <row r="894" spans="1:1" ht="15.75" customHeight="1">
      <c r="A894" s="4"/>
    </row>
    <row r="895" spans="1:1" ht="15.75" customHeight="1">
      <c r="A895" s="4"/>
    </row>
    <row r="896" spans="1:1" ht="15.75" customHeight="1">
      <c r="A896" s="4"/>
    </row>
    <row r="897" spans="1:1" ht="15.75" customHeight="1">
      <c r="A897" s="4"/>
    </row>
    <row r="898" spans="1:1" ht="15.75" customHeight="1">
      <c r="A898" s="4"/>
    </row>
    <row r="899" spans="1:1" ht="15.75" customHeight="1">
      <c r="A899" s="4"/>
    </row>
    <row r="900" spans="1:1" ht="15.75" customHeight="1">
      <c r="A900" s="4"/>
    </row>
    <row r="901" spans="1:1" ht="15.75" customHeight="1">
      <c r="A901" s="4"/>
    </row>
    <row r="902" spans="1:1" ht="15.75" customHeight="1">
      <c r="A902" s="4"/>
    </row>
    <row r="903" spans="1:1" ht="15.75" customHeight="1">
      <c r="A903" s="4"/>
    </row>
    <row r="904" spans="1:1" ht="15.75" customHeight="1">
      <c r="A904" s="4"/>
    </row>
    <row r="905" spans="1:1" ht="15.75" customHeight="1">
      <c r="A905" s="4"/>
    </row>
    <row r="906" spans="1:1" ht="15.75" customHeight="1">
      <c r="A906" s="4"/>
    </row>
    <row r="907" spans="1:1" ht="15.75" customHeight="1">
      <c r="A907" s="4"/>
    </row>
    <row r="908" spans="1:1" ht="15.75" customHeight="1">
      <c r="A908" s="4"/>
    </row>
    <row r="909" spans="1:1" ht="15.75" customHeight="1">
      <c r="A909" s="4"/>
    </row>
    <row r="910" spans="1:1" ht="15.75" customHeight="1">
      <c r="A910" s="4"/>
    </row>
    <row r="911" spans="1:1" ht="15.75" customHeight="1">
      <c r="A911" s="4"/>
    </row>
    <row r="912" spans="1:1" ht="15.75" customHeight="1">
      <c r="A912" s="4"/>
    </row>
    <row r="913" spans="1:1" ht="15.75" customHeight="1">
      <c r="A913" s="4"/>
    </row>
    <row r="914" spans="1:1" ht="15.75" customHeight="1">
      <c r="A914" s="4"/>
    </row>
    <row r="915" spans="1:1" ht="15.75" customHeight="1">
      <c r="A915" s="4"/>
    </row>
    <row r="916" spans="1:1" ht="15.75" customHeight="1">
      <c r="A916" s="4"/>
    </row>
    <row r="917" spans="1:1" ht="15.75" customHeight="1">
      <c r="A917" s="4"/>
    </row>
    <row r="918" spans="1:1" ht="15.75" customHeight="1">
      <c r="A918" s="4"/>
    </row>
    <row r="919" spans="1:1" ht="15.75" customHeight="1">
      <c r="A919" s="4"/>
    </row>
    <row r="920" spans="1:1" ht="15.75" customHeight="1">
      <c r="A920" s="4"/>
    </row>
    <row r="921" spans="1:1" ht="15.75" customHeight="1">
      <c r="A921" s="4"/>
    </row>
    <row r="922" spans="1:1" ht="15.75" customHeight="1">
      <c r="A922" s="4"/>
    </row>
    <row r="923" spans="1:1" ht="15.75" customHeight="1">
      <c r="A923" s="4"/>
    </row>
    <row r="924" spans="1:1" ht="15.75" customHeight="1">
      <c r="A924" s="4"/>
    </row>
    <row r="925" spans="1:1" ht="15.75" customHeight="1">
      <c r="A925" s="4"/>
    </row>
    <row r="926" spans="1:1" ht="15.75" customHeight="1">
      <c r="A926" s="4"/>
    </row>
    <row r="927" spans="1:1" ht="15.75" customHeight="1">
      <c r="A927" s="4"/>
    </row>
    <row r="928" spans="1:1" ht="15.75" customHeight="1">
      <c r="A928" s="4"/>
    </row>
    <row r="929" spans="1:1" ht="15.75" customHeight="1">
      <c r="A929" s="4"/>
    </row>
    <row r="930" spans="1:1" ht="15.75" customHeight="1">
      <c r="A930" s="4"/>
    </row>
    <row r="931" spans="1:1" ht="15.75" customHeight="1">
      <c r="A931" s="4"/>
    </row>
    <row r="932" spans="1:1" ht="15.75" customHeight="1">
      <c r="A932" s="4"/>
    </row>
    <row r="933" spans="1:1" ht="15.75" customHeight="1">
      <c r="A933" s="4"/>
    </row>
    <row r="934" spans="1:1" ht="15.75" customHeight="1">
      <c r="A934" s="4"/>
    </row>
    <row r="935" spans="1:1" ht="15.75" customHeight="1">
      <c r="A935" s="4"/>
    </row>
    <row r="936" spans="1:1" ht="15.75" customHeight="1">
      <c r="A936" s="4"/>
    </row>
    <row r="937" spans="1:1" ht="15.75" customHeight="1">
      <c r="A937" s="4"/>
    </row>
    <row r="938" spans="1:1" ht="15.75" customHeight="1">
      <c r="A938" s="4"/>
    </row>
    <row r="939" spans="1:1" ht="15.75" customHeight="1">
      <c r="A939" s="4"/>
    </row>
    <row r="940" spans="1:1" ht="15.75" customHeight="1">
      <c r="A940" s="4"/>
    </row>
    <row r="941" spans="1:1" ht="15.75" customHeight="1">
      <c r="A941" s="4"/>
    </row>
    <row r="942" spans="1:1" ht="15.75" customHeight="1">
      <c r="A942" s="4"/>
    </row>
    <row r="943" spans="1:1" ht="15.75" customHeight="1">
      <c r="A943" s="4"/>
    </row>
    <row r="944" spans="1:1" ht="15.75" customHeight="1">
      <c r="A944" s="4"/>
    </row>
    <row r="945" spans="1:1" ht="15.75" customHeight="1">
      <c r="A945" s="4"/>
    </row>
    <row r="946" spans="1:1" ht="15.75" customHeight="1">
      <c r="A946" s="4"/>
    </row>
    <row r="947" spans="1:1" ht="15.75" customHeight="1">
      <c r="A947" s="4"/>
    </row>
    <row r="948" spans="1:1" ht="15.75" customHeight="1">
      <c r="A948" s="4"/>
    </row>
    <row r="949" spans="1:1" ht="15.75" customHeight="1">
      <c r="A949" s="4"/>
    </row>
    <row r="950" spans="1:1" ht="15.75" customHeight="1">
      <c r="A950" s="4"/>
    </row>
    <row r="951" spans="1:1" ht="15.75" customHeight="1">
      <c r="A951" s="4"/>
    </row>
    <row r="952" spans="1:1" ht="15.75" customHeight="1">
      <c r="A952" s="4"/>
    </row>
    <row r="953" spans="1:1" ht="15.75" customHeight="1">
      <c r="A953" s="4"/>
    </row>
    <row r="954" spans="1:1" ht="15.75" customHeight="1">
      <c r="A954" s="4"/>
    </row>
    <row r="955" spans="1:1" ht="15.75" customHeight="1">
      <c r="A955" s="4"/>
    </row>
    <row r="956" spans="1:1" ht="15.75" customHeight="1">
      <c r="A956" s="4"/>
    </row>
    <row r="957" spans="1:1" ht="15.75" customHeight="1">
      <c r="A957" s="4"/>
    </row>
    <row r="958" spans="1:1" ht="15.75" customHeight="1">
      <c r="A958" s="4"/>
    </row>
    <row r="959" spans="1:1" ht="15.75" customHeight="1">
      <c r="A959" s="4"/>
    </row>
    <row r="960" spans="1:1" ht="15.75" customHeight="1">
      <c r="A960" s="4"/>
    </row>
    <row r="961" spans="1:1" ht="15.75" customHeight="1">
      <c r="A961" s="4"/>
    </row>
    <row r="962" spans="1:1" ht="15.75" customHeight="1">
      <c r="A962" s="4"/>
    </row>
    <row r="963" spans="1:1" ht="15.75" customHeight="1">
      <c r="A963" s="4"/>
    </row>
    <row r="964" spans="1:1" ht="15.75" customHeight="1">
      <c r="A964" s="4"/>
    </row>
    <row r="965" spans="1:1" ht="15.75" customHeight="1">
      <c r="A965" s="4"/>
    </row>
    <row r="966" spans="1:1" ht="15.75" customHeight="1">
      <c r="A966" s="4"/>
    </row>
    <row r="967" spans="1:1" ht="15.75" customHeight="1">
      <c r="A967" s="4"/>
    </row>
    <row r="968" spans="1:1" ht="15.75" customHeight="1">
      <c r="A968" s="4"/>
    </row>
    <row r="969" spans="1:1" ht="15.75" customHeight="1">
      <c r="A969" s="4"/>
    </row>
    <row r="970" spans="1:1" ht="15.75" customHeight="1">
      <c r="A970" s="4"/>
    </row>
    <row r="971" spans="1:1" ht="15.75" customHeight="1">
      <c r="A971" s="4"/>
    </row>
    <row r="972" spans="1:1" ht="15.75" customHeight="1">
      <c r="A972" s="4"/>
    </row>
    <row r="973" spans="1:1" ht="15.75" customHeight="1">
      <c r="A973" s="4"/>
    </row>
    <row r="974" spans="1:1" ht="15.75" customHeight="1">
      <c r="A974" s="4"/>
    </row>
    <row r="975" spans="1:1" ht="15.75" customHeight="1">
      <c r="A975" s="4"/>
    </row>
    <row r="976" spans="1:1" ht="15.75" customHeight="1">
      <c r="A976" s="4"/>
    </row>
    <row r="977" spans="1:1" ht="15.75" customHeight="1">
      <c r="A977" s="4"/>
    </row>
    <row r="978" spans="1:1" ht="15.75" customHeight="1">
      <c r="A978" s="4"/>
    </row>
    <row r="979" spans="1:1" ht="15.75" customHeight="1">
      <c r="A979" s="4"/>
    </row>
    <row r="980" spans="1:1" ht="15.75" customHeight="1">
      <c r="A980" s="4"/>
    </row>
    <row r="981" spans="1:1" ht="15.75" customHeight="1">
      <c r="A981" s="4"/>
    </row>
    <row r="982" spans="1:1" ht="15.75" customHeight="1">
      <c r="A982" s="4"/>
    </row>
    <row r="983" spans="1:1" ht="15.75" customHeight="1">
      <c r="A983" s="4"/>
    </row>
    <row r="984" spans="1:1" ht="15.75" customHeight="1">
      <c r="A984" s="4"/>
    </row>
    <row r="985" spans="1:1" ht="15.75" customHeight="1">
      <c r="A985" s="4"/>
    </row>
    <row r="986" spans="1:1" ht="15.75" customHeight="1">
      <c r="A986" s="4"/>
    </row>
    <row r="987" spans="1:1" ht="15.75" customHeight="1">
      <c r="A987" s="4"/>
    </row>
    <row r="988" spans="1:1" ht="15.75" customHeight="1">
      <c r="A988" s="4"/>
    </row>
    <row r="989" spans="1:1" ht="15.75" customHeight="1">
      <c r="A989" s="4"/>
    </row>
    <row r="990" spans="1:1" ht="15.75" customHeight="1">
      <c r="A990" s="4"/>
    </row>
    <row r="991" spans="1:1" ht="15.75" customHeight="1">
      <c r="A991" s="4"/>
    </row>
    <row r="992" spans="1:1" ht="15.75" customHeight="1">
      <c r="A992" s="4"/>
    </row>
    <row r="993" spans="1:1" ht="15.75" customHeight="1">
      <c r="A993" s="4"/>
    </row>
    <row r="994" spans="1:1" ht="15.75" customHeight="1">
      <c r="A994" s="4"/>
    </row>
    <row r="995" spans="1:1" ht="15.75" customHeight="1">
      <c r="A995" s="4"/>
    </row>
    <row r="996" spans="1:1" ht="15.75" customHeight="1">
      <c r="A996" s="4"/>
    </row>
    <row r="997" spans="1:1" ht="15.75" customHeight="1">
      <c r="A997" s="4"/>
    </row>
    <row r="998" spans="1:1" ht="15.75" customHeight="1">
      <c r="A998" s="4"/>
    </row>
    <row r="999" spans="1:1" ht="15.75" customHeight="1">
      <c r="A999" s="4"/>
    </row>
    <row r="1000" spans="1:1" ht="15.75" customHeight="1">
      <c r="A1000" s="4"/>
    </row>
  </sheetData>
  <mergeCells count="15">
    <mergeCell ref="C33:C44"/>
    <mergeCell ref="C22:C32"/>
    <mergeCell ref="G33:G44"/>
    <mergeCell ref="D33:F44"/>
    <mergeCell ref="G10:G21"/>
    <mergeCell ref="D10:F21"/>
    <mergeCell ref="G22:G32"/>
    <mergeCell ref="D22:F32"/>
    <mergeCell ref="F6:G9"/>
    <mergeCell ref="C10:C21"/>
    <mergeCell ref="C6:C9"/>
    <mergeCell ref="D6:E6"/>
    <mergeCell ref="D7:E7"/>
    <mergeCell ref="D8:E8"/>
    <mergeCell ref="D9:E9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defaultColWidth="11.125" defaultRowHeight="15" customHeight="1"/>
  <cols>
    <col min="1" max="1" width="6.625" customWidth="1"/>
    <col min="2" max="2" width="4.125" customWidth="1"/>
    <col min="3" max="3" width="18.625" customWidth="1"/>
    <col min="4" max="4" width="14" customWidth="1"/>
    <col min="5" max="5" width="5.5" customWidth="1"/>
    <col min="6" max="6" width="36.625" customWidth="1"/>
    <col min="7" max="7" width="9.125" customWidth="1"/>
    <col min="8" max="8" width="12.375" customWidth="1"/>
    <col min="9" max="9" width="11.625" customWidth="1"/>
    <col min="10" max="26" width="8.875" customWidth="1"/>
  </cols>
  <sheetData>
    <row r="1" spans="1:26" ht="30.75" customHeight="1">
      <c r="D1" s="15"/>
      <c r="F1" s="16"/>
      <c r="G1" s="17"/>
      <c r="H1" s="16"/>
    </row>
    <row r="2" spans="1:26" ht="30" customHeight="1">
      <c r="A2" s="18"/>
      <c r="B2" s="19" t="s">
        <v>82</v>
      </c>
      <c r="C2" s="19"/>
      <c r="D2" s="20"/>
      <c r="E2" s="19"/>
      <c r="F2" s="19"/>
      <c r="G2" s="20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8" customHeight="1">
      <c r="A3" s="18"/>
      <c r="B3" s="21" t="s">
        <v>83</v>
      </c>
      <c r="C3" s="21"/>
      <c r="D3" s="22"/>
      <c r="E3" s="21"/>
      <c r="F3" s="21"/>
      <c r="G3" s="22"/>
      <c r="H3" s="18"/>
      <c r="I3" s="18"/>
      <c r="J3" s="18"/>
      <c r="K3" s="23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3.5" customHeight="1">
      <c r="A4" s="18"/>
      <c r="B4" s="24"/>
      <c r="C4" s="24"/>
      <c r="D4" s="20"/>
      <c r="E4" s="24"/>
      <c r="F4" s="24"/>
      <c r="G4" s="20"/>
      <c r="H4" s="18"/>
      <c r="I4" s="18"/>
      <c r="J4" s="18"/>
      <c r="K4" s="23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22.5" customHeight="1">
      <c r="A5" s="25"/>
      <c r="B5" s="26" t="s">
        <v>84</v>
      </c>
      <c r="C5" s="25"/>
      <c r="D5" s="28" t="s">
        <v>5</v>
      </c>
      <c r="E5" s="29" t="s">
        <v>85</v>
      </c>
      <c r="F5" s="25"/>
      <c r="G5" s="30"/>
      <c r="H5" s="25"/>
      <c r="I5" s="25"/>
      <c r="J5" s="25"/>
      <c r="K5" s="29" t="s">
        <v>86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22.5" customHeight="1">
      <c r="A6" s="25"/>
      <c r="B6" s="26" t="s">
        <v>87</v>
      </c>
      <c r="C6" s="25"/>
      <c r="D6" s="28" t="s">
        <v>5</v>
      </c>
      <c r="E6" s="29" t="s">
        <v>88</v>
      </c>
      <c r="F6" s="25"/>
      <c r="G6" s="30"/>
      <c r="H6" s="25"/>
      <c r="I6" s="25"/>
      <c r="J6" s="25"/>
      <c r="K6" s="29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22.5" customHeight="1">
      <c r="A7" s="25"/>
      <c r="B7" s="25"/>
      <c r="C7" s="26"/>
      <c r="D7" s="32"/>
      <c r="E7" s="26"/>
      <c r="F7" s="29"/>
      <c r="G7" s="34"/>
      <c r="H7" s="25"/>
      <c r="I7" s="25"/>
      <c r="J7" s="25"/>
      <c r="K7" s="29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8.75" customHeight="1">
      <c r="A8" s="35"/>
      <c r="B8" s="458" t="s">
        <v>90</v>
      </c>
      <c r="C8" s="458" t="s">
        <v>92</v>
      </c>
      <c r="D8" s="459" t="s">
        <v>93</v>
      </c>
      <c r="E8" s="461" t="s">
        <v>94</v>
      </c>
      <c r="F8" s="445"/>
      <c r="G8" s="465" t="s">
        <v>95</v>
      </c>
      <c r="H8" s="466" t="s">
        <v>96</v>
      </c>
      <c r="I8" s="466" t="s">
        <v>97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18.75" customHeight="1">
      <c r="A9" s="16"/>
      <c r="B9" s="451"/>
      <c r="C9" s="451"/>
      <c r="D9" s="451"/>
      <c r="E9" s="454"/>
      <c r="F9" s="456"/>
      <c r="G9" s="451"/>
      <c r="H9" s="467"/>
      <c r="I9" s="467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30.75" customHeight="1">
      <c r="A10" s="37"/>
      <c r="B10" s="41" t="s">
        <v>15</v>
      </c>
      <c r="C10" s="41" t="s">
        <v>16</v>
      </c>
      <c r="D10" s="42"/>
      <c r="E10" s="44"/>
      <c r="F10" s="46"/>
      <c r="G10" s="47"/>
      <c r="H10" s="48">
        <v>4</v>
      </c>
      <c r="I10" s="50">
        <f t="shared" ref="I10:I26" si="0">G10*H10</f>
        <v>0</v>
      </c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30.75" customHeight="1">
      <c r="A11" s="37"/>
      <c r="B11" s="51"/>
      <c r="C11" s="51"/>
      <c r="D11" s="54"/>
      <c r="E11" s="44"/>
      <c r="F11" s="46"/>
      <c r="G11" s="47"/>
      <c r="H11" s="48">
        <v>4</v>
      </c>
      <c r="I11" s="50">
        <f t="shared" si="0"/>
        <v>0</v>
      </c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30.75" customHeight="1">
      <c r="A12" s="37"/>
      <c r="B12" s="56"/>
      <c r="C12" s="56"/>
      <c r="D12" s="58"/>
      <c r="E12" s="44"/>
      <c r="F12" s="46"/>
      <c r="G12" s="47"/>
      <c r="H12" s="48">
        <v>4</v>
      </c>
      <c r="I12" s="50">
        <f t="shared" si="0"/>
        <v>0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30.75" customHeight="1">
      <c r="A13" s="37"/>
      <c r="B13" s="41" t="s">
        <v>20</v>
      </c>
      <c r="C13" s="41" t="s">
        <v>21</v>
      </c>
      <c r="D13" s="42"/>
      <c r="E13" s="44"/>
      <c r="F13" s="46"/>
      <c r="G13" s="47"/>
      <c r="H13" s="48">
        <v>4</v>
      </c>
      <c r="I13" s="50">
        <f t="shared" si="0"/>
        <v>0</v>
      </c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30.75" customHeight="1">
      <c r="A14" s="37"/>
      <c r="B14" s="51"/>
      <c r="C14" s="51"/>
      <c r="D14" s="54"/>
      <c r="E14" s="44"/>
      <c r="F14" s="46"/>
      <c r="G14" s="47"/>
      <c r="H14" s="48">
        <v>4</v>
      </c>
      <c r="I14" s="50">
        <f t="shared" si="0"/>
        <v>0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30.75" customHeight="1">
      <c r="A15" s="37"/>
      <c r="B15" s="51"/>
      <c r="C15" s="51"/>
      <c r="D15" s="54"/>
      <c r="E15" s="44"/>
      <c r="F15" s="46"/>
      <c r="G15" s="47"/>
      <c r="H15" s="48">
        <v>4</v>
      </c>
      <c r="I15" s="50">
        <f t="shared" si="0"/>
        <v>0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30.75" customHeight="1">
      <c r="A16" s="37"/>
      <c r="B16" s="51"/>
      <c r="C16" s="51"/>
      <c r="D16" s="54"/>
      <c r="E16" s="44"/>
      <c r="F16" s="46"/>
      <c r="G16" s="47"/>
      <c r="H16" s="48">
        <v>4</v>
      </c>
      <c r="I16" s="50">
        <f t="shared" si="0"/>
        <v>0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30.75" customHeight="1">
      <c r="A17" s="37"/>
      <c r="B17" s="56"/>
      <c r="C17" s="56"/>
      <c r="D17" s="58"/>
      <c r="E17" s="44"/>
      <c r="F17" s="46"/>
      <c r="G17" s="47"/>
      <c r="H17" s="48">
        <v>4</v>
      </c>
      <c r="I17" s="50">
        <f t="shared" si="0"/>
        <v>0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30.75" customHeight="1">
      <c r="A18" s="37"/>
      <c r="B18" s="41" t="s">
        <v>28</v>
      </c>
      <c r="C18" s="41" t="s">
        <v>29</v>
      </c>
      <c r="D18" s="42"/>
      <c r="E18" s="44"/>
      <c r="F18" s="46"/>
      <c r="G18" s="47"/>
      <c r="H18" s="48">
        <v>4</v>
      </c>
      <c r="I18" s="50">
        <f t="shared" si="0"/>
        <v>0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30.75" customHeight="1">
      <c r="A19" s="37"/>
      <c r="B19" s="51"/>
      <c r="C19" s="51"/>
      <c r="D19" s="54"/>
      <c r="E19" s="44"/>
      <c r="F19" s="46"/>
      <c r="G19" s="47"/>
      <c r="H19" s="48">
        <v>4</v>
      </c>
      <c r="I19" s="50">
        <f t="shared" si="0"/>
        <v>0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30.75" customHeight="1">
      <c r="A20" s="37"/>
      <c r="B20" s="51"/>
      <c r="C20" s="51"/>
      <c r="D20" s="54"/>
      <c r="E20" s="44"/>
      <c r="F20" s="46"/>
      <c r="G20" s="47"/>
      <c r="H20" s="48">
        <v>4</v>
      </c>
      <c r="I20" s="50">
        <f t="shared" si="0"/>
        <v>0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30.75" customHeight="1">
      <c r="A21" s="37"/>
      <c r="B21" s="51"/>
      <c r="C21" s="51"/>
      <c r="D21" s="54"/>
      <c r="E21" s="44"/>
      <c r="F21" s="46"/>
      <c r="G21" s="47"/>
      <c r="H21" s="48">
        <v>4</v>
      </c>
      <c r="I21" s="50">
        <f t="shared" si="0"/>
        <v>0</v>
      </c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30.75" customHeight="1">
      <c r="A22" s="37"/>
      <c r="B22" s="51"/>
      <c r="C22" s="51"/>
      <c r="D22" s="54"/>
      <c r="E22" s="44"/>
      <c r="F22" s="46"/>
      <c r="G22" s="47"/>
      <c r="H22" s="48">
        <v>4</v>
      </c>
      <c r="I22" s="50">
        <f t="shared" si="0"/>
        <v>0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30.75" customHeight="1">
      <c r="A23" s="37"/>
      <c r="B23" s="56"/>
      <c r="C23" s="56"/>
      <c r="D23" s="58"/>
      <c r="E23" s="44"/>
      <c r="F23" s="46"/>
      <c r="G23" s="47"/>
      <c r="H23" s="48">
        <v>4</v>
      </c>
      <c r="I23" s="50">
        <f t="shared" si="0"/>
        <v>0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30.75" customHeight="1">
      <c r="A24" s="37"/>
      <c r="B24" s="41" t="s">
        <v>34</v>
      </c>
      <c r="C24" s="41" t="s">
        <v>35</v>
      </c>
      <c r="D24" s="42"/>
      <c r="E24" s="44"/>
      <c r="F24" s="46"/>
      <c r="G24" s="47"/>
      <c r="H24" s="48">
        <v>4</v>
      </c>
      <c r="I24" s="50">
        <f t="shared" si="0"/>
        <v>0</v>
      </c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30.75" customHeight="1">
      <c r="A25" s="37"/>
      <c r="B25" s="51"/>
      <c r="C25" s="51"/>
      <c r="D25" s="54"/>
      <c r="E25" s="44"/>
      <c r="F25" s="46"/>
      <c r="G25" s="47"/>
      <c r="H25" s="48">
        <v>4</v>
      </c>
      <c r="I25" s="50">
        <f t="shared" si="0"/>
        <v>0</v>
      </c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30.75" customHeight="1">
      <c r="A26" s="37"/>
      <c r="B26" s="56"/>
      <c r="C26" s="56"/>
      <c r="D26" s="58"/>
      <c r="E26" s="44"/>
      <c r="F26" s="46"/>
      <c r="G26" s="47"/>
      <c r="H26" s="48">
        <v>4</v>
      </c>
      <c r="I26" s="50">
        <f t="shared" si="0"/>
        <v>0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30.75" customHeight="1">
      <c r="A27" s="25"/>
      <c r="B27" s="25"/>
      <c r="C27" s="63" t="s">
        <v>141</v>
      </c>
      <c r="D27" s="64">
        <f>SUM(D10:D26)</f>
        <v>0</v>
      </c>
      <c r="E27" s="462" t="s">
        <v>146</v>
      </c>
      <c r="F27" s="463"/>
      <c r="G27" s="66">
        <f>SUM(G10:G26)</f>
        <v>0</v>
      </c>
      <c r="H27" s="464">
        <f>SUM(I10:I26)</f>
        <v>0</v>
      </c>
      <c r="I27" s="463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30.75" customHeight="1">
      <c r="A28" s="25"/>
      <c r="B28" s="460" t="s">
        <v>148</v>
      </c>
      <c r="C28" s="453"/>
      <c r="D28" s="447"/>
      <c r="E28" s="461" t="s">
        <v>149</v>
      </c>
      <c r="F28" s="452"/>
      <c r="G28" s="445"/>
      <c r="H28" s="468" t="str">
        <f>IF(H27&lt;2.5, "D", IF(H27&lt;=2.75, "C", IF(H27&lt;=2.99, "B-", IF(H27&lt;=3.25, "B", IF(H27&lt;=3.5, "B+", IF(H27&lt;=3.75, "A-", "A"))))))</f>
        <v>D</v>
      </c>
      <c r="I28" s="463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31.5" customHeight="1">
      <c r="A29" s="67"/>
      <c r="B29" s="453"/>
      <c r="C29" s="453"/>
      <c r="D29" s="447"/>
      <c r="E29" s="454"/>
      <c r="F29" s="455"/>
      <c r="G29" s="456"/>
      <c r="H29" s="468" t="str">
        <f>IF(H27&lt;2.5, "VERY POOR", IF(H27&lt;=2.75, "POOR", IF(H27&lt;=2.99, "NEED IMPROVEMENT", IF(H27&lt;=3.25, "AVERAGE", IF(H27&lt;=3.5, "GOOD", IF(H27&lt;=3.75, "VERY GOOD", "EXCELLENT"))))))</f>
        <v>VERY POOR</v>
      </c>
      <c r="I29" s="463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spans="1:26" ht="31.5" customHeight="1">
      <c r="A30" s="67"/>
      <c r="B30" s="68"/>
      <c r="C30" s="68"/>
      <c r="D30" s="68"/>
      <c r="E30" s="68"/>
      <c r="F30" s="68"/>
      <c r="G30" s="68"/>
      <c r="H30" s="457"/>
      <c r="I30" s="453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spans="1:26" ht="15.75" customHeight="1">
      <c r="A31" s="37"/>
      <c r="B31" s="37"/>
      <c r="C31" s="37"/>
      <c r="D31" s="69"/>
      <c r="E31" s="37"/>
      <c r="F31" s="39"/>
      <c r="G31" s="70"/>
      <c r="H31" s="39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8" customHeight="1">
      <c r="A32" s="71"/>
      <c r="B32" s="72" t="s">
        <v>150</v>
      </c>
      <c r="C32" s="55"/>
      <c r="D32" s="57"/>
      <c r="E32" s="73"/>
      <c r="F32" s="74"/>
      <c r="G32" s="74"/>
      <c r="H32" s="74"/>
      <c r="I32" s="75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B33" t="s">
        <v>151</v>
      </c>
      <c r="D33" s="15"/>
      <c r="F33" s="16"/>
      <c r="G33" s="17"/>
      <c r="H33" s="16"/>
    </row>
    <row r="34" spans="1:26" ht="15.75" customHeight="1">
      <c r="D34" s="15"/>
      <c r="F34" s="16"/>
      <c r="G34" s="17"/>
      <c r="H34" s="16"/>
    </row>
    <row r="35" spans="1:26" ht="15.75" customHeight="1">
      <c r="D35" s="15"/>
      <c r="F35" s="16"/>
      <c r="G35" s="17"/>
      <c r="H35" s="16"/>
    </row>
    <row r="36" spans="1:26" ht="15.75" customHeight="1">
      <c r="D36" s="15"/>
      <c r="F36" s="16"/>
      <c r="G36" s="17"/>
      <c r="H36" s="16"/>
    </row>
    <row r="37" spans="1:26" ht="15.75" customHeight="1">
      <c r="C37" s="60"/>
      <c r="D37" s="15"/>
      <c r="F37" s="16"/>
      <c r="G37" s="17"/>
      <c r="H37" s="16"/>
    </row>
    <row r="38" spans="1:26" ht="15.75" customHeight="1">
      <c r="C38" s="60"/>
      <c r="D38" s="15"/>
      <c r="F38" s="16"/>
      <c r="G38" s="17"/>
      <c r="H38" s="16"/>
    </row>
    <row r="39" spans="1:26" ht="15.75" customHeight="1">
      <c r="C39" s="61"/>
      <c r="D39" s="15"/>
      <c r="F39" s="16"/>
      <c r="G39" s="17"/>
      <c r="H39" s="16"/>
    </row>
    <row r="40" spans="1:26" ht="15.75" customHeight="1">
      <c r="C40" s="62"/>
      <c r="D40" s="15"/>
      <c r="F40" s="16"/>
      <c r="G40" s="17"/>
      <c r="H40" s="16"/>
    </row>
    <row r="41" spans="1:26" ht="15.75" customHeight="1">
      <c r="C41" s="61"/>
      <c r="D41" s="15"/>
      <c r="F41" s="16"/>
      <c r="G41" s="17"/>
      <c r="H41" s="16"/>
    </row>
    <row r="42" spans="1:26" ht="15.75" customHeight="1">
      <c r="C42" s="62"/>
      <c r="D42" s="15"/>
      <c r="F42" s="16"/>
      <c r="G42" s="17"/>
      <c r="H42" s="16"/>
    </row>
    <row r="43" spans="1:26" ht="15.75" customHeight="1">
      <c r="C43" s="61"/>
      <c r="D43" s="15"/>
      <c r="F43" s="16"/>
      <c r="G43" s="17"/>
      <c r="H43" s="16"/>
    </row>
    <row r="44" spans="1:26" ht="15.75" customHeight="1">
      <c r="C44" s="62"/>
      <c r="D44" s="15"/>
      <c r="F44" s="16"/>
      <c r="G44" s="17"/>
      <c r="H44" s="16"/>
    </row>
    <row r="45" spans="1:26" ht="15.75" customHeight="1">
      <c r="D45" s="15"/>
      <c r="F45" s="16"/>
      <c r="G45" s="17"/>
      <c r="H45" s="16"/>
    </row>
    <row r="46" spans="1:26" ht="15.75" customHeight="1">
      <c r="D46" s="15"/>
      <c r="F46" s="16"/>
      <c r="G46" s="17"/>
      <c r="H46" s="16"/>
    </row>
    <row r="47" spans="1:26" ht="15.75" customHeight="1">
      <c r="A47" s="2"/>
      <c r="B47" s="2"/>
      <c r="C47" s="2"/>
      <c r="D47" s="76"/>
      <c r="E47" s="2"/>
      <c r="F47" s="65"/>
      <c r="G47" s="77"/>
      <c r="H47" s="65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D48" s="15"/>
      <c r="F48" s="16"/>
      <c r="G48" s="17"/>
      <c r="H48" s="16"/>
    </row>
    <row r="49" spans="4:8" ht="15.75" customHeight="1">
      <c r="D49" s="15"/>
      <c r="F49" s="16"/>
      <c r="G49" s="17"/>
      <c r="H49" s="16"/>
    </row>
    <row r="50" spans="4:8" ht="15.75" customHeight="1">
      <c r="D50" s="15"/>
      <c r="F50" s="16"/>
      <c r="G50" s="17"/>
      <c r="H50" s="16"/>
    </row>
    <row r="51" spans="4:8" ht="15.75" customHeight="1">
      <c r="D51" s="15"/>
      <c r="F51" s="16"/>
      <c r="G51" s="17"/>
      <c r="H51" s="16"/>
    </row>
    <row r="52" spans="4:8" ht="15.75" customHeight="1">
      <c r="D52" s="15"/>
      <c r="F52" s="16"/>
      <c r="G52" s="17"/>
      <c r="H52" s="16"/>
    </row>
    <row r="53" spans="4:8" ht="15.75" customHeight="1">
      <c r="D53" s="15"/>
      <c r="F53" s="16"/>
      <c r="G53" s="17"/>
      <c r="H53" s="16"/>
    </row>
    <row r="54" spans="4:8" ht="15.75" customHeight="1">
      <c r="D54" s="15"/>
      <c r="F54" s="16"/>
      <c r="G54" s="17"/>
      <c r="H54" s="16"/>
    </row>
    <row r="55" spans="4:8" ht="15.75" customHeight="1">
      <c r="D55" s="15"/>
      <c r="F55" s="16"/>
      <c r="G55" s="17"/>
      <c r="H55" s="16"/>
    </row>
    <row r="56" spans="4:8" ht="15.75" customHeight="1">
      <c r="D56" s="15"/>
      <c r="F56" s="16"/>
      <c r="G56" s="17"/>
      <c r="H56" s="16"/>
    </row>
    <row r="57" spans="4:8" ht="15.75" customHeight="1">
      <c r="D57" s="15"/>
      <c r="F57" s="16"/>
      <c r="G57" s="17"/>
      <c r="H57" s="16"/>
    </row>
    <row r="58" spans="4:8" ht="15.75" customHeight="1">
      <c r="D58" s="15"/>
      <c r="F58" s="16"/>
      <c r="G58" s="17"/>
      <c r="H58" s="16"/>
    </row>
    <row r="59" spans="4:8" ht="15.75" customHeight="1">
      <c r="D59" s="15"/>
      <c r="F59" s="16"/>
      <c r="G59" s="17"/>
      <c r="H59" s="16"/>
    </row>
    <row r="60" spans="4:8" ht="15.75" customHeight="1">
      <c r="D60" s="15"/>
      <c r="F60" s="16"/>
      <c r="G60" s="17"/>
      <c r="H60" s="16"/>
    </row>
    <row r="61" spans="4:8" ht="15.75" customHeight="1">
      <c r="D61" s="15"/>
      <c r="F61" s="16"/>
      <c r="G61" s="17"/>
      <c r="H61" s="16"/>
    </row>
    <row r="62" spans="4:8" ht="15.75" customHeight="1">
      <c r="D62" s="15"/>
      <c r="F62" s="16"/>
      <c r="G62" s="17"/>
      <c r="H62" s="16"/>
    </row>
    <row r="63" spans="4:8" ht="15.75" customHeight="1">
      <c r="D63" s="15"/>
      <c r="F63" s="16"/>
      <c r="G63" s="17"/>
      <c r="H63" s="16"/>
    </row>
    <row r="64" spans="4:8" ht="15.75" customHeight="1">
      <c r="D64" s="15"/>
      <c r="F64" s="16"/>
      <c r="G64" s="17"/>
      <c r="H64" s="16"/>
    </row>
    <row r="65" spans="4:8" ht="15.75" customHeight="1">
      <c r="D65" s="15"/>
      <c r="F65" s="16"/>
      <c r="G65" s="17"/>
      <c r="H65" s="16"/>
    </row>
    <row r="66" spans="4:8" ht="15.75" customHeight="1">
      <c r="D66" s="15"/>
      <c r="F66" s="16"/>
      <c r="G66" s="17"/>
      <c r="H66" s="16"/>
    </row>
    <row r="67" spans="4:8" ht="15.75" customHeight="1">
      <c r="D67" s="15"/>
      <c r="F67" s="16"/>
      <c r="G67" s="17"/>
      <c r="H67" s="16"/>
    </row>
    <row r="68" spans="4:8" ht="15.75" customHeight="1">
      <c r="D68" s="15"/>
      <c r="F68" s="16"/>
      <c r="G68" s="17"/>
      <c r="H68" s="16"/>
    </row>
    <row r="69" spans="4:8" ht="15.75" customHeight="1">
      <c r="D69" s="15"/>
      <c r="F69" s="16"/>
      <c r="G69" s="17"/>
      <c r="H69" s="16"/>
    </row>
    <row r="70" spans="4:8" ht="15.75" customHeight="1">
      <c r="D70" s="15"/>
      <c r="F70" s="16"/>
      <c r="G70" s="17"/>
      <c r="H70" s="16"/>
    </row>
    <row r="71" spans="4:8" ht="15.75" customHeight="1">
      <c r="D71" s="15"/>
      <c r="F71" s="16"/>
      <c r="G71" s="17"/>
      <c r="H71" s="16"/>
    </row>
    <row r="72" spans="4:8" ht="15.75" customHeight="1">
      <c r="D72" s="15"/>
      <c r="F72" s="16"/>
      <c r="G72" s="17"/>
      <c r="H72" s="16"/>
    </row>
    <row r="73" spans="4:8" ht="15.75" customHeight="1">
      <c r="D73" s="15"/>
      <c r="F73" s="16"/>
      <c r="G73" s="17"/>
      <c r="H73" s="16"/>
    </row>
    <row r="74" spans="4:8" ht="15.75" customHeight="1">
      <c r="D74" s="15"/>
      <c r="F74" s="16"/>
      <c r="G74" s="17"/>
      <c r="H74" s="16"/>
    </row>
    <row r="75" spans="4:8" ht="15.75" customHeight="1">
      <c r="D75" s="15"/>
      <c r="F75" s="16"/>
      <c r="G75" s="17"/>
      <c r="H75" s="16"/>
    </row>
    <row r="76" spans="4:8" ht="15.75" customHeight="1">
      <c r="D76" s="15"/>
      <c r="F76" s="16"/>
      <c r="G76" s="17"/>
      <c r="H76" s="16"/>
    </row>
    <row r="77" spans="4:8" ht="15.75" customHeight="1">
      <c r="D77" s="15"/>
      <c r="F77" s="16"/>
      <c r="G77" s="17"/>
      <c r="H77" s="16"/>
    </row>
    <row r="78" spans="4:8" ht="15.75" customHeight="1">
      <c r="D78" s="15"/>
      <c r="F78" s="16"/>
      <c r="G78" s="17"/>
      <c r="H78" s="16"/>
    </row>
    <row r="79" spans="4:8" ht="15.75" customHeight="1">
      <c r="D79" s="15"/>
      <c r="F79" s="16"/>
      <c r="G79" s="17"/>
      <c r="H79" s="16"/>
    </row>
    <row r="80" spans="4:8" ht="15.75" customHeight="1">
      <c r="D80" s="15"/>
      <c r="F80" s="16"/>
      <c r="G80" s="17"/>
      <c r="H80" s="16"/>
    </row>
    <row r="81" spans="4:8" ht="15.75" customHeight="1">
      <c r="D81" s="15"/>
      <c r="F81" s="16"/>
      <c r="G81" s="17"/>
      <c r="H81" s="16"/>
    </row>
    <row r="82" spans="4:8" ht="15.75" customHeight="1">
      <c r="D82" s="15"/>
      <c r="F82" s="16"/>
      <c r="G82" s="17"/>
      <c r="H82" s="16"/>
    </row>
    <row r="83" spans="4:8" ht="15.75" customHeight="1">
      <c r="D83" s="15"/>
      <c r="F83" s="16"/>
      <c r="G83" s="17"/>
      <c r="H83" s="16"/>
    </row>
    <row r="84" spans="4:8" ht="15.75" customHeight="1">
      <c r="D84" s="15"/>
      <c r="F84" s="16"/>
      <c r="G84" s="17"/>
      <c r="H84" s="16"/>
    </row>
    <row r="85" spans="4:8" ht="15.75" customHeight="1">
      <c r="D85" s="15"/>
      <c r="F85" s="16"/>
      <c r="G85" s="17"/>
      <c r="H85" s="16"/>
    </row>
    <row r="86" spans="4:8" ht="15.75" customHeight="1">
      <c r="D86" s="15"/>
      <c r="F86" s="16"/>
      <c r="G86" s="17"/>
      <c r="H86" s="16"/>
    </row>
    <row r="87" spans="4:8" ht="15.75" customHeight="1">
      <c r="D87" s="15"/>
      <c r="F87" s="16"/>
      <c r="G87" s="17"/>
      <c r="H87" s="16"/>
    </row>
    <row r="88" spans="4:8" ht="15.75" customHeight="1">
      <c r="D88" s="15"/>
      <c r="F88" s="16"/>
      <c r="G88" s="17"/>
      <c r="H88" s="16"/>
    </row>
    <row r="89" spans="4:8" ht="15.75" customHeight="1">
      <c r="D89" s="15"/>
      <c r="F89" s="16"/>
      <c r="G89" s="17"/>
      <c r="H89" s="16"/>
    </row>
    <row r="90" spans="4:8" ht="15.75" customHeight="1">
      <c r="D90" s="15"/>
      <c r="F90" s="16"/>
      <c r="G90" s="17"/>
      <c r="H90" s="16"/>
    </row>
    <row r="91" spans="4:8" ht="15.75" customHeight="1">
      <c r="D91" s="15"/>
      <c r="F91" s="16"/>
      <c r="G91" s="17"/>
      <c r="H91" s="16"/>
    </row>
    <row r="92" spans="4:8" ht="15.75" customHeight="1">
      <c r="D92" s="15"/>
      <c r="F92" s="16"/>
      <c r="G92" s="17"/>
      <c r="H92" s="16"/>
    </row>
    <row r="93" spans="4:8" ht="15.75" customHeight="1">
      <c r="D93" s="15"/>
      <c r="F93" s="16"/>
      <c r="G93" s="17"/>
      <c r="H93" s="16"/>
    </row>
    <row r="94" spans="4:8" ht="15.75" customHeight="1">
      <c r="D94" s="15"/>
      <c r="F94" s="16"/>
      <c r="G94" s="17"/>
      <c r="H94" s="16"/>
    </row>
    <row r="95" spans="4:8" ht="15.75" customHeight="1">
      <c r="D95" s="15"/>
      <c r="F95" s="16"/>
      <c r="G95" s="17"/>
      <c r="H95" s="16"/>
    </row>
    <row r="96" spans="4:8" ht="15.75" customHeight="1">
      <c r="D96" s="15"/>
      <c r="F96" s="16"/>
      <c r="G96" s="17"/>
      <c r="H96" s="16"/>
    </row>
    <row r="97" spans="4:8" ht="15.75" customHeight="1">
      <c r="D97" s="15"/>
      <c r="F97" s="16"/>
      <c r="G97" s="17"/>
      <c r="H97" s="16"/>
    </row>
    <row r="98" spans="4:8" ht="15.75" customHeight="1">
      <c r="D98" s="15"/>
      <c r="F98" s="16"/>
      <c r="G98" s="17"/>
      <c r="H98" s="16"/>
    </row>
    <row r="99" spans="4:8" ht="15.75" customHeight="1">
      <c r="D99" s="15"/>
      <c r="F99" s="16"/>
      <c r="G99" s="17"/>
      <c r="H99" s="16"/>
    </row>
    <row r="100" spans="4:8" ht="15.75" customHeight="1">
      <c r="D100" s="15"/>
      <c r="F100" s="16"/>
      <c r="G100" s="17"/>
      <c r="H100" s="16"/>
    </row>
    <row r="101" spans="4:8" ht="15.75" customHeight="1">
      <c r="D101" s="15"/>
      <c r="F101" s="16"/>
      <c r="G101" s="17"/>
      <c r="H101" s="16"/>
    </row>
    <row r="102" spans="4:8" ht="15.75" customHeight="1">
      <c r="D102" s="15"/>
      <c r="F102" s="16"/>
      <c r="G102" s="17"/>
      <c r="H102" s="16"/>
    </row>
    <row r="103" spans="4:8" ht="15.75" customHeight="1">
      <c r="D103" s="15"/>
      <c r="F103" s="16"/>
      <c r="G103" s="17"/>
      <c r="H103" s="16"/>
    </row>
    <row r="104" spans="4:8" ht="15.75" customHeight="1">
      <c r="D104" s="15"/>
      <c r="F104" s="16"/>
      <c r="G104" s="17"/>
      <c r="H104" s="16"/>
    </row>
    <row r="105" spans="4:8" ht="15.75" customHeight="1">
      <c r="D105" s="15"/>
      <c r="F105" s="16"/>
      <c r="G105" s="17"/>
      <c r="H105" s="16"/>
    </row>
    <row r="106" spans="4:8" ht="15.75" customHeight="1">
      <c r="D106" s="15"/>
      <c r="F106" s="16"/>
      <c r="G106" s="17"/>
      <c r="H106" s="16"/>
    </row>
    <row r="107" spans="4:8" ht="15.75" customHeight="1">
      <c r="D107" s="15"/>
      <c r="F107" s="16"/>
      <c r="G107" s="17"/>
      <c r="H107" s="16"/>
    </row>
    <row r="108" spans="4:8" ht="15.75" customHeight="1">
      <c r="D108" s="15"/>
      <c r="F108" s="16"/>
      <c r="G108" s="17"/>
      <c r="H108" s="16"/>
    </row>
    <row r="109" spans="4:8" ht="15.75" customHeight="1">
      <c r="D109" s="15"/>
      <c r="F109" s="16"/>
      <c r="G109" s="17"/>
      <c r="H109" s="16"/>
    </row>
    <row r="110" spans="4:8" ht="15.75" customHeight="1">
      <c r="D110" s="15"/>
      <c r="F110" s="16"/>
      <c r="G110" s="17"/>
      <c r="H110" s="16"/>
    </row>
    <row r="111" spans="4:8" ht="15.75" customHeight="1">
      <c r="D111" s="15"/>
      <c r="F111" s="16"/>
      <c r="G111" s="17"/>
      <c r="H111" s="16"/>
    </row>
    <row r="112" spans="4:8" ht="15.75" customHeight="1">
      <c r="D112" s="15"/>
      <c r="F112" s="16"/>
      <c r="G112" s="17"/>
      <c r="H112" s="16"/>
    </row>
    <row r="113" spans="4:8" ht="15.75" customHeight="1">
      <c r="D113" s="15"/>
      <c r="F113" s="16"/>
      <c r="G113" s="17"/>
      <c r="H113" s="16"/>
    </row>
    <row r="114" spans="4:8" ht="15.75" customHeight="1">
      <c r="D114" s="15"/>
      <c r="F114" s="16"/>
      <c r="G114" s="17"/>
      <c r="H114" s="16"/>
    </row>
    <row r="115" spans="4:8" ht="15.75" customHeight="1">
      <c r="D115" s="15"/>
      <c r="F115" s="16"/>
      <c r="G115" s="17"/>
      <c r="H115" s="16"/>
    </row>
    <row r="116" spans="4:8" ht="15.75" customHeight="1">
      <c r="D116" s="15"/>
      <c r="F116" s="16"/>
      <c r="G116" s="17"/>
      <c r="H116" s="16"/>
    </row>
    <row r="117" spans="4:8" ht="15.75" customHeight="1">
      <c r="D117" s="15"/>
      <c r="F117" s="16"/>
      <c r="G117" s="17"/>
      <c r="H117" s="16"/>
    </row>
    <row r="118" spans="4:8" ht="15.75" customHeight="1">
      <c r="D118" s="15"/>
      <c r="F118" s="16"/>
      <c r="G118" s="17"/>
      <c r="H118" s="16"/>
    </row>
    <row r="119" spans="4:8" ht="15.75" customHeight="1">
      <c r="D119" s="15"/>
      <c r="F119" s="16"/>
      <c r="G119" s="17"/>
      <c r="H119" s="16"/>
    </row>
    <row r="120" spans="4:8" ht="15.75" customHeight="1">
      <c r="D120" s="15"/>
      <c r="F120" s="16"/>
      <c r="G120" s="17"/>
      <c r="H120" s="16"/>
    </row>
    <row r="121" spans="4:8" ht="15.75" customHeight="1">
      <c r="D121" s="15"/>
      <c r="F121" s="16"/>
      <c r="G121" s="17"/>
      <c r="H121" s="16"/>
    </row>
    <row r="122" spans="4:8" ht="15.75" customHeight="1">
      <c r="D122" s="15"/>
      <c r="F122" s="16"/>
      <c r="G122" s="17"/>
      <c r="H122" s="16"/>
    </row>
    <row r="123" spans="4:8" ht="15.75" customHeight="1">
      <c r="D123" s="15"/>
      <c r="F123" s="16"/>
      <c r="G123" s="17"/>
      <c r="H123" s="16"/>
    </row>
    <row r="124" spans="4:8" ht="15.75" customHeight="1">
      <c r="D124" s="15"/>
      <c r="F124" s="16"/>
      <c r="G124" s="17"/>
      <c r="H124" s="16"/>
    </row>
    <row r="125" spans="4:8" ht="15.75" customHeight="1">
      <c r="D125" s="15"/>
      <c r="F125" s="16"/>
      <c r="G125" s="17"/>
      <c r="H125" s="16"/>
    </row>
    <row r="126" spans="4:8" ht="15.75" customHeight="1">
      <c r="D126" s="15"/>
      <c r="F126" s="16"/>
      <c r="G126" s="17"/>
      <c r="H126" s="16"/>
    </row>
    <row r="127" spans="4:8" ht="15.75" customHeight="1">
      <c r="D127" s="15"/>
      <c r="F127" s="16"/>
      <c r="G127" s="17"/>
      <c r="H127" s="16"/>
    </row>
    <row r="128" spans="4:8" ht="15.75" customHeight="1">
      <c r="D128" s="15"/>
      <c r="F128" s="16"/>
      <c r="G128" s="17"/>
      <c r="H128" s="16"/>
    </row>
    <row r="129" spans="4:8" ht="15.75" customHeight="1">
      <c r="D129" s="15"/>
      <c r="F129" s="16"/>
      <c r="G129" s="17"/>
      <c r="H129" s="16"/>
    </row>
    <row r="130" spans="4:8" ht="15.75" customHeight="1">
      <c r="D130" s="15"/>
      <c r="F130" s="16"/>
      <c r="G130" s="17"/>
      <c r="H130" s="16"/>
    </row>
    <row r="131" spans="4:8" ht="15.75" customHeight="1">
      <c r="D131" s="15"/>
      <c r="F131" s="16"/>
      <c r="G131" s="17"/>
      <c r="H131" s="16"/>
    </row>
    <row r="132" spans="4:8" ht="15.75" customHeight="1">
      <c r="D132" s="15"/>
      <c r="F132" s="16"/>
      <c r="G132" s="17"/>
      <c r="H132" s="16"/>
    </row>
    <row r="133" spans="4:8" ht="15.75" customHeight="1">
      <c r="D133" s="15"/>
      <c r="F133" s="16"/>
      <c r="G133" s="17"/>
      <c r="H133" s="16"/>
    </row>
    <row r="134" spans="4:8" ht="15.75" customHeight="1">
      <c r="D134" s="15"/>
      <c r="F134" s="16"/>
      <c r="G134" s="17"/>
      <c r="H134" s="16"/>
    </row>
    <row r="135" spans="4:8" ht="15.75" customHeight="1">
      <c r="D135" s="15"/>
      <c r="F135" s="16"/>
      <c r="G135" s="17"/>
      <c r="H135" s="16"/>
    </row>
    <row r="136" spans="4:8" ht="15.75" customHeight="1">
      <c r="D136" s="15"/>
      <c r="F136" s="16"/>
      <c r="G136" s="17"/>
      <c r="H136" s="16"/>
    </row>
    <row r="137" spans="4:8" ht="15.75" customHeight="1">
      <c r="D137" s="15"/>
      <c r="F137" s="16"/>
      <c r="G137" s="17"/>
      <c r="H137" s="16"/>
    </row>
    <row r="138" spans="4:8" ht="15.75" customHeight="1">
      <c r="D138" s="15"/>
      <c r="F138" s="16"/>
      <c r="G138" s="17"/>
      <c r="H138" s="16"/>
    </row>
    <row r="139" spans="4:8" ht="15.75" customHeight="1">
      <c r="D139" s="15"/>
      <c r="F139" s="16"/>
      <c r="G139" s="17"/>
      <c r="H139" s="16"/>
    </row>
    <row r="140" spans="4:8" ht="15.75" customHeight="1">
      <c r="D140" s="15"/>
      <c r="F140" s="16"/>
      <c r="G140" s="17"/>
      <c r="H140" s="16"/>
    </row>
    <row r="141" spans="4:8" ht="15.75" customHeight="1">
      <c r="D141" s="15"/>
      <c r="F141" s="16"/>
      <c r="G141" s="17"/>
      <c r="H141" s="16"/>
    </row>
    <row r="142" spans="4:8" ht="15.75" customHeight="1">
      <c r="D142" s="15"/>
      <c r="F142" s="16"/>
      <c r="G142" s="17"/>
      <c r="H142" s="16"/>
    </row>
    <row r="143" spans="4:8" ht="15.75" customHeight="1">
      <c r="D143" s="15"/>
      <c r="F143" s="16"/>
      <c r="G143" s="17"/>
      <c r="H143" s="16"/>
    </row>
    <row r="144" spans="4:8" ht="15.75" customHeight="1">
      <c r="D144" s="15"/>
      <c r="F144" s="16"/>
      <c r="G144" s="17"/>
      <c r="H144" s="16"/>
    </row>
    <row r="145" spans="4:8" ht="15.75" customHeight="1">
      <c r="D145" s="15"/>
      <c r="F145" s="16"/>
      <c r="G145" s="17"/>
      <c r="H145" s="16"/>
    </row>
    <row r="146" spans="4:8" ht="15.75" customHeight="1">
      <c r="D146" s="15"/>
      <c r="F146" s="16"/>
      <c r="G146" s="17"/>
      <c r="H146" s="16"/>
    </row>
    <row r="147" spans="4:8" ht="15.75" customHeight="1">
      <c r="D147" s="15"/>
      <c r="F147" s="16"/>
      <c r="G147" s="17"/>
      <c r="H147" s="16"/>
    </row>
    <row r="148" spans="4:8" ht="15.75" customHeight="1">
      <c r="D148" s="15"/>
      <c r="F148" s="16"/>
      <c r="G148" s="17"/>
      <c r="H148" s="16"/>
    </row>
    <row r="149" spans="4:8" ht="15.75" customHeight="1">
      <c r="D149" s="15"/>
      <c r="F149" s="16"/>
      <c r="G149" s="17"/>
      <c r="H149" s="16"/>
    </row>
    <row r="150" spans="4:8" ht="15.75" customHeight="1">
      <c r="D150" s="15"/>
      <c r="F150" s="16"/>
      <c r="G150" s="17"/>
      <c r="H150" s="16"/>
    </row>
    <row r="151" spans="4:8" ht="15.75" customHeight="1">
      <c r="D151" s="15"/>
      <c r="F151" s="16"/>
      <c r="G151" s="17"/>
      <c r="H151" s="16"/>
    </row>
    <row r="152" spans="4:8" ht="15.75" customHeight="1">
      <c r="D152" s="15"/>
      <c r="F152" s="16"/>
      <c r="G152" s="17"/>
      <c r="H152" s="16"/>
    </row>
    <row r="153" spans="4:8" ht="15.75" customHeight="1">
      <c r="D153" s="15"/>
      <c r="F153" s="16"/>
      <c r="G153" s="17"/>
      <c r="H153" s="16"/>
    </row>
    <row r="154" spans="4:8" ht="15.75" customHeight="1">
      <c r="D154" s="15"/>
      <c r="F154" s="16"/>
      <c r="G154" s="17"/>
      <c r="H154" s="16"/>
    </row>
    <row r="155" spans="4:8" ht="15.75" customHeight="1">
      <c r="D155" s="15"/>
      <c r="F155" s="16"/>
      <c r="G155" s="17"/>
      <c r="H155" s="16"/>
    </row>
    <row r="156" spans="4:8" ht="15.75" customHeight="1">
      <c r="D156" s="15"/>
      <c r="F156" s="16"/>
      <c r="G156" s="17"/>
      <c r="H156" s="16"/>
    </row>
    <row r="157" spans="4:8" ht="15.75" customHeight="1">
      <c r="D157" s="15"/>
      <c r="F157" s="16"/>
      <c r="G157" s="17"/>
      <c r="H157" s="16"/>
    </row>
    <row r="158" spans="4:8" ht="15.75" customHeight="1">
      <c r="D158" s="15"/>
      <c r="F158" s="16"/>
      <c r="G158" s="17"/>
      <c r="H158" s="16"/>
    </row>
    <row r="159" spans="4:8" ht="15.75" customHeight="1">
      <c r="D159" s="15"/>
      <c r="F159" s="16"/>
      <c r="G159" s="17"/>
      <c r="H159" s="16"/>
    </row>
    <row r="160" spans="4:8" ht="15.75" customHeight="1">
      <c r="D160" s="15"/>
      <c r="F160" s="16"/>
      <c r="G160" s="17"/>
      <c r="H160" s="16"/>
    </row>
    <row r="161" spans="4:8" ht="15.75" customHeight="1">
      <c r="D161" s="15"/>
      <c r="F161" s="16"/>
      <c r="G161" s="17"/>
      <c r="H161" s="16"/>
    </row>
    <row r="162" spans="4:8" ht="15.75" customHeight="1">
      <c r="D162" s="15"/>
      <c r="F162" s="16"/>
      <c r="G162" s="17"/>
      <c r="H162" s="16"/>
    </row>
    <row r="163" spans="4:8" ht="15.75" customHeight="1">
      <c r="D163" s="15"/>
      <c r="F163" s="16"/>
      <c r="G163" s="17"/>
      <c r="H163" s="16"/>
    </row>
    <row r="164" spans="4:8" ht="15.75" customHeight="1">
      <c r="D164" s="15"/>
      <c r="F164" s="16"/>
      <c r="G164" s="17"/>
      <c r="H164" s="16"/>
    </row>
    <row r="165" spans="4:8" ht="15.75" customHeight="1">
      <c r="D165" s="15"/>
      <c r="F165" s="16"/>
      <c r="G165" s="17"/>
      <c r="H165" s="16"/>
    </row>
    <row r="166" spans="4:8" ht="15.75" customHeight="1">
      <c r="D166" s="15"/>
      <c r="F166" s="16"/>
      <c r="G166" s="17"/>
      <c r="H166" s="16"/>
    </row>
    <row r="167" spans="4:8" ht="15.75" customHeight="1">
      <c r="D167" s="15"/>
      <c r="F167" s="16"/>
      <c r="G167" s="17"/>
      <c r="H167" s="16"/>
    </row>
    <row r="168" spans="4:8" ht="15.75" customHeight="1">
      <c r="D168" s="15"/>
      <c r="F168" s="16"/>
      <c r="G168" s="17"/>
      <c r="H168" s="16"/>
    </row>
    <row r="169" spans="4:8" ht="15.75" customHeight="1">
      <c r="D169" s="15"/>
      <c r="F169" s="16"/>
      <c r="G169" s="17"/>
      <c r="H169" s="16"/>
    </row>
    <row r="170" spans="4:8" ht="15.75" customHeight="1">
      <c r="D170" s="15"/>
      <c r="F170" s="16"/>
      <c r="G170" s="17"/>
      <c r="H170" s="16"/>
    </row>
    <row r="171" spans="4:8" ht="15.75" customHeight="1">
      <c r="D171" s="15"/>
      <c r="F171" s="16"/>
      <c r="G171" s="17"/>
      <c r="H171" s="16"/>
    </row>
    <row r="172" spans="4:8" ht="15.75" customHeight="1">
      <c r="D172" s="15"/>
      <c r="F172" s="16"/>
      <c r="G172" s="17"/>
      <c r="H172" s="16"/>
    </row>
    <row r="173" spans="4:8" ht="15.75" customHeight="1">
      <c r="D173" s="15"/>
      <c r="F173" s="16"/>
      <c r="G173" s="17"/>
      <c r="H173" s="16"/>
    </row>
    <row r="174" spans="4:8" ht="15.75" customHeight="1">
      <c r="D174" s="15"/>
      <c r="F174" s="16"/>
      <c r="G174" s="17"/>
      <c r="H174" s="16"/>
    </row>
    <row r="175" spans="4:8" ht="15.75" customHeight="1">
      <c r="D175" s="15"/>
      <c r="F175" s="16"/>
      <c r="G175" s="17"/>
      <c r="H175" s="16"/>
    </row>
    <row r="176" spans="4:8" ht="15.75" customHeight="1">
      <c r="D176" s="15"/>
      <c r="F176" s="16"/>
      <c r="G176" s="17"/>
      <c r="H176" s="16"/>
    </row>
    <row r="177" spans="4:8" ht="15.75" customHeight="1">
      <c r="D177" s="15"/>
      <c r="F177" s="16"/>
      <c r="G177" s="17"/>
      <c r="H177" s="16"/>
    </row>
    <row r="178" spans="4:8" ht="15.75" customHeight="1">
      <c r="D178" s="15"/>
      <c r="F178" s="16"/>
      <c r="G178" s="17"/>
      <c r="H178" s="16"/>
    </row>
    <row r="179" spans="4:8" ht="15.75" customHeight="1">
      <c r="D179" s="15"/>
      <c r="F179" s="16"/>
      <c r="G179" s="17"/>
      <c r="H179" s="16"/>
    </row>
    <row r="180" spans="4:8" ht="15.75" customHeight="1">
      <c r="D180" s="15"/>
      <c r="F180" s="16"/>
      <c r="G180" s="17"/>
      <c r="H180" s="16"/>
    </row>
    <row r="181" spans="4:8" ht="15.75" customHeight="1">
      <c r="D181" s="15"/>
      <c r="F181" s="16"/>
      <c r="G181" s="17"/>
      <c r="H181" s="16"/>
    </row>
    <row r="182" spans="4:8" ht="15.75" customHeight="1">
      <c r="D182" s="15"/>
      <c r="F182" s="16"/>
      <c r="G182" s="17"/>
      <c r="H182" s="16"/>
    </row>
    <row r="183" spans="4:8" ht="15.75" customHeight="1">
      <c r="D183" s="15"/>
      <c r="F183" s="16"/>
      <c r="G183" s="17"/>
      <c r="H183" s="16"/>
    </row>
    <row r="184" spans="4:8" ht="15.75" customHeight="1">
      <c r="D184" s="15"/>
      <c r="F184" s="16"/>
      <c r="G184" s="17"/>
      <c r="H184" s="16"/>
    </row>
    <row r="185" spans="4:8" ht="15.75" customHeight="1">
      <c r="D185" s="15"/>
      <c r="F185" s="16"/>
      <c r="G185" s="17"/>
      <c r="H185" s="16"/>
    </row>
    <row r="186" spans="4:8" ht="15.75" customHeight="1">
      <c r="D186" s="15"/>
      <c r="F186" s="16"/>
      <c r="G186" s="17"/>
      <c r="H186" s="16"/>
    </row>
    <row r="187" spans="4:8" ht="15.75" customHeight="1">
      <c r="D187" s="15"/>
      <c r="F187" s="16"/>
      <c r="G187" s="17"/>
      <c r="H187" s="16"/>
    </row>
    <row r="188" spans="4:8" ht="15.75" customHeight="1">
      <c r="D188" s="15"/>
      <c r="F188" s="16"/>
      <c r="G188" s="17"/>
      <c r="H188" s="16"/>
    </row>
    <row r="189" spans="4:8" ht="15.75" customHeight="1">
      <c r="D189" s="15"/>
      <c r="F189" s="16"/>
      <c r="G189" s="17"/>
      <c r="H189" s="16"/>
    </row>
    <row r="190" spans="4:8" ht="15.75" customHeight="1">
      <c r="D190" s="15"/>
      <c r="F190" s="16"/>
      <c r="G190" s="17"/>
      <c r="H190" s="16"/>
    </row>
    <row r="191" spans="4:8" ht="15.75" customHeight="1">
      <c r="D191" s="15"/>
      <c r="F191" s="16"/>
      <c r="G191" s="17"/>
      <c r="H191" s="16"/>
    </row>
    <row r="192" spans="4:8" ht="15.75" customHeight="1">
      <c r="D192" s="15"/>
      <c r="F192" s="16"/>
      <c r="G192" s="17"/>
      <c r="H192" s="16"/>
    </row>
    <row r="193" spans="4:8" ht="15.75" customHeight="1">
      <c r="D193" s="15"/>
      <c r="F193" s="16"/>
      <c r="G193" s="17"/>
      <c r="H193" s="16"/>
    </row>
    <row r="194" spans="4:8" ht="15.75" customHeight="1">
      <c r="D194" s="15"/>
      <c r="F194" s="16"/>
      <c r="G194" s="17"/>
      <c r="H194" s="16"/>
    </row>
    <row r="195" spans="4:8" ht="15.75" customHeight="1">
      <c r="D195" s="15"/>
      <c r="F195" s="16"/>
      <c r="G195" s="17"/>
      <c r="H195" s="16"/>
    </row>
    <row r="196" spans="4:8" ht="15.75" customHeight="1">
      <c r="D196" s="15"/>
      <c r="F196" s="16"/>
      <c r="G196" s="17"/>
      <c r="H196" s="16"/>
    </row>
    <row r="197" spans="4:8" ht="15.75" customHeight="1">
      <c r="D197" s="15"/>
      <c r="F197" s="16"/>
      <c r="G197" s="17"/>
      <c r="H197" s="16"/>
    </row>
    <row r="198" spans="4:8" ht="15.75" customHeight="1">
      <c r="D198" s="15"/>
      <c r="F198" s="16"/>
      <c r="G198" s="17"/>
      <c r="H198" s="16"/>
    </row>
    <row r="199" spans="4:8" ht="15.75" customHeight="1">
      <c r="D199" s="15"/>
      <c r="F199" s="16"/>
      <c r="G199" s="17"/>
      <c r="H199" s="16"/>
    </row>
    <row r="200" spans="4:8" ht="15.75" customHeight="1">
      <c r="D200" s="15"/>
      <c r="F200" s="16"/>
      <c r="G200" s="17"/>
      <c r="H200" s="16"/>
    </row>
    <row r="201" spans="4:8" ht="15.75" customHeight="1">
      <c r="D201" s="15"/>
      <c r="F201" s="16"/>
      <c r="G201" s="17"/>
      <c r="H201" s="16"/>
    </row>
    <row r="202" spans="4:8" ht="15.75" customHeight="1">
      <c r="D202" s="15"/>
      <c r="F202" s="16"/>
      <c r="G202" s="17"/>
      <c r="H202" s="16"/>
    </row>
    <row r="203" spans="4:8" ht="15.75" customHeight="1">
      <c r="D203" s="15"/>
      <c r="F203" s="16"/>
      <c r="G203" s="17"/>
      <c r="H203" s="16"/>
    </row>
    <row r="204" spans="4:8" ht="15.75" customHeight="1">
      <c r="D204" s="15"/>
      <c r="F204" s="16"/>
      <c r="G204" s="17"/>
      <c r="H204" s="16"/>
    </row>
    <row r="205" spans="4:8" ht="15.75" customHeight="1">
      <c r="D205" s="15"/>
      <c r="F205" s="16"/>
      <c r="G205" s="17"/>
      <c r="H205" s="16"/>
    </row>
    <row r="206" spans="4:8" ht="15.75" customHeight="1">
      <c r="D206" s="15"/>
      <c r="F206" s="16"/>
      <c r="G206" s="17"/>
      <c r="H206" s="16"/>
    </row>
    <row r="207" spans="4:8" ht="15.75" customHeight="1">
      <c r="D207" s="15"/>
      <c r="F207" s="16"/>
      <c r="G207" s="17"/>
      <c r="H207" s="16"/>
    </row>
    <row r="208" spans="4:8" ht="15.75" customHeight="1">
      <c r="D208" s="15"/>
      <c r="F208" s="16"/>
      <c r="G208" s="17"/>
      <c r="H208" s="16"/>
    </row>
    <row r="209" spans="4:8" ht="15.75" customHeight="1">
      <c r="D209" s="15"/>
      <c r="F209" s="16"/>
      <c r="G209" s="17"/>
      <c r="H209" s="16"/>
    </row>
    <row r="210" spans="4:8" ht="15.75" customHeight="1">
      <c r="D210" s="15"/>
      <c r="F210" s="16"/>
      <c r="G210" s="17"/>
      <c r="H210" s="16"/>
    </row>
    <row r="211" spans="4:8" ht="15.75" customHeight="1">
      <c r="D211" s="15"/>
      <c r="F211" s="16"/>
      <c r="G211" s="17"/>
      <c r="H211" s="16"/>
    </row>
    <row r="212" spans="4:8" ht="15.75" customHeight="1">
      <c r="D212" s="15"/>
      <c r="F212" s="16"/>
      <c r="G212" s="17"/>
      <c r="H212" s="16"/>
    </row>
    <row r="213" spans="4:8" ht="15.75" customHeight="1">
      <c r="D213" s="15"/>
      <c r="F213" s="16"/>
      <c r="G213" s="17"/>
      <c r="H213" s="16"/>
    </row>
    <row r="214" spans="4:8" ht="15.75" customHeight="1">
      <c r="D214" s="15"/>
      <c r="F214" s="16"/>
      <c r="G214" s="17"/>
      <c r="H214" s="16"/>
    </row>
    <row r="215" spans="4:8" ht="15.75" customHeight="1">
      <c r="D215" s="15"/>
      <c r="F215" s="16"/>
      <c r="G215" s="17"/>
      <c r="H215" s="16"/>
    </row>
    <row r="216" spans="4:8" ht="15.75" customHeight="1">
      <c r="D216" s="15"/>
      <c r="F216" s="16"/>
      <c r="G216" s="17"/>
      <c r="H216" s="16"/>
    </row>
    <row r="217" spans="4:8" ht="15.75" customHeight="1">
      <c r="D217" s="15"/>
      <c r="F217" s="16"/>
      <c r="G217" s="17"/>
      <c r="H217" s="16"/>
    </row>
    <row r="218" spans="4:8" ht="15.75" customHeight="1">
      <c r="D218" s="15"/>
      <c r="F218" s="16"/>
      <c r="G218" s="17"/>
      <c r="H218" s="16"/>
    </row>
    <row r="219" spans="4:8" ht="15.75" customHeight="1">
      <c r="D219" s="15"/>
      <c r="F219" s="16"/>
      <c r="G219" s="17"/>
      <c r="H219" s="16"/>
    </row>
    <row r="220" spans="4:8" ht="15.75" customHeight="1">
      <c r="D220" s="15"/>
      <c r="F220" s="16"/>
      <c r="G220" s="17"/>
      <c r="H220" s="16"/>
    </row>
    <row r="221" spans="4:8" ht="15.75" customHeight="1">
      <c r="D221" s="15"/>
      <c r="F221" s="16"/>
      <c r="G221" s="17"/>
      <c r="H221" s="16"/>
    </row>
    <row r="222" spans="4:8" ht="15.75" customHeight="1">
      <c r="D222" s="15"/>
      <c r="F222" s="16"/>
      <c r="G222" s="17"/>
      <c r="H222" s="16"/>
    </row>
    <row r="223" spans="4:8" ht="15.75" customHeight="1">
      <c r="D223" s="15"/>
      <c r="F223" s="16"/>
      <c r="G223" s="17"/>
      <c r="H223" s="16"/>
    </row>
    <row r="224" spans="4:8" ht="15.75" customHeight="1">
      <c r="D224" s="15"/>
      <c r="F224" s="16"/>
      <c r="G224" s="17"/>
      <c r="H224" s="16"/>
    </row>
    <row r="225" spans="4:8" ht="15.75" customHeight="1">
      <c r="D225" s="15"/>
      <c r="F225" s="16"/>
      <c r="G225" s="17"/>
      <c r="H225" s="16"/>
    </row>
    <row r="226" spans="4:8" ht="15.75" customHeight="1">
      <c r="D226" s="15"/>
      <c r="F226" s="16"/>
      <c r="G226" s="17"/>
      <c r="H226" s="16"/>
    </row>
    <row r="227" spans="4:8" ht="15.75" customHeight="1">
      <c r="D227" s="15"/>
      <c r="F227" s="16"/>
      <c r="G227" s="17"/>
      <c r="H227" s="16"/>
    </row>
    <row r="228" spans="4:8" ht="15.75" customHeight="1">
      <c r="D228" s="15"/>
      <c r="F228" s="16"/>
      <c r="G228" s="17"/>
      <c r="H228" s="16"/>
    </row>
    <row r="229" spans="4:8" ht="15.75" customHeight="1">
      <c r="D229" s="15"/>
      <c r="F229" s="16"/>
      <c r="G229" s="17"/>
      <c r="H229" s="16"/>
    </row>
    <row r="230" spans="4:8" ht="15.75" customHeight="1">
      <c r="D230" s="15"/>
      <c r="F230" s="16"/>
      <c r="G230" s="17"/>
      <c r="H230" s="16"/>
    </row>
    <row r="231" spans="4:8" ht="15.75" customHeight="1">
      <c r="D231" s="15"/>
      <c r="F231" s="16"/>
      <c r="G231" s="17"/>
      <c r="H231" s="16"/>
    </row>
    <row r="232" spans="4:8" ht="15.75" customHeight="1">
      <c r="D232" s="15"/>
      <c r="F232" s="16"/>
      <c r="G232" s="17"/>
      <c r="H232" s="16"/>
    </row>
    <row r="233" spans="4:8" ht="15.75" customHeight="1">
      <c r="D233" s="15"/>
      <c r="F233" s="16"/>
      <c r="G233" s="17"/>
      <c r="H233" s="16"/>
    </row>
    <row r="234" spans="4:8" ht="15.75" customHeight="1">
      <c r="D234" s="15"/>
      <c r="F234" s="16"/>
      <c r="G234" s="17"/>
      <c r="H234" s="16"/>
    </row>
    <row r="235" spans="4:8" ht="15.75" customHeight="1">
      <c r="D235" s="15"/>
      <c r="F235" s="16"/>
      <c r="G235" s="17"/>
      <c r="H235" s="16"/>
    </row>
    <row r="236" spans="4:8" ht="15.75" customHeight="1">
      <c r="D236" s="15"/>
      <c r="F236" s="16"/>
      <c r="G236" s="17"/>
      <c r="H236" s="16"/>
    </row>
    <row r="237" spans="4:8" ht="15.75" customHeight="1">
      <c r="D237" s="15"/>
      <c r="F237" s="16"/>
      <c r="G237" s="17"/>
      <c r="H237" s="16"/>
    </row>
    <row r="238" spans="4:8" ht="15.75" customHeight="1">
      <c r="D238" s="15"/>
      <c r="F238" s="16"/>
      <c r="G238" s="17"/>
      <c r="H238" s="16"/>
    </row>
    <row r="239" spans="4:8" ht="15.75" customHeight="1">
      <c r="D239" s="15"/>
      <c r="F239" s="16"/>
      <c r="G239" s="17"/>
      <c r="H239" s="16"/>
    </row>
    <row r="240" spans="4:8" ht="15.75" customHeight="1">
      <c r="D240" s="15"/>
      <c r="F240" s="16"/>
      <c r="G240" s="17"/>
      <c r="H240" s="16"/>
    </row>
    <row r="241" spans="4:8" ht="15.75" customHeight="1">
      <c r="D241" s="15"/>
      <c r="F241" s="16"/>
      <c r="G241" s="17"/>
      <c r="H241" s="16"/>
    </row>
    <row r="242" spans="4:8" ht="15.75" customHeight="1">
      <c r="D242" s="15"/>
      <c r="F242" s="16"/>
      <c r="G242" s="17"/>
      <c r="H242" s="16"/>
    </row>
    <row r="243" spans="4:8" ht="15.75" customHeight="1">
      <c r="D243" s="15"/>
      <c r="F243" s="16"/>
      <c r="G243" s="17"/>
      <c r="H243" s="16"/>
    </row>
    <row r="244" spans="4:8" ht="15.75" customHeight="1">
      <c r="D244" s="15"/>
      <c r="F244" s="16"/>
      <c r="G244" s="17"/>
      <c r="H244" s="16"/>
    </row>
    <row r="245" spans="4:8" ht="15.75" customHeight="1">
      <c r="D245" s="15"/>
      <c r="F245" s="16"/>
      <c r="G245" s="17"/>
      <c r="H245" s="16"/>
    </row>
    <row r="246" spans="4:8" ht="15.75" customHeight="1">
      <c r="D246" s="15"/>
      <c r="F246" s="16"/>
      <c r="G246" s="17"/>
      <c r="H246" s="16"/>
    </row>
    <row r="247" spans="4:8" ht="15.75" customHeight="1">
      <c r="D247" s="15"/>
      <c r="F247" s="16"/>
      <c r="G247" s="17"/>
      <c r="H247" s="16"/>
    </row>
    <row r="248" spans="4:8" ht="15.75" customHeight="1">
      <c r="D248" s="15"/>
      <c r="F248" s="16"/>
      <c r="G248" s="17"/>
      <c r="H248" s="16"/>
    </row>
    <row r="249" spans="4:8" ht="15.75" customHeight="1">
      <c r="D249" s="15"/>
      <c r="F249" s="16"/>
      <c r="G249" s="17"/>
      <c r="H249" s="16"/>
    </row>
    <row r="250" spans="4:8" ht="15.75" customHeight="1">
      <c r="D250" s="15"/>
      <c r="F250" s="16"/>
      <c r="G250" s="17"/>
      <c r="H250" s="16"/>
    </row>
    <row r="251" spans="4:8" ht="15.75" customHeight="1">
      <c r="D251" s="15"/>
      <c r="F251" s="16"/>
      <c r="G251" s="17"/>
      <c r="H251" s="16"/>
    </row>
    <row r="252" spans="4:8" ht="15.75" customHeight="1">
      <c r="D252" s="15"/>
      <c r="F252" s="16"/>
      <c r="G252" s="17"/>
      <c r="H252" s="16"/>
    </row>
    <row r="253" spans="4:8" ht="15.75" customHeight="1">
      <c r="D253" s="15"/>
      <c r="F253" s="16"/>
      <c r="G253" s="17"/>
      <c r="H253" s="16"/>
    </row>
    <row r="254" spans="4:8" ht="15.75" customHeight="1">
      <c r="D254" s="15"/>
      <c r="F254" s="16"/>
      <c r="G254" s="17"/>
      <c r="H254" s="16"/>
    </row>
    <row r="255" spans="4:8" ht="15.75" customHeight="1">
      <c r="D255" s="15"/>
      <c r="F255" s="16"/>
      <c r="G255" s="17"/>
      <c r="H255" s="16"/>
    </row>
    <row r="256" spans="4:8" ht="15.75" customHeight="1">
      <c r="D256" s="15"/>
      <c r="F256" s="16"/>
      <c r="G256" s="17"/>
      <c r="H256" s="16"/>
    </row>
    <row r="257" spans="4:8" ht="15.75" customHeight="1">
      <c r="D257" s="15"/>
      <c r="F257" s="16"/>
      <c r="G257" s="17"/>
      <c r="H257" s="16"/>
    </row>
    <row r="258" spans="4:8" ht="15.75" customHeight="1">
      <c r="D258" s="15"/>
      <c r="F258" s="16"/>
      <c r="G258" s="17"/>
      <c r="H258" s="16"/>
    </row>
    <row r="259" spans="4:8" ht="15.75" customHeight="1">
      <c r="D259" s="15"/>
      <c r="F259" s="16"/>
      <c r="G259" s="17"/>
      <c r="H259" s="16"/>
    </row>
    <row r="260" spans="4:8" ht="15.75" customHeight="1">
      <c r="D260" s="15"/>
      <c r="F260" s="16"/>
      <c r="G260" s="17"/>
      <c r="H260" s="16"/>
    </row>
    <row r="261" spans="4:8" ht="15.75" customHeight="1">
      <c r="D261" s="15"/>
      <c r="F261" s="16"/>
      <c r="G261" s="17"/>
      <c r="H261" s="16"/>
    </row>
    <row r="262" spans="4:8" ht="15.75" customHeight="1">
      <c r="D262" s="15"/>
      <c r="F262" s="16"/>
      <c r="G262" s="17"/>
      <c r="H262" s="16"/>
    </row>
    <row r="263" spans="4:8" ht="15.75" customHeight="1">
      <c r="D263" s="15"/>
      <c r="F263" s="16"/>
      <c r="G263" s="17"/>
      <c r="H263" s="16"/>
    </row>
    <row r="264" spans="4:8" ht="15.75" customHeight="1">
      <c r="D264" s="15"/>
      <c r="F264" s="16"/>
      <c r="G264" s="17"/>
      <c r="H264" s="16"/>
    </row>
    <row r="265" spans="4:8" ht="15.75" customHeight="1">
      <c r="D265" s="15"/>
      <c r="F265" s="16"/>
      <c r="G265" s="17"/>
      <c r="H265" s="16"/>
    </row>
    <row r="266" spans="4:8" ht="15.75" customHeight="1">
      <c r="D266" s="15"/>
      <c r="F266" s="16"/>
      <c r="G266" s="17"/>
      <c r="H266" s="16"/>
    </row>
    <row r="267" spans="4:8" ht="15.75" customHeight="1">
      <c r="D267" s="15"/>
      <c r="F267" s="16"/>
      <c r="G267" s="17"/>
      <c r="H267" s="16"/>
    </row>
    <row r="268" spans="4:8" ht="15.75" customHeight="1">
      <c r="D268" s="15"/>
      <c r="F268" s="16"/>
      <c r="G268" s="17"/>
      <c r="H268" s="16"/>
    </row>
    <row r="269" spans="4:8" ht="15.75" customHeight="1">
      <c r="D269" s="15"/>
      <c r="F269" s="16"/>
      <c r="G269" s="17"/>
      <c r="H269" s="16"/>
    </row>
    <row r="270" spans="4:8" ht="15.75" customHeight="1">
      <c r="D270" s="15"/>
      <c r="F270" s="16"/>
      <c r="G270" s="17"/>
      <c r="H270" s="16"/>
    </row>
    <row r="271" spans="4:8" ht="15.75" customHeight="1">
      <c r="D271" s="15"/>
      <c r="F271" s="16"/>
      <c r="G271" s="17"/>
      <c r="H271" s="16"/>
    </row>
    <row r="272" spans="4:8" ht="15.75" customHeight="1">
      <c r="D272" s="15"/>
      <c r="F272" s="16"/>
      <c r="G272" s="17"/>
      <c r="H272" s="16"/>
    </row>
    <row r="273" spans="4:8" ht="15.75" customHeight="1">
      <c r="D273" s="15"/>
      <c r="F273" s="16"/>
      <c r="G273" s="17"/>
      <c r="H273" s="16"/>
    </row>
    <row r="274" spans="4:8" ht="15.75" customHeight="1">
      <c r="D274" s="15"/>
      <c r="F274" s="16"/>
      <c r="G274" s="17"/>
      <c r="H274" s="16"/>
    </row>
    <row r="275" spans="4:8" ht="15.75" customHeight="1">
      <c r="D275" s="15"/>
      <c r="F275" s="16"/>
      <c r="G275" s="17"/>
      <c r="H275" s="16"/>
    </row>
    <row r="276" spans="4:8" ht="15.75" customHeight="1">
      <c r="D276" s="15"/>
      <c r="F276" s="16"/>
      <c r="G276" s="17"/>
      <c r="H276" s="16"/>
    </row>
    <row r="277" spans="4:8" ht="15.75" customHeight="1">
      <c r="D277" s="15"/>
      <c r="F277" s="16"/>
      <c r="G277" s="17"/>
      <c r="H277" s="16"/>
    </row>
    <row r="278" spans="4:8" ht="15.75" customHeight="1">
      <c r="D278" s="15"/>
      <c r="F278" s="16"/>
      <c r="G278" s="17"/>
      <c r="H278" s="16"/>
    </row>
    <row r="279" spans="4:8" ht="15.75" customHeight="1">
      <c r="D279" s="15"/>
      <c r="F279" s="16"/>
      <c r="G279" s="17"/>
      <c r="H279" s="16"/>
    </row>
    <row r="280" spans="4:8" ht="15.75" customHeight="1">
      <c r="D280" s="15"/>
      <c r="F280" s="16"/>
      <c r="G280" s="17"/>
      <c r="H280" s="16"/>
    </row>
    <row r="281" spans="4:8" ht="15.75" customHeight="1">
      <c r="D281" s="15"/>
      <c r="F281" s="16"/>
      <c r="G281" s="17"/>
      <c r="H281" s="16"/>
    </row>
    <row r="282" spans="4:8" ht="15.75" customHeight="1">
      <c r="D282" s="15"/>
      <c r="F282" s="16"/>
      <c r="G282" s="17"/>
      <c r="H282" s="16"/>
    </row>
    <row r="283" spans="4:8" ht="15.75" customHeight="1">
      <c r="D283" s="15"/>
      <c r="F283" s="16"/>
      <c r="G283" s="17"/>
      <c r="H283" s="16"/>
    </row>
    <row r="284" spans="4:8" ht="15.75" customHeight="1">
      <c r="D284" s="15"/>
      <c r="F284" s="16"/>
      <c r="G284" s="17"/>
      <c r="H284" s="16"/>
    </row>
    <row r="285" spans="4:8" ht="15.75" customHeight="1">
      <c r="D285" s="15"/>
      <c r="F285" s="16"/>
      <c r="G285" s="17"/>
      <c r="H285" s="16"/>
    </row>
    <row r="286" spans="4:8" ht="15.75" customHeight="1">
      <c r="D286" s="15"/>
      <c r="F286" s="16"/>
      <c r="G286" s="17"/>
      <c r="H286" s="16"/>
    </row>
    <row r="287" spans="4:8" ht="15.75" customHeight="1">
      <c r="D287" s="15"/>
      <c r="F287" s="16"/>
      <c r="G287" s="17"/>
      <c r="H287" s="16"/>
    </row>
    <row r="288" spans="4:8" ht="15.75" customHeight="1">
      <c r="D288" s="15"/>
      <c r="F288" s="16"/>
      <c r="G288" s="17"/>
      <c r="H288" s="16"/>
    </row>
    <row r="289" spans="4:8" ht="15.75" customHeight="1">
      <c r="D289" s="15"/>
      <c r="F289" s="16"/>
      <c r="G289" s="17"/>
      <c r="H289" s="16"/>
    </row>
    <row r="290" spans="4:8" ht="15.75" customHeight="1">
      <c r="D290" s="15"/>
      <c r="F290" s="16"/>
      <c r="G290" s="17"/>
      <c r="H290" s="16"/>
    </row>
    <row r="291" spans="4:8" ht="15.75" customHeight="1">
      <c r="D291" s="15"/>
      <c r="F291" s="16"/>
      <c r="G291" s="17"/>
      <c r="H291" s="16"/>
    </row>
    <row r="292" spans="4:8" ht="15.75" customHeight="1">
      <c r="D292" s="15"/>
      <c r="F292" s="16"/>
      <c r="G292" s="17"/>
      <c r="H292" s="16"/>
    </row>
    <row r="293" spans="4:8" ht="15.75" customHeight="1">
      <c r="D293" s="15"/>
      <c r="F293" s="16"/>
      <c r="G293" s="17"/>
      <c r="H293" s="16"/>
    </row>
    <row r="294" spans="4:8" ht="15.75" customHeight="1">
      <c r="D294" s="15"/>
      <c r="F294" s="16"/>
      <c r="G294" s="17"/>
      <c r="H294" s="16"/>
    </row>
    <row r="295" spans="4:8" ht="15.75" customHeight="1">
      <c r="D295" s="15"/>
      <c r="F295" s="16"/>
      <c r="G295" s="17"/>
      <c r="H295" s="16"/>
    </row>
    <row r="296" spans="4:8" ht="15.75" customHeight="1">
      <c r="D296" s="15"/>
      <c r="F296" s="16"/>
      <c r="G296" s="17"/>
      <c r="H296" s="16"/>
    </row>
    <row r="297" spans="4:8" ht="15.75" customHeight="1">
      <c r="D297" s="15"/>
      <c r="F297" s="16"/>
      <c r="G297" s="17"/>
      <c r="H297" s="16"/>
    </row>
    <row r="298" spans="4:8" ht="15.75" customHeight="1">
      <c r="D298" s="15"/>
      <c r="F298" s="16"/>
      <c r="G298" s="17"/>
      <c r="H298" s="16"/>
    </row>
    <row r="299" spans="4:8" ht="15.75" customHeight="1">
      <c r="D299" s="15"/>
      <c r="F299" s="16"/>
      <c r="G299" s="17"/>
      <c r="H299" s="16"/>
    </row>
    <row r="300" spans="4:8" ht="15.75" customHeight="1">
      <c r="D300" s="15"/>
      <c r="F300" s="16"/>
      <c r="G300" s="17"/>
      <c r="H300" s="16"/>
    </row>
    <row r="301" spans="4:8" ht="15.75" customHeight="1">
      <c r="D301" s="15"/>
      <c r="F301" s="16"/>
      <c r="G301" s="17"/>
      <c r="H301" s="16"/>
    </row>
    <row r="302" spans="4:8" ht="15.75" customHeight="1">
      <c r="D302" s="15"/>
      <c r="F302" s="16"/>
      <c r="G302" s="17"/>
      <c r="H302" s="16"/>
    </row>
    <row r="303" spans="4:8" ht="15.75" customHeight="1">
      <c r="D303" s="15"/>
      <c r="F303" s="16"/>
      <c r="G303" s="17"/>
      <c r="H303" s="16"/>
    </row>
    <row r="304" spans="4:8" ht="15.75" customHeight="1">
      <c r="D304" s="15"/>
      <c r="F304" s="16"/>
      <c r="G304" s="17"/>
      <c r="H304" s="16"/>
    </row>
    <row r="305" spans="4:8" ht="15.75" customHeight="1">
      <c r="D305" s="15"/>
      <c r="F305" s="16"/>
      <c r="G305" s="17"/>
      <c r="H305" s="16"/>
    </row>
    <row r="306" spans="4:8" ht="15.75" customHeight="1">
      <c r="D306" s="15"/>
      <c r="F306" s="16"/>
      <c r="G306" s="17"/>
      <c r="H306" s="16"/>
    </row>
    <row r="307" spans="4:8" ht="15.75" customHeight="1">
      <c r="D307" s="15"/>
      <c r="F307" s="16"/>
      <c r="G307" s="17"/>
      <c r="H307" s="16"/>
    </row>
    <row r="308" spans="4:8" ht="15.75" customHeight="1">
      <c r="D308" s="15"/>
      <c r="F308" s="16"/>
      <c r="G308" s="17"/>
      <c r="H308" s="16"/>
    </row>
    <row r="309" spans="4:8" ht="15.75" customHeight="1">
      <c r="D309" s="15"/>
      <c r="F309" s="16"/>
      <c r="G309" s="17"/>
      <c r="H309" s="16"/>
    </row>
    <row r="310" spans="4:8" ht="15.75" customHeight="1">
      <c r="D310" s="15"/>
      <c r="F310" s="16"/>
      <c r="G310" s="17"/>
      <c r="H310" s="16"/>
    </row>
    <row r="311" spans="4:8" ht="15.75" customHeight="1">
      <c r="D311" s="15"/>
      <c r="F311" s="16"/>
      <c r="G311" s="17"/>
      <c r="H311" s="16"/>
    </row>
    <row r="312" spans="4:8" ht="15.75" customHeight="1">
      <c r="D312" s="15"/>
      <c r="F312" s="16"/>
      <c r="G312" s="17"/>
      <c r="H312" s="16"/>
    </row>
    <row r="313" spans="4:8" ht="15.75" customHeight="1">
      <c r="D313" s="15"/>
      <c r="F313" s="16"/>
      <c r="G313" s="17"/>
      <c r="H313" s="16"/>
    </row>
    <row r="314" spans="4:8" ht="15.75" customHeight="1">
      <c r="D314" s="15"/>
      <c r="F314" s="16"/>
      <c r="G314" s="17"/>
      <c r="H314" s="16"/>
    </row>
    <row r="315" spans="4:8" ht="15.75" customHeight="1">
      <c r="D315" s="15"/>
      <c r="F315" s="16"/>
      <c r="G315" s="17"/>
      <c r="H315" s="16"/>
    </row>
    <row r="316" spans="4:8" ht="15.75" customHeight="1">
      <c r="D316" s="15"/>
      <c r="F316" s="16"/>
      <c r="G316" s="17"/>
      <c r="H316" s="16"/>
    </row>
    <row r="317" spans="4:8" ht="15.75" customHeight="1">
      <c r="D317" s="15"/>
      <c r="F317" s="16"/>
      <c r="G317" s="17"/>
      <c r="H317" s="16"/>
    </row>
    <row r="318" spans="4:8" ht="15.75" customHeight="1">
      <c r="D318" s="15"/>
      <c r="F318" s="16"/>
      <c r="G318" s="17"/>
      <c r="H318" s="16"/>
    </row>
    <row r="319" spans="4:8" ht="15.75" customHeight="1">
      <c r="D319" s="15"/>
      <c r="F319" s="16"/>
      <c r="G319" s="17"/>
      <c r="H319" s="16"/>
    </row>
    <row r="320" spans="4:8" ht="15.75" customHeight="1">
      <c r="D320" s="15"/>
      <c r="F320" s="16"/>
      <c r="G320" s="17"/>
      <c r="H320" s="16"/>
    </row>
    <row r="321" spans="4:8" ht="15.75" customHeight="1">
      <c r="D321" s="15"/>
      <c r="F321" s="16"/>
      <c r="G321" s="17"/>
      <c r="H321" s="16"/>
    </row>
    <row r="322" spans="4:8" ht="15.75" customHeight="1">
      <c r="D322" s="15"/>
      <c r="F322" s="16"/>
      <c r="G322" s="17"/>
      <c r="H322" s="16"/>
    </row>
    <row r="323" spans="4:8" ht="15.75" customHeight="1">
      <c r="D323" s="15"/>
      <c r="F323" s="16"/>
      <c r="G323" s="17"/>
      <c r="H323" s="16"/>
    </row>
    <row r="324" spans="4:8" ht="15.75" customHeight="1">
      <c r="D324" s="15"/>
      <c r="F324" s="16"/>
      <c r="G324" s="17"/>
      <c r="H324" s="16"/>
    </row>
    <row r="325" spans="4:8" ht="15.75" customHeight="1">
      <c r="D325" s="15"/>
      <c r="F325" s="16"/>
      <c r="G325" s="17"/>
      <c r="H325" s="16"/>
    </row>
    <row r="326" spans="4:8" ht="15.75" customHeight="1">
      <c r="D326" s="15"/>
      <c r="F326" s="16"/>
      <c r="G326" s="17"/>
      <c r="H326" s="16"/>
    </row>
    <row r="327" spans="4:8" ht="15.75" customHeight="1">
      <c r="D327" s="15"/>
      <c r="F327" s="16"/>
      <c r="G327" s="17"/>
      <c r="H327" s="16"/>
    </row>
    <row r="328" spans="4:8" ht="15.75" customHeight="1">
      <c r="D328" s="15"/>
      <c r="F328" s="16"/>
      <c r="G328" s="17"/>
      <c r="H328" s="16"/>
    </row>
    <row r="329" spans="4:8" ht="15.75" customHeight="1">
      <c r="D329" s="15"/>
      <c r="F329" s="16"/>
      <c r="G329" s="17"/>
      <c r="H329" s="16"/>
    </row>
    <row r="330" spans="4:8" ht="15.75" customHeight="1">
      <c r="D330" s="15"/>
      <c r="F330" s="16"/>
      <c r="G330" s="17"/>
      <c r="H330" s="16"/>
    </row>
    <row r="331" spans="4:8" ht="15.75" customHeight="1">
      <c r="D331" s="15"/>
      <c r="F331" s="16"/>
      <c r="G331" s="17"/>
      <c r="H331" s="16"/>
    </row>
    <row r="332" spans="4:8" ht="15.75" customHeight="1">
      <c r="D332" s="15"/>
      <c r="F332" s="16"/>
      <c r="G332" s="17"/>
      <c r="H332" s="16"/>
    </row>
    <row r="333" spans="4:8" ht="15.75" customHeight="1">
      <c r="D333" s="15"/>
      <c r="F333" s="16"/>
      <c r="G333" s="17"/>
      <c r="H333" s="16"/>
    </row>
    <row r="334" spans="4:8" ht="15.75" customHeight="1">
      <c r="D334" s="15"/>
      <c r="F334" s="16"/>
      <c r="G334" s="17"/>
      <c r="H334" s="16"/>
    </row>
    <row r="335" spans="4:8" ht="15.75" customHeight="1">
      <c r="D335" s="15"/>
      <c r="F335" s="16"/>
      <c r="G335" s="17"/>
      <c r="H335" s="16"/>
    </row>
    <row r="336" spans="4:8" ht="15.75" customHeight="1">
      <c r="D336" s="15"/>
      <c r="F336" s="16"/>
      <c r="G336" s="17"/>
      <c r="H336" s="16"/>
    </row>
    <row r="337" spans="4:8" ht="15.75" customHeight="1">
      <c r="D337" s="15"/>
      <c r="F337" s="16"/>
      <c r="G337" s="17"/>
      <c r="H337" s="16"/>
    </row>
    <row r="338" spans="4:8" ht="15.75" customHeight="1">
      <c r="D338" s="15"/>
      <c r="F338" s="16"/>
      <c r="G338" s="17"/>
      <c r="H338" s="16"/>
    </row>
    <row r="339" spans="4:8" ht="15.75" customHeight="1">
      <c r="D339" s="15"/>
      <c r="F339" s="16"/>
      <c r="G339" s="17"/>
      <c r="H339" s="16"/>
    </row>
    <row r="340" spans="4:8" ht="15.75" customHeight="1">
      <c r="D340" s="15"/>
      <c r="F340" s="16"/>
      <c r="G340" s="17"/>
      <c r="H340" s="16"/>
    </row>
    <row r="341" spans="4:8" ht="15.75" customHeight="1">
      <c r="D341" s="15"/>
      <c r="F341" s="16"/>
      <c r="G341" s="17"/>
      <c r="H341" s="16"/>
    </row>
    <row r="342" spans="4:8" ht="15.75" customHeight="1">
      <c r="D342" s="15"/>
      <c r="F342" s="16"/>
      <c r="G342" s="17"/>
      <c r="H342" s="16"/>
    </row>
    <row r="343" spans="4:8" ht="15.75" customHeight="1">
      <c r="D343" s="15"/>
      <c r="F343" s="16"/>
      <c r="G343" s="17"/>
      <c r="H343" s="16"/>
    </row>
    <row r="344" spans="4:8" ht="15.75" customHeight="1">
      <c r="D344" s="15"/>
      <c r="F344" s="16"/>
      <c r="G344" s="17"/>
      <c r="H344" s="16"/>
    </row>
    <row r="345" spans="4:8" ht="15.75" customHeight="1">
      <c r="D345" s="15"/>
      <c r="F345" s="16"/>
      <c r="G345" s="17"/>
      <c r="H345" s="16"/>
    </row>
    <row r="346" spans="4:8" ht="15.75" customHeight="1">
      <c r="D346" s="15"/>
      <c r="F346" s="16"/>
      <c r="G346" s="17"/>
      <c r="H346" s="16"/>
    </row>
    <row r="347" spans="4:8" ht="15.75" customHeight="1">
      <c r="D347" s="15"/>
      <c r="F347" s="16"/>
      <c r="G347" s="17"/>
      <c r="H347" s="16"/>
    </row>
    <row r="348" spans="4:8" ht="15.75" customHeight="1">
      <c r="D348" s="15"/>
      <c r="F348" s="16"/>
      <c r="G348" s="17"/>
      <c r="H348" s="16"/>
    </row>
    <row r="349" spans="4:8" ht="15.75" customHeight="1">
      <c r="D349" s="15"/>
      <c r="F349" s="16"/>
      <c r="G349" s="17"/>
      <c r="H349" s="16"/>
    </row>
    <row r="350" spans="4:8" ht="15.75" customHeight="1">
      <c r="D350" s="15"/>
      <c r="F350" s="16"/>
      <c r="G350" s="17"/>
      <c r="H350" s="16"/>
    </row>
    <row r="351" spans="4:8" ht="15.75" customHeight="1">
      <c r="D351" s="15"/>
      <c r="F351" s="16"/>
      <c r="G351" s="17"/>
      <c r="H351" s="16"/>
    </row>
    <row r="352" spans="4:8" ht="15.75" customHeight="1">
      <c r="D352" s="15"/>
      <c r="F352" s="16"/>
      <c r="G352" s="17"/>
      <c r="H352" s="16"/>
    </row>
    <row r="353" spans="4:8" ht="15.75" customHeight="1">
      <c r="D353" s="15"/>
      <c r="F353" s="16"/>
      <c r="G353" s="17"/>
      <c r="H353" s="16"/>
    </row>
    <row r="354" spans="4:8" ht="15.75" customHeight="1">
      <c r="D354" s="15"/>
      <c r="F354" s="16"/>
      <c r="G354" s="17"/>
      <c r="H354" s="16"/>
    </row>
    <row r="355" spans="4:8" ht="15.75" customHeight="1">
      <c r="D355" s="15"/>
      <c r="F355" s="16"/>
      <c r="G355" s="17"/>
      <c r="H355" s="16"/>
    </row>
    <row r="356" spans="4:8" ht="15.75" customHeight="1">
      <c r="D356" s="15"/>
      <c r="F356" s="16"/>
      <c r="G356" s="17"/>
      <c r="H356" s="16"/>
    </row>
    <row r="357" spans="4:8" ht="15.75" customHeight="1">
      <c r="D357" s="15"/>
      <c r="F357" s="16"/>
      <c r="G357" s="17"/>
      <c r="H357" s="16"/>
    </row>
    <row r="358" spans="4:8" ht="15.75" customHeight="1">
      <c r="D358" s="15"/>
      <c r="F358" s="16"/>
      <c r="G358" s="17"/>
      <c r="H358" s="16"/>
    </row>
    <row r="359" spans="4:8" ht="15.75" customHeight="1">
      <c r="D359" s="15"/>
      <c r="F359" s="16"/>
      <c r="G359" s="17"/>
      <c r="H359" s="16"/>
    </row>
    <row r="360" spans="4:8" ht="15.75" customHeight="1">
      <c r="D360" s="15"/>
      <c r="F360" s="16"/>
      <c r="G360" s="17"/>
      <c r="H360" s="16"/>
    </row>
    <row r="361" spans="4:8" ht="15.75" customHeight="1">
      <c r="D361" s="15"/>
      <c r="F361" s="16"/>
      <c r="G361" s="17"/>
      <c r="H361" s="16"/>
    </row>
    <row r="362" spans="4:8" ht="15.75" customHeight="1">
      <c r="D362" s="15"/>
      <c r="F362" s="16"/>
      <c r="G362" s="17"/>
      <c r="H362" s="16"/>
    </row>
    <row r="363" spans="4:8" ht="15.75" customHeight="1">
      <c r="D363" s="15"/>
      <c r="F363" s="16"/>
      <c r="G363" s="17"/>
      <c r="H363" s="16"/>
    </row>
    <row r="364" spans="4:8" ht="15.75" customHeight="1">
      <c r="D364" s="15"/>
      <c r="F364" s="16"/>
      <c r="G364" s="17"/>
      <c r="H364" s="16"/>
    </row>
    <row r="365" spans="4:8" ht="15.75" customHeight="1">
      <c r="D365" s="15"/>
      <c r="F365" s="16"/>
      <c r="G365" s="17"/>
      <c r="H365" s="16"/>
    </row>
    <row r="366" spans="4:8" ht="15.75" customHeight="1">
      <c r="D366" s="15"/>
      <c r="F366" s="16"/>
      <c r="G366" s="17"/>
      <c r="H366" s="16"/>
    </row>
    <row r="367" spans="4:8" ht="15.75" customHeight="1">
      <c r="D367" s="15"/>
      <c r="F367" s="16"/>
      <c r="G367" s="17"/>
      <c r="H367" s="16"/>
    </row>
    <row r="368" spans="4:8" ht="15.75" customHeight="1">
      <c r="D368" s="15"/>
      <c r="F368" s="16"/>
      <c r="G368" s="17"/>
      <c r="H368" s="16"/>
    </row>
    <row r="369" spans="4:8" ht="15.75" customHeight="1">
      <c r="D369" s="15"/>
      <c r="F369" s="16"/>
      <c r="G369" s="17"/>
      <c r="H369" s="16"/>
    </row>
    <row r="370" spans="4:8" ht="15.75" customHeight="1">
      <c r="D370" s="15"/>
      <c r="F370" s="16"/>
      <c r="G370" s="17"/>
      <c r="H370" s="16"/>
    </row>
    <row r="371" spans="4:8" ht="15.75" customHeight="1">
      <c r="D371" s="15"/>
      <c r="F371" s="16"/>
      <c r="G371" s="17"/>
      <c r="H371" s="16"/>
    </row>
    <row r="372" spans="4:8" ht="15.75" customHeight="1">
      <c r="D372" s="15"/>
      <c r="F372" s="16"/>
      <c r="G372" s="17"/>
      <c r="H372" s="16"/>
    </row>
    <row r="373" spans="4:8" ht="15.75" customHeight="1">
      <c r="D373" s="15"/>
      <c r="F373" s="16"/>
      <c r="G373" s="17"/>
      <c r="H373" s="16"/>
    </row>
    <row r="374" spans="4:8" ht="15.75" customHeight="1">
      <c r="D374" s="15"/>
      <c r="F374" s="16"/>
      <c r="G374" s="17"/>
      <c r="H374" s="16"/>
    </row>
    <row r="375" spans="4:8" ht="15.75" customHeight="1">
      <c r="D375" s="15"/>
      <c r="F375" s="16"/>
      <c r="G375" s="17"/>
      <c r="H375" s="16"/>
    </row>
    <row r="376" spans="4:8" ht="15.75" customHeight="1">
      <c r="D376" s="15"/>
      <c r="F376" s="16"/>
      <c r="G376" s="17"/>
      <c r="H376" s="16"/>
    </row>
    <row r="377" spans="4:8" ht="15.75" customHeight="1">
      <c r="D377" s="15"/>
      <c r="F377" s="16"/>
      <c r="G377" s="17"/>
      <c r="H377" s="16"/>
    </row>
    <row r="378" spans="4:8" ht="15.75" customHeight="1">
      <c r="D378" s="15"/>
      <c r="F378" s="16"/>
      <c r="G378" s="17"/>
      <c r="H378" s="16"/>
    </row>
    <row r="379" spans="4:8" ht="15.75" customHeight="1">
      <c r="D379" s="15"/>
      <c r="F379" s="16"/>
      <c r="G379" s="17"/>
      <c r="H379" s="16"/>
    </row>
    <row r="380" spans="4:8" ht="15.75" customHeight="1">
      <c r="D380" s="15"/>
      <c r="F380" s="16"/>
      <c r="G380" s="17"/>
      <c r="H380" s="16"/>
    </row>
    <row r="381" spans="4:8" ht="15.75" customHeight="1">
      <c r="D381" s="15"/>
      <c r="F381" s="16"/>
      <c r="G381" s="17"/>
      <c r="H381" s="16"/>
    </row>
    <row r="382" spans="4:8" ht="15.75" customHeight="1">
      <c r="D382" s="15"/>
      <c r="F382" s="16"/>
      <c r="G382" s="17"/>
      <c r="H382" s="16"/>
    </row>
    <row r="383" spans="4:8" ht="15.75" customHeight="1">
      <c r="D383" s="15"/>
      <c r="F383" s="16"/>
      <c r="G383" s="17"/>
      <c r="H383" s="16"/>
    </row>
    <row r="384" spans="4:8" ht="15.75" customHeight="1">
      <c r="D384" s="15"/>
      <c r="F384" s="16"/>
      <c r="G384" s="17"/>
      <c r="H384" s="16"/>
    </row>
    <row r="385" spans="4:8" ht="15.75" customHeight="1">
      <c r="D385" s="15"/>
      <c r="F385" s="16"/>
      <c r="G385" s="17"/>
      <c r="H385" s="16"/>
    </row>
    <row r="386" spans="4:8" ht="15.75" customHeight="1">
      <c r="D386" s="15"/>
      <c r="F386" s="16"/>
      <c r="G386" s="17"/>
      <c r="H386" s="16"/>
    </row>
    <row r="387" spans="4:8" ht="15.75" customHeight="1">
      <c r="D387" s="15"/>
      <c r="F387" s="16"/>
      <c r="G387" s="17"/>
      <c r="H387" s="16"/>
    </row>
    <row r="388" spans="4:8" ht="15.75" customHeight="1">
      <c r="D388" s="15"/>
      <c r="F388" s="16"/>
      <c r="G388" s="17"/>
      <c r="H388" s="16"/>
    </row>
    <row r="389" spans="4:8" ht="15.75" customHeight="1">
      <c r="D389" s="15"/>
      <c r="F389" s="16"/>
      <c r="G389" s="17"/>
      <c r="H389" s="16"/>
    </row>
    <row r="390" spans="4:8" ht="15.75" customHeight="1">
      <c r="D390" s="15"/>
      <c r="F390" s="16"/>
      <c r="G390" s="17"/>
      <c r="H390" s="16"/>
    </row>
    <row r="391" spans="4:8" ht="15.75" customHeight="1">
      <c r="D391" s="15"/>
      <c r="F391" s="16"/>
      <c r="G391" s="17"/>
      <c r="H391" s="16"/>
    </row>
    <row r="392" spans="4:8" ht="15.75" customHeight="1">
      <c r="D392" s="15"/>
      <c r="F392" s="16"/>
      <c r="G392" s="17"/>
      <c r="H392" s="16"/>
    </row>
    <row r="393" spans="4:8" ht="15.75" customHeight="1">
      <c r="D393" s="15"/>
      <c r="F393" s="16"/>
      <c r="G393" s="17"/>
      <c r="H393" s="16"/>
    </row>
    <row r="394" spans="4:8" ht="15.75" customHeight="1">
      <c r="D394" s="15"/>
      <c r="F394" s="16"/>
      <c r="G394" s="17"/>
      <c r="H394" s="16"/>
    </row>
    <row r="395" spans="4:8" ht="15.75" customHeight="1">
      <c r="D395" s="15"/>
      <c r="F395" s="16"/>
      <c r="G395" s="17"/>
      <c r="H395" s="16"/>
    </row>
    <row r="396" spans="4:8" ht="15.75" customHeight="1">
      <c r="D396" s="15"/>
      <c r="F396" s="16"/>
      <c r="G396" s="17"/>
      <c r="H396" s="16"/>
    </row>
    <row r="397" spans="4:8" ht="15.75" customHeight="1">
      <c r="D397" s="15"/>
      <c r="F397" s="16"/>
      <c r="G397" s="17"/>
      <c r="H397" s="16"/>
    </row>
    <row r="398" spans="4:8" ht="15.75" customHeight="1">
      <c r="D398" s="15"/>
      <c r="F398" s="16"/>
      <c r="G398" s="17"/>
      <c r="H398" s="16"/>
    </row>
    <row r="399" spans="4:8" ht="15.75" customHeight="1">
      <c r="D399" s="15"/>
      <c r="F399" s="16"/>
      <c r="G399" s="17"/>
      <c r="H399" s="16"/>
    </row>
    <row r="400" spans="4:8" ht="15.75" customHeight="1">
      <c r="D400" s="15"/>
      <c r="F400" s="16"/>
      <c r="G400" s="17"/>
      <c r="H400" s="16"/>
    </row>
    <row r="401" spans="4:8" ht="15.75" customHeight="1">
      <c r="D401" s="15"/>
      <c r="F401" s="16"/>
      <c r="G401" s="17"/>
      <c r="H401" s="16"/>
    </row>
    <row r="402" spans="4:8" ht="15.75" customHeight="1">
      <c r="D402" s="15"/>
      <c r="F402" s="16"/>
      <c r="G402" s="17"/>
      <c r="H402" s="16"/>
    </row>
    <row r="403" spans="4:8" ht="15.75" customHeight="1">
      <c r="D403" s="15"/>
      <c r="F403" s="16"/>
      <c r="G403" s="17"/>
      <c r="H403" s="16"/>
    </row>
    <row r="404" spans="4:8" ht="15.75" customHeight="1">
      <c r="D404" s="15"/>
      <c r="F404" s="16"/>
      <c r="G404" s="17"/>
      <c r="H404" s="16"/>
    </row>
    <row r="405" spans="4:8" ht="15.75" customHeight="1">
      <c r="D405" s="15"/>
      <c r="F405" s="16"/>
      <c r="G405" s="17"/>
      <c r="H405" s="16"/>
    </row>
    <row r="406" spans="4:8" ht="15.75" customHeight="1">
      <c r="D406" s="15"/>
      <c r="F406" s="16"/>
      <c r="G406" s="17"/>
      <c r="H406" s="16"/>
    </row>
    <row r="407" spans="4:8" ht="15.75" customHeight="1">
      <c r="D407" s="15"/>
      <c r="F407" s="16"/>
      <c r="G407" s="17"/>
      <c r="H407" s="16"/>
    </row>
    <row r="408" spans="4:8" ht="15.75" customHeight="1">
      <c r="D408" s="15"/>
      <c r="F408" s="16"/>
      <c r="G408" s="17"/>
      <c r="H408" s="16"/>
    </row>
    <row r="409" spans="4:8" ht="15.75" customHeight="1">
      <c r="D409" s="15"/>
      <c r="F409" s="16"/>
      <c r="G409" s="17"/>
      <c r="H409" s="16"/>
    </row>
    <row r="410" spans="4:8" ht="15.75" customHeight="1">
      <c r="D410" s="15"/>
      <c r="F410" s="16"/>
      <c r="G410" s="17"/>
      <c r="H410" s="16"/>
    </row>
    <row r="411" spans="4:8" ht="15.75" customHeight="1">
      <c r="D411" s="15"/>
      <c r="F411" s="16"/>
      <c r="G411" s="17"/>
      <c r="H411" s="16"/>
    </row>
    <row r="412" spans="4:8" ht="15.75" customHeight="1">
      <c r="D412" s="15"/>
      <c r="F412" s="16"/>
      <c r="G412" s="17"/>
      <c r="H412" s="16"/>
    </row>
    <row r="413" spans="4:8" ht="15.75" customHeight="1">
      <c r="D413" s="15"/>
      <c r="F413" s="16"/>
      <c r="G413" s="17"/>
      <c r="H413" s="16"/>
    </row>
    <row r="414" spans="4:8" ht="15.75" customHeight="1">
      <c r="D414" s="15"/>
      <c r="F414" s="16"/>
      <c r="G414" s="17"/>
      <c r="H414" s="16"/>
    </row>
    <row r="415" spans="4:8" ht="15.75" customHeight="1">
      <c r="D415" s="15"/>
      <c r="F415" s="16"/>
      <c r="G415" s="17"/>
      <c r="H415" s="16"/>
    </row>
    <row r="416" spans="4:8" ht="15.75" customHeight="1">
      <c r="D416" s="15"/>
      <c r="F416" s="16"/>
      <c r="G416" s="17"/>
      <c r="H416" s="16"/>
    </row>
    <row r="417" spans="4:8" ht="15.75" customHeight="1">
      <c r="D417" s="15"/>
      <c r="F417" s="16"/>
      <c r="G417" s="17"/>
      <c r="H417" s="16"/>
    </row>
    <row r="418" spans="4:8" ht="15.75" customHeight="1">
      <c r="D418" s="15"/>
      <c r="F418" s="16"/>
      <c r="G418" s="17"/>
      <c r="H418" s="16"/>
    </row>
    <row r="419" spans="4:8" ht="15.75" customHeight="1">
      <c r="D419" s="15"/>
      <c r="F419" s="16"/>
      <c r="G419" s="17"/>
      <c r="H419" s="16"/>
    </row>
    <row r="420" spans="4:8" ht="15.75" customHeight="1">
      <c r="D420" s="15"/>
      <c r="F420" s="16"/>
      <c r="G420" s="17"/>
      <c r="H420" s="16"/>
    </row>
    <row r="421" spans="4:8" ht="15.75" customHeight="1">
      <c r="D421" s="15"/>
      <c r="F421" s="16"/>
      <c r="G421" s="17"/>
      <c r="H421" s="16"/>
    </row>
    <row r="422" spans="4:8" ht="15.75" customHeight="1">
      <c r="D422" s="15"/>
      <c r="F422" s="16"/>
      <c r="G422" s="17"/>
      <c r="H422" s="16"/>
    </row>
    <row r="423" spans="4:8" ht="15.75" customHeight="1">
      <c r="D423" s="15"/>
      <c r="F423" s="16"/>
      <c r="G423" s="17"/>
      <c r="H423" s="16"/>
    </row>
    <row r="424" spans="4:8" ht="15.75" customHeight="1">
      <c r="D424" s="15"/>
      <c r="F424" s="16"/>
      <c r="G424" s="17"/>
      <c r="H424" s="16"/>
    </row>
    <row r="425" spans="4:8" ht="15.75" customHeight="1">
      <c r="D425" s="15"/>
      <c r="F425" s="16"/>
      <c r="G425" s="17"/>
      <c r="H425" s="16"/>
    </row>
    <row r="426" spans="4:8" ht="15.75" customHeight="1">
      <c r="D426" s="15"/>
      <c r="F426" s="16"/>
      <c r="G426" s="17"/>
      <c r="H426" s="16"/>
    </row>
    <row r="427" spans="4:8" ht="15.75" customHeight="1">
      <c r="D427" s="15"/>
      <c r="F427" s="16"/>
      <c r="G427" s="17"/>
      <c r="H427" s="16"/>
    </row>
    <row r="428" spans="4:8" ht="15.75" customHeight="1">
      <c r="D428" s="15"/>
      <c r="F428" s="16"/>
      <c r="G428" s="17"/>
      <c r="H428" s="16"/>
    </row>
    <row r="429" spans="4:8" ht="15.75" customHeight="1">
      <c r="D429" s="15"/>
      <c r="F429" s="16"/>
      <c r="G429" s="17"/>
      <c r="H429" s="16"/>
    </row>
    <row r="430" spans="4:8" ht="15.75" customHeight="1">
      <c r="D430" s="15"/>
      <c r="F430" s="16"/>
      <c r="G430" s="17"/>
      <c r="H430" s="16"/>
    </row>
    <row r="431" spans="4:8" ht="15.75" customHeight="1">
      <c r="D431" s="15"/>
      <c r="F431" s="16"/>
      <c r="G431" s="17"/>
      <c r="H431" s="16"/>
    </row>
    <row r="432" spans="4:8" ht="15.75" customHeight="1">
      <c r="D432" s="15"/>
      <c r="F432" s="16"/>
      <c r="G432" s="17"/>
      <c r="H432" s="16"/>
    </row>
    <row r="433" spans="4:8" ht="15.75" customHeight="1">
      <c r="D433" s="15"/>
      <c r="F433" s="16"/>
      <c r="G433" s="17"/>
      <c r="H433" s="16"/>
    </row>
    <row r="434" spans="4:8" ht="15.75" customHeight="1">
      <c r="D434" s="15"/>
      <c r="F434" s="16"/>
      <c r="G434" s="17"/>
      <c r="H434" s="16"/>
    </row>
    <row r="435" spans="4:8" ht="15.75" customHeight="1">
      <c r="D435" s="15"/>
      <c r="F435" s="16"/>
      <c r="G435" s="17"/>
      <c r="H435" s="16"/>
    </row>
    <row r="436" spans="4:8" ht="15.75" customHeight="1">
      <c r="D436" s="15"/>
      <c r="F436" s="16"/>
      <c r="G436" s="17"/>
      <c r="H436" s="16"/>
    </row>
    <row r="437" spans="4:8" ht="15.75" customHeight="1">
      <c r="D437" s="15"/>
      <c r="F437" s="16"/>
      <c r="G437" s="17"/>
      <c r="H437" s="16"/>
    </row>
    <row r="438" spans="4:8" ht="15.75" customHeight="1">
      <c r="D438" s="15"/>
      <c r="F438" s="16"/>
      <c r="G438" s="17"/>
      <c r="H438" s="16"/>
    </row>
    <row r="439" spans="4:8" ht="15.75" customHeight="1">
      <c r="D439" s="15"/>
      <c r="F439" s="16"/>
      <c r="G439" s="17"/>
      <c r="H439" s="16"/>
    </row>
    <row r="440" spans="4:8" ht="15.75" customHeight="1">
      <c r="D440" s="15"/>
      <c r="F440" s="16"/>
      <c r="G440" s="17"/>
      <c r="H440" s="16"/>
    </row>
    <row r="441" spans="4:8" ht="15.75" customHeight="1">
      <c r="D441" s="15"/>
      <c r="F441" s="16"/>
      <c r="G441" s="17"/>
      <c r="H441" s="16"/>
    </row>
    <row r="442" spans="4:8" ht="15.75" customHeight="1">
      <c r="D442" s="15"/>
      <c r="F442" s="16"/>
      <c r="G442" s="17"/>
      <c r="H442" s="16"/>
    </row>
    <row r="443" spans="4:8" ht="15.75" customHeight="1">
      <c r="D443" s="15"/>
      <c r="F443" s="16"/>
      <c r="G443" s="17"/>
      <c r="H443" s="16"/>
    </row>
    <row r="444" spans="4:8" ht="15.75" customHeight="1">
      <c r="D444" s="15"/>
      <c r="F444" s="16"/>
      <c r="G444" s="17"/>
      <c r="H444" s="16"/>
    </row>
    <row r="445" spans="4:8" ht="15.75" customHeight="1">
      <c r="D445" s="15"/>
      <c r="F445" s="16"/>
      <c r="G445" s="17"/>
      <c r="H445" s="16"/>
    </row>
    <row r="446" spans="4:8" ht="15.75" customHeight="1">
      <c r="D446" s="15"/>
      <c r="F446" s="16"/>
      <c r="G446" s="17"/>
      <c r="H446" s="16"/>
    </row>
    <row r="447" spans="4:8" ht="15.75" customHeight="1">
      <c r="D447" s="15"/>
      <c r="F447" s="16"/>
      <c r="G447" s="17"/>
      <c r="H447" s="16"/>
    </row>
    <row r="448" spans="4:8" ht="15.75" customHeight="1">
      <c r="D448" s="15"/>
      <c r="F448" s="16"/>
      <c r="G448" s="17"/>
      <c r="H448" s="16"/>
    </row>
    <row r="449" spans="4:8" ht="15.75" customHeight="1">
      <c r="D449" s="15"/>
      <c r="F449" s="16"/>
      <c r="G449" s="17"/>
      <c r="H449" s="16"/>
    </row>
    <row r="450" spans="4:8" ht="15.75" customHeight="1">
      <c r="D450" s="15"/>
      <c r="F450" s="16"/>
      <c r="G450" s="17"/>
      <c r="H450" s="16"/>
    </row>
    <row r="451" spans="4:8" ht="15.75" customHeight="1">
      <c r="D451" s="15"/>
      <c r="F451" s="16"/>
      <c r="G451" s="17"/>
      <c r="H451" s="16"/>
    </row>
    <row r="452" spans="4:8" ht="15.75" customHeight="1">
      <c r="D452" s="15"/>
      <c r="F452" s="16"/>
      <c r="G452" s="17"/>
      <c r="H452" s="16"/>
    </row>
    <row r="453" spans="4:8" ht="15.75" customHeight="1">
      <c r="D453" s="15"/>
      <c r="F453" s="16"/>
      <c r="G453" s="17"/>
      <c r="H453" s="16"/>
    </row>
    <row r="454" spans="4:8" ht="15.75" customHeight="1">
      <c r="D454" s="15"/>
      <c r="F454" s="16"/>
      <c r="G454" s="17"/>
      <c r="H454" s="16"/>
    </row>
    <row r="455" spans="4:8" ht="15.75" customHeight="1">
      <c r="D455" s="15"/>
      <c r="F455" s="16"/>
      <c r="G455" s="17"/>
      <c r="H455" s="16"/>
    </row>
    <row r="456" spans="4:8" ht="15.75" customHeight="1">
      <c r="D456" s="15"/>
      <c r="F456" s="16"/>
      <c r="G456" s="17"/>
      <c r="H456" s="16"/>
    </row>
    <row r="457" spans="4:8" ht="15.75" customHeight="1">
      <c r="D457" s="15"/>
      <c r="F457" s="16"/>
      <c r="G457" s="17"/>
      <c r="H457" s="16"/>
    </row>
    <row r="458" spans="4:8" ht="15.75" customHeight="1">
      <c r="D458" s="15"/>
      <c r="F458" s="16"/>
      <c r="G458" s="17"/>
      <c r="H458" s="16"/>
    </row>
    <row r="459" spans="4:8" ht="15.75" customHeight="1">
      <c r="D459" s="15"/>
      <c r="F459" s="16"/>
      <c r="G459" s="17"/>
      <c r="H459" s="16"/>
    </row>
    <row r="460" spans="4:8" ht="15.75" customHeight="1">
      <c r="D460" s="15"/>
      <c r="F460" s="16"/>
      <c r="G460" s="17"/>
      <c r="H460" s="16"/>
    </row>
    <row r="461" spans="4:8" ht="15.75" customHeight="1">
      <c r="D461" s="15"/>
      <c r="F461" s="16"/>
      <c r="G461" s="17"/>
      <c r="H461" s="16"/>
    </row>
    <row r="462" spans="4:8" ht="15.75" customHeight="1">
      <c r="D462" s="15"/>
      <c r="F462" s="16"/>
      <c r="G462" s="17"/>
      <c r="H462" s="16"/>
    </row>
    <row r="463" spans="4:8" ht="15.75" customHeight="1">
      <c r="D463" s="15"/>
      <c r="F463" s="16"/>
      <c r="G463" s="17"/>
      <c r="H463" s="16"/>
    </row>
    <row r="464" spans="4:8" ht="15.75" customHeight="1">
      <c r="D464" s="15"/>
      <c r="F464" s="16"/>
      <c r="G464" s="17"/>
      <c r="H464" s="16"/>
    </row>
    <row r="465" spans="4:8" ht="15.75" customHeight="1">
      <c r="D465" s="15"/>
      <c r="F465" s="16"/>
      <c r="G465" s="17"/>
      <c r="H465" s="16"/>
    </row>
    <row r="466" spans="4:8" ht="15.75" customHeight="1">
      <c r="D466" s="15"/>
      <c r="F466" s="16"/>
      <c r="G466" s="17"/>
      <c r="H466" s="16"/>
    </row>
    <row r="467" spans="4:8" ht="15.75" customHeight="1">
      <c r="D467" s="15"/>
      <c r="F467" s="16"/>
      <c r="G467" s="17"/>
      <c r="H467" s="16"/>
    </row>
    <row r="468" spans="4:8" ht="15.75" customHeight="1">
      <c r="D468" s="15"/>
      <c r="F468" s="16"/>
      <c r="G468" s="17"/>
      <c r="H468" s="16"/>
    </row>
    <row r="469" spans="4:8" ht="15.75" customHeight="1">
      <c r="D469" s="15"/>
      <c r="F469" s="16"/>
      <c r="G469" s="17"/>
      <c r="H469" s="16"/>
    </row>
    <row r="470" spans="4:8" ht="15.75" customHeight="1">
      <c r="D470" s="15"/>
      <c r="F470" s="16"/>
      <c r="G470" s="17"/>
      <c r="H470" s="16"/>
    </row>
    <row r="471" spans="4:8" ht="15.75" customHeight="1">
      <c r="D471" s="15"/>
      <c r="F471" s="16"/>
      <c r="G471" s="17"/>
      <c r="H471" s="16"/>
    </row>
    <row r="472" spans="4:8" ht="15.75" customHeight="1">
      <c r="D472" s="15"/>
      <c r="F472" s="16"/>
      <c r="G472" s="17"/>
      <c r="H472" s="16"/>
    </row>
    <row r="473" spans="4:8" ht="15.75" customHeight="1">
      <c r="D473" s="15"/>
      <c r="F473" s="16"/>
      <c r="G473" s="17"/>
      <c r="H473" s="16"/>
    </row>
    <row r="474" spans="4:8" ht="15.75" customHeight="1">
      <c r="D474" s="15"/>
      <c r="F474" s="16"/>
      <c r="G474" s="17"/>
      <c r="H474" s="16"/>
    </row>
    <row r="475" spans="4:8" ht="15.75" customHeight="1">
      <c r="D475" s="15"/>
      <c r="F475" s="16"/>
      <c r="G475" s="17"/>
      <c r="H475" s="16"/>
    </row>
    <row r="476" spans="4:8" ht="15.75" customHeight="1">
      <c r="D476" s="15"/>
      <c r="F476" s="16"/>
      <c r="G476" s="17"/>
      <c r="H476" s="16"/>
    </row>
    <row r="477" spans="4:8" ht="15.75" customHeight="1">
      <c r="D477" s="15"/>
      <c r="F477" s="16"/>
      <c r="G477" s="17"/>
      <c r="H477" s="16"/>
    </row>
    <row r="478" spans="4:8" ht="15.75" customHeight="1">
      <c r="D478" s="15"/>
      <c r="F478" s="16"/>
      <c r="G478" s="17"/>
      <c r="H478" s="16"/>
    </row>
    <row r="479" spans="4:8" ht="15.75" customHeight="1">
      <c r="D479" s="15"/>
      <c r="F479" s="16"/>
      <c r="G479" s="17"/>
      <c r="H479" s="16"/>
    </row>
    <row r="480" spans="4:8" ht="15.75" customHeight="1">
      <c r="D480" s="15"/>
      <c r="F480" s="16"/>
      <c r="G480" s="17"/>
      <c r="H480" s="16"/>
    </row>
    <row r="481" spans="4:8" ht="15.75" customHeight="1">
      <c r="D481" s="15"/>
      <c r="F481" s="16"/>
      <c r="G481" s="17"/>
      <c r="H481" s="16"/>
    </row>
    <row r="482" spans="4:8" ht="15.75" customHeight="1">
      <c r="D482" s="15"/>
      <c r="F482" s="16"/>
      <c r="G482" s="17"/>
      <c r="H482" s="16"/>
    </row>
    <row r="483" spans="4:8" ht="15.75" customHeight="1">
      <c r="D483" s="15"/>
      <c r="F483" s="16"/>
      <c r="G483" s="17"/>
      <c r="H483" s="16"/>
    </row>
    <row r="484" spans="4:8" ht="15.75" customHeight="1">
      <c r="D484" s="15"/>
      <c r="F484" s="16"/>
      <c r="G484" s="17"/>
      <c r="H484" s="16"/>
    </row>
    <row r="485" spans="4:8" ht="15.75" customHeight="1">
      <c r="D485" s="15"/>
      <c r="F485" s="16"/>
      <c r="G485" s="17"/>
      <c r="H485" s="16"/>
    </row>
    <row r="486" spans="4:8" ht="15.75" customHeight="1">
      <c r="D486" s="15"/>
      <c r="F486" s="16"/>
      <c r="G486" s="17"/>
      <c r="H486" s="16"/>
    </row>
    <row r="487" spans="4:8" ht="15.75" customHeight="1">
      <c r="D487" s="15"/>
      <c r="F487" s="16"/>
      <c r="G487" s="17"/>
      <c r="H487" s="16"/>
    </row>
    <row r="488" spans="4:8" ht="15.75" customHeight="1">
      <c r="D488" s="15"/>
      <c r="F488" s="16"/>
      <c r="G488" s="17"/>
      <c r="H488" s="16"/>
    </row>
    <row r="489" spans="4:8" ht="15.75" customHeight="1">
      <c r="D489" s="15"/>
      <c r="F489" s="16"/>
      <c r="G489" s="17"/>
      <c r="H489" s="16"/>
    </row>
    <row r="490" spans="4:8" ht="15.75" customHeight="1">
      <c r="D490" s="15"/>
      <c r="F490" s="16"/>
      <c r="G490" s="17"/>
      <c r="H490" s="16"/>
    </row>
    <row r="491" spans="4:8" ht="15.75" customHeight="1">
      <c r="D491" s="15"/>
      <c r="F491" s="16"/>
      <c r="G491" s="17"/>
      <c r="H491" s="16"/>
    </row>
    <row r="492" spans="4:8" ht="15.75" customHeight="1">
      <c r="D492" s="15"/>
      <c r="F492" s="16"/>
      <c r="G492" s="17"/>
      <c r="H492" s="16"/>
    </row>
    <row r="493" spans="4:8" ht="15.75" customHeight="1">
      <c r="D493" s="15"/>
      <c r="F493" s="16"/>
      <c r="G493" s="17"/>
      <c r="H493" s="16"/>
    </row>
    <row r="494" spans="4:8" ht="15.75" customHeight="1">
      <c r="D494" s="15"/>
      <c r="F494" s="16"/>
      <c r="G494" s="17"/>
      <c r="H494" s="16"/>
    </row>
    <row r="495" spans="4:8" ht="15.75" customHeight="1">
      <c r="D495" s="15"/>
      <c r="F495" s="16"/>
      <c r="G495" s="17"/>
      <c r="H495" s="16"/>
    </row>
    <row r="496" spans="4:8" ht="15.75" customHeight="1">
      <c r="D496" s="15"/>
      <c r="F496" s="16"/>
      <c r="G496" s="17"/>
      <c r="H496" s="16"/>
    </row>
    <row r="497" spans="4:8" ht="15.75" customHeight="1">
      <c r="D497" s="15"/>
      <c r="F497" s="16"/>
      <c r="G497" s="17"/>
      <c r="H497" s="16"/>
    </row>
    <row r="498" spans="4:8" ht="15.75" customHeight="1">
      <c r="D498" s="15"/>
      <c r="F498" s="16"/>
      <c r="G498" s="17"/>
      <c r="H498" s="16"/>
    </row>
    <row r="499" spans="4:8" ht="15.75" customHeight="1">
      <c r="D499" s="15"/>
      <c r="F499" s="16"/>
      <c r="G499" s="17"/>
      <c r="H499" s="16"/>
    </row>
    <row r="500" spans="4:8" ht="15.75" customHeight="1">
      <c r="D500" s="15"/>
      <c r="F500" s="16"/>
      <c r="G500" s="17"/>
      <c r="H500" s="16"/>
    </row>
    <row r="501" spans="4:8" ht="15.75" customHeight="1">
      <c r="D501" s="15"/>
      <c r="F501" s="16"/>
      <c r="G501" s="17"/>
      <c r="H501" s="16"/>
    </row>
    <row r="502" spans="4:8" ht="15.75" customHeight="1">
      <c r="D502" s="15"/>
      <c r="F502" s="16"/>
      <c r="G502" s="17"/>
      <c r="H502" s="16"/>
    </row>
    <row r="503" spans="4:8" ht="15.75" customHeight="1">
      <c r="D503" s="15"/>
      <c r="F503" s="16"/>
      <c r="G503" s="17"/>
      <c r="H503" s="16"/>
    </row>
    <row r="504" spans="4:8" ht="15.75" customHeight="1">
      <c r="D504" s="15"/>
      <c r="F504" s="16"/>
      <c r="G504" s="17"/>
      <c r="H504" s="16"/>
    </row>
    <row r="505" spans="4:8" ht="15.75" customHeight="1">
      <c r="D505" s="15"/>
      <c r="F505" s="16"/>
      <c r="G505" s="17"/>
      <c r="H505" s="16"/>
    </row>
    <row r="506" spans="4:8" ht="15.75" customHeight="1">
      <c r="D506" s="15"/>
      <c r="F506" s="16"/>
      <c r="G506" s="17"/>
      <c r="H506" s="16"/>
    </row>
    <row r="507" spans="4:8" ht="15.75" customHeight="1">
      <c r="D507" s="15"/>
      <c r="F507" s="16"/>
      <c r="G507" s="17"/>
      <c r="H507" s="16"/>
    </row>
    <row r="508" spans="4:8" ht="15.75" customHeight="1">
      <c r="D508" s="15"/>
      <c r="F508" s="16"/>
      <c r="G508" s="17"/>
      <c r="H508" s="16"/>
    </row>
    <row r="509" spans="4:8" ht="15.75" customHeight="1">
      <c r="D509" s="15"/>
      <c r="F509" s="16"/>
      <c r="G509" s="17"/>
      <c r="H509" s="16"/>
    </row>
    <row r="510" spans="4:8" ht="15.75" customHeight="1">
      <c r="D510" s="15"/>
      <c r="F510" s="16"/>
      <c r="G510" s="17"/>
      <c r="H510" s="16"/>
    </row>
    <row r="511" spans="4:8" ht="15.75" customHeight="1">
      <c r="D511" s="15"/>
      <c r="F511" s="16"/>
      <c r="G511" s="17"/>
      <c r="H511" s="16"/>
    </row>
    <row r="512" spans="4:8" ht="15.75" customHeight="1">
      <c r="D512" s="15"/>
      <c r="F512" s="16"/>
      <c r="G512" s="17"/>
      <c r="H512" s="16"/>
    </row>
    <row r="513" spans="4:8" ht="15.75" customHeight="1">
      <c r="D513" s="15"/>
      <c r="F513" s="16"/>
      <c r="G513" s="17"/>
      <c r="H513" s="16"/>
    </row>
    <row r="514" spans="4:8" ht="15.75" customHeight="1">
      <c r="D514" s="15"/>
      <c r="F514" s="16"/>
      <c r="G514" s="17"/>
      <c r="H514" s="16"/>
    </row>
    <row r="515" spans="4:8" ht="15.75" customHeight="1">
      <c r="D515" s="15"/>
      <c r="F515" s="16"/>
      <c r="G515" s="17"/>
      <c r="H515" s="16"/>
    </row>
    <row r="516" spans="4:8" ht="15.75" customHeight="1">
      <c r="D516" s="15"/>
      <c r="F516" s="16"/>
      <c r="G516" s="17"/>
      <c r="H516" s="16"/>
    </row>
    <row r="517" spans="4:8" ht="15.75" customHeight="1">
      <c r="D517" s="15"/>
      <c r="F517" s="16"/>
      <c r="G517" s="17"/>
      <c r="H517" s="16"/>
    </row>
    <row r="518" spans="4:8" ht="15.75" customHeight="1">
      <c r="D518" s="15"/>
      <c r="F518" s="16"/>
      <c r="G518" s="17"/>
      <c r="H518" s="16"/>
    </row>
    <row r="519" spans="4:8" ht="15.75" customHeight="1">
      <c r="D519" s="15"/>
      <c r="F519" s="16"/>
      <c r="G519" s="17"/>
      <c r="H519" s="16"/>
    </row>
    <row r="520" spans="4:8" ht="15.75" customHeight="1">
      <c r="D520" s="15"/>
      <c r="F520" s="16"/>
      <c r="G520" s="17"/>
      <c r="H520" s="16"/>
    </row>
    <row r="521" spans="4:8" ht="15.75" customHeight="1">
      <c r="D521" s="15"/>
      <c r="F521" s="16"/>
      <c r="G521" s="17"/>
      <c r="H521" s="16"/>
    </row>
    <row r="522" spans="4:8" ht="15.75" customHeight="1">
      <c r="D522" s="15"/>
      <c r="F522" s="16"/>
      <c r="G522" s="17"/>
      <c r="H522" s="16"/>
    </row>
    <row r="523" spans="4:8" ht="15.75" customHeight="1">
      <c r="D523" s="15"/>
      <c r="F523" s="16"/>
      <c r="G523" s="17"/>
      <c r="H523" s="16"/>
    </row>
    <row r="524" spans="4:8" ht="15.75" customHeight="1">
      <c r="D524" s="15"/>
      <c r="F524" s="16"/>
      <c r="G524" s="17"/>
      <c r="H524" s="16"/>
    </row>
    <row r="525" spans="4:8" ht="15.75" customHeight="1">
      <c r="D525" s="15"/>
      <c r="F525" s="16"/>
      <c r="G525" s="17"/>
      <c r="H525" s="16"/>
    </row>
    <row r="526" spans="4:8" ht="15.75" customHeight="1">
      <c r="D526" s="15"/>
      <c r="F526" s="16"/>
      <c r="G526" s="17"/>
      <c r="H526" s="16"/>
    </row>
    <row r="527" spans="4:8" ht="15.75" customHeight="1">
      <c r="D527" s="15"/>
      <c r="F527" s="16"/>
      <c r="G527" s="17"/>
      <c r="H527" s="16"/>
    </row>
    <row r="528" spans="4:8" ht="15.75" customHeight="1">
      <c r="D528" s="15"/>
      <c r="F528" s="16"/>
      <c r="G528" s="17"/>
      <c r="H528" s="16"/>
    </row>
    <row r="529" spans="4:8" ht="15.75" customHeight="1">
      <c r="D529" s="15"/>
      <c r="F529" s="16"/>
      <c r="G529" s="17"/>
      <c r="H529" s="16"/>
    </row>
    <row r="530" spans="4:8" ht="15.75" customHeight="1">
      <c r="D530" s="15"/>
      <c r="F530" s="16"/>
      <c r="G530" s="17"/>
      <c r="H530" s="16"/>
    </row>
    <row r="531" spans="4:8" ht="15.75" customHeight="1">
      <c r="D531" s="15"/>
      <c r="F531" s="16"/>
      <c r="G531" s="17"/>
      <c r="H531" s="16"/>
    </row>
    <row r="532" spans="4:8" ht="15.75" customHeight="1">
      <c r="D532" s="15"/>
      <c r="F532" s="16"/>
      <c r="G532" s="17"/>
      <c r="H532" s="16"/>
    </row>
    <row r="533" spans="4:8" ht="15.75" customHeight="1">
      <c r="D533" s="15"/>
      <c r="F533" s="16"/>
      <c r="G533" s="17"/>
      <c r="H533" s="16"/>
    </row>
    <row r="534" spans="4:8" ht="15.75" customHeight="1">
      <c r="D534" s="15"/>
      <c r="F534" s="16"/>
      <c r="G534" s="17"/>
      <c r="H534" s="16"/>
    </row>
    <row r="535" spans="4:8" ht="15.75" customHeight="1">
      <c r="D535" s="15"/>
      <c r="F535" s="16"/>
      <c r="G535" s="17"/>
      <c r="H535" s="16"/>
    </row>
    <row r="536" spans="4:8" ht="15.75" customHeight="1">
      <c r="D536" s="15"/>
      <c r="F536" s="16"/>
      <c r="G536" s="17"/>
      <c r="H536" s="16"/>
    </row>
    <row r="537" spans="4:8" ht="15.75" customHeight="1">
      <c r="D537" s="15"/>
      <c r="F537" s="16"/>
      <c r="G537" s="17"/>
      <c r="H537" s="16"/>
    </row>
    <row r="538" spans="4:8" ht="15.75" customHeight="1">
      <c r="D538" s="15"/>
      <c r="F538" s="16"/>
      <c r="G538" s="17"/>
      <c r="H538" s="16"/>
    </row>
    <row r="539" spans="4:8" ht="15.75" customHeight="1">
      <c r="D539" s="15"/>
      <c r="F539" s="16"/>
      <c r="G539" s="17"/>
      <c r="H539" s="16"/>
    </row>
    <row r="540" spans="4:8" ht="15.75" customHeight="1">
      <c r="D540" s="15"/>
      <c r="F540" s="16"/>
      <c r="G540" s="17"/>
      <c r="H540" s="16"/>
    </row>
    <row r="541" spans="4:8" ht="15.75" customHeight="1">
      <c r="D541" s="15"/>
      <c r="F541" s="16"/>
      <c r="G541" s="17"/>
      <c r="H541" s="16"/>
    </row>
    <row r="542" spans="4:8" ht="15.75" customHeight="1">
      <c r="D542" s="15"/>
      <c r="F542" s="16"/>
      <c r="G542" s="17"/>
      <c r="H542" s="16"/>
    </row>
    <row r="543" spans="4:8" ht="15.75" customHeight="1">
      <c r="D543" s="15"/>
      <c r="F543" s="16"/>
      <c r="G543" s="17"/>
      <c r="H543" s="16"/>
    </row>
    <row r="544" spans="4:8" ht="15.75" customHeight="1">
      <c r="D544" s="15"/>
      <c r="F544" s="16"/>
      <c r="G544" s="17"/>
      <c r="H544" s="16"/>
    </row>
    <row r="545" spans="4:8" ht="15.75" customHeight="1">
      <c r="D545" s="15"/>
      <c r="F545" s="16"/>
      <c r="G545" s="17"/>
      <c r="H545" s="16"/>
    </row>
    <row r="546" spans="4:8" ht="15.75" customHeight="1">
      <c r="D546" s="15"/>
      <c r="F546" s="16"/>
      <c r="G546" s="17"/>
      <c r="H546" s="16"/>
    </row>
    <row r="547" spans="4:8" ht="15.75" customHeight="1">
      <c r="D547" s="15"/>
      <c r="F547" s="16"/>
      <c r="G547" s="17"/>
      <c r="H547" s="16"/>
    </row>
    <row r="548" spans="4:8" ht="15.75" customHeight="1">
      <c r="D548" s="15"/>
      <c r="F548" s="16"/>
      <c r="G548" s="17"/>
      <c r="H548" s="16"/>
    </row>
    <row r="549" spans="4:8" ht="15.75" customHeight="1">
      <c r="D549" s="15"/>
      <c r="F549" s="16"/>
      <c r="G549" s="17"/>
      <c r="H549" s="16"/>
    </row>
    <row r="550" spans="4:8" ht="15.75" customHeight="1">
      <c r="D550" s="15"/>
      <c r="F550" s="16"/>
      <c r="G550" s="17"/>
      <c r="H550" s="16"/>
    </row>
    <row r="551" spans="4:8" ht="15.75" customHeight="1">
      <c r="D551" s="15"/>
      <c r="F551" s="16"/>
      <c r="G551" s="17"/>
      <c r="H551" s="16"/>
    </row>
    <row r="552" spans="4:8" ht="15.75" customHeight="1">
      <c r="D552" s="15"/>
      <c r="F552" s="16"/>
      <c r="G552" s="17"/>
      <c r="H552" s="16"/>
    </row>
    <row r="553" spans="4:8" ht="15.75" customHeight="1">
      <c r="D553" s="15"/>
      <c r="F553" s="16"/>
      <c r="G553" s="17"/>
      <c r="H553" s="16"/>
    </row>
    <row r="554" spans="4:8" ht="15.75" customHeight="1">
      <c r="D554" s="15"/>
      <c r="F554" s="16"/>
      <c r="G554" s="17"/>
      <c r="H554" s="16"/>
    </row>
    <row r="555" spans="4:8" ht="15.75" customHeight="1">
      <c r="D555" s="15"/>
      <c r="F555" s="16"/>
      <c r="G555" s="17"/>
      <c r="H555" s="16"/>
    </row>
    <row r="556" spans="4:8" ht="15.75" customHeight="1">
      <c r="D556" s="15"/>
      <c r="F556" s="16"/>
      <c r="G556" s="17"/>
      <c r="H556" s="16"/>
    </row>
    <row r="557" spans="4:8" ht="15.75" customHeight="1">
      <c r="D557" s="15"/>
      <c r="F557" s="16"/>
      <c r="G557" s="17"/>
      <c r="H557" s="16"/>
    </row>
    <row r="558" spans="4:8" ht="15.75" customHeight="1">
      <c r="D558" s="15"/>
      <c r="F558" s="16"/>
      <c r="G558" s="17"/>
      <c r="H558" s="16"/>
    </row>
    <row r="559" spans="4:8" ht="15.75" customHeight="1">
      <c r="D559" s="15"/>
      <c r="F559" s="16"/>
      <c r="G559" s="17"/>
      <c r="H559" s="16"/>
    </row>
    <row r="560" spans="4:8" ht="15.75" customHeight="1">
      <c r="D560" s="15"/>
      <c r="F560" s="16"/>
      <c r="G560" s="17"/>
      <c r="H560" s="16"/>
    </row>
    <row r="561" spans="4:8" ht="15.75" customHeight="1">
      <c r="D561" s="15"/>
      <c r="F561" s="16"/>
      <c r="G561" s="17"/>
      <c r="H561" s="16"/>
    </row>
    <row r="562" spans="4:8" ht="15.75" customHeight="1">
      <c r="D562" s="15"/>
      <c r="F562" s="16"/>
      <c r="G562" s="17"/>
      <c r="H562" s="16"/>
    </row>
    <row r="563" spans="4:8" ht="15.75" customHeight="1">
      <c r="D563" s="15"/>
      <c r="F563" s="16"/>
      <c r="G563" s="17"/>
      <c r="H563" s="16"/>
    </row>
    <row r="564" spans="4:8" ht="15.75" customHeight="1">
      <c r="D564" s="15"/>
      <c r="F564" s="16"/>
      <c r="G564" s="17"/>
      <c r="H564" s="16"/>
    </row>
    <row r="565" spans="4:8" ht="15.75" customHeight="1">
      <c r="D565" s="15"/>
      <c r="F565" s="16"/>
      <c r="G565" s="17"/>
      <c r="H565" s="16"/>
    </row>
    <row r="566" spans="4:8" ht="15.75" customHeight="1">
      <c r="D566" s="15"/>
      <c r="F566" s="16"/>
      <c r="G566" s="17"/>
      <c r="H566" s="16"/>
    </row>
    <row r="567" spans="4:8" ht="15.75" customHeight="1">
      <c r="D567" s="15"/>
      <c r="F567" s="16"/>
      <c r="G567" s="17"/>
      <c r="H567" s="16"/>
    </row>
    <row r="568" spans="4:8" ht="15.75" customHeight="1">
      <c r="D568" s="15"/>
      <c r="F568" s="16"/>
      <c r="G568" s="17"/>
      <c r="H568" s="16"/>
    </row>
    <row r="569" spans="4:8" ht="15.75" customHeight="1">
      <c r="D569" s="15"/>
      <c r="F569" s="16"/>
      <c r="G569" s="17"/>
      <c r="H569" s="16"/>
    </row>
    <row r="570" spans="4:8" ht="15.75" customHeight="1">
      <c r="D570" s="15"/>
      <c r="F570" s="16"/>
      <c r="G570" s="17"/>
      <c r="H570" s="16"/>
    </row>
    <row r="571" spans="4:8" ht="15.75" customHeight="1">
      <c r="D571" s="15"/>
      <c r="F571" s="16"/>
      <c r="G571" s="17"/>
      <c r="H571" s="16"/>
    </row>
    <row r="572" spans="4:8" ht="15.75" customHeight="1">
      <c r="D572" s="15"/>
      <c r="F572" s="16"/>
      <c r="G572" s="17"/>
      <c r="H572" s="16"/>
    </row>
    <row r="573" spans="4:8" ht="15.75" customHeight="1">
      <c r="D573" s="15"/>
      <c r="F573" s="16"/>
      <c r="G573" s="17"/>
      <c r="H573" s="16"/>
    </row>
    <row r="574" spans="4:8" ht="15.75" customHeight="1">
      <c r="D574" s="15"/>
      <c r="F574" s="16"/>
      <c r="G574" s="17"/>
      <c r="H574" s="16"/>
    </row>
    <row r="575" spans="4:8" ht="15.75" customHeight="1">
      <c r="D575" s="15"/>
      <c r="F575" s="16"/>
      <c r="G575" s="17"/>
      <c r="H575" s="16"/>
    </row>
    <row r="576" spans="4:8" ht="15.75" customHeight="1">
      <c r="D576" s="15"/>
      <c r="F576" s="16"/>
      <c r="G576" s="17"/>
      <c r="H576" s="16"/>
    </row>
    <row r="577" spans="4:8" ht="15.75" customHeight="1">
      <c r="D577" s="15"/>
      <c r="F577" s="16"/>
      <c r="G577" s="17"/>
      <c r="H577" s="16"/>
    </row>
    <row r="578" spans="4:8" ht="15.75" customHeight="1">
      <c r="D578" s="15"/>
      <c r="F578" s="16"/>
      <c r="G578" s="17"/>
      <c r="H578" s="16"/>
    </row>
    <row r="579" spans="4:8" ht="15.75" customHeight="1">
      <c r="D579" s="15"/>
      <c r="F579" s="16"/>
      <c r="G579" s="17"/>
      <c r="H579" s="16"/>
    </row>
    <row r="580" spans="4:8" ht="15.75" customHeight="1">
      <c r="D580" s="15"/>
      <c r="F580" s="16"/>
      <c r="G580" s="17"/>
      <c r="H580" s="16"/>
    </row>
    <row r="581" spans="4:8" ht="15.75" customHeight="1">
      <c r="D581" s="15"/>
      <c r="F581" s="16"/>
      <c r="G581" s="17"/>
      <c r="H581" s="16"/>
    </row>
    <row r="582" spans="4:8" ht="15.75" customHeight="1">
      <c r="D582" s="15"/>
      <c r="F582" s="16"/>
      <c r="G582" s="17"/>
      <c r="H582" s="16"/>
    </row>
    <row r="583" spans="4:8" ht="15.75" customHeight="1">
      <c r="D583" s="15"/>
      <c r="F583" s="16"/>
      <c r="G583" s="17"/>
      <c r="H583" s="16"/>
    </row>
    <row r="584" spans="4:8" ht="15.75" customHeight="1">
      <c r="D584" s="15"/>
      <c r="F584" s="16"/>
      <c r="G584" s="17"/>
      <c r="H584" s="16"/>
    </row>
    <row r="585" spans="4:8" ht="15.75" customHeight="1">
      <c r="D585" s="15"/>
      <c r="F585" s="16"/>
      <c r="G585" s="17"/>
      <c r="H585" s="16"/>
    </row>
    <row r="586" spans="4:8" ht="15.75" customHeight="1">
      <c r="D586" s="15"/>
      <c r="F586" s="16"/>
      <c r="G586" s="17"/>
      <c r="H586" s="16"/>
    </row>
    <row r="587" spans="4:8" ht="15.75" customHeight="1">
      <c r="D587" s="15"/>
      <c r="F587" s="16"/>
      <c r="G587" s="17"/>
      <c r="H587" s="16"/>
    </row>
    <row r="588" spans="4:8" ht="15.75" customHeight="1">
      <c r="D588" s="15"/>
      <c r="F588" s="16"/>
      <c r="G588" s="17"/>
      <c r="H588" s="16"/>
    </row>
    <row r="589" spans="4:8" ht="15.75" customHeight="1">
      <c r="D589" s="15"/>
      <c r="F589" s="16"/>
      <c r="G589" s="17"/>
      <c r="H589" s="16"/>
    </row>
    <row r="590" spans="4:8" ht="15.75" customHeight="1">
      <c r="D590" s="15"/>
      <c r="F590" s="16"/>
      <c r="G590" s="17"/>
      <c r="H590" s="16"/>
    </row>
    <row r="591" spans="4:8" ht="15.75" customHeight="1">
      <c r="D591" s="15"/>
      <c r="F591" s="16"/>
      <c r="G591" s="17"/>
      <c r="H591" s="16"/>
    </row>
    <row r="592" spans="4:8" ht="15.75" customHeight="1">
      <c r="D592" s="15"/>
      <c r="F592" s="16"/>
      <c r="G592" s="17"/>
      <c r="H592" s="16"/>
    </row>
    <row r="593" spans="4:8" ht="15.75" customHeight="1">
      <c r="D593" s="15"/>
      <c r="F593" s="16"/>
      <c r="G593" s="17"/>
      <c r="H593" s="16"/>
    </row>
    <row r="594" spans="4:8" ht="15.75" customHeight="1">
      <c r="D594" s="15"/>
      <c r="F594" s="16"/>
      <c r="G594" s="17"/>
      <c r="H594" s="16"/>
    </row>
    <row r="595" spans="4:8" ht="15.75" customHeight="1">
      <c r="D595" s="15"/>
      <c r="F595" s="16"/>
      <c r="G595" s="17"/>
      <c r="H595" s="16"/>
    </row>
    <row r="596" spans="4:8" ht="15.75" customHeight="1">
      <c r="D596" s="15"/>
      <c r="F596" s="16"/>
      <c r="G596" s="17"/>
      <c r="H596" s="16"/>
    </row>
    <row r="597" spans="4:8" ht="15.75" customHeight="1">
      <c r="D597" s="15"/>
      <c r="F597" s="16"/>
      <c r="G597" s="17"/>
      <c r="H597" s="16"/>
    </row>
    <row r="598" spans="4:8" ht="15.75" customHeight="1">
      <c r="D598" s="15"/>
      <c r="F598" s="16"/>
      <c r="G598" s="17"/>
      <c r="H598" s="16"/>
    </row>
    <row r="599" spans="4:8" ht="15.75" customHeight="1">
      <c r="D599" s="15"/>
      <c r="F599" s="16"/>
      <c r="G599" s="17"/>
      <c r="H599" s="16"/>
    </row>
    <row r="600" spans="4:8" ht="15.75" customHeight="1">
      <c r="D600" s="15"/>
      <c r="F600" s="16"/>
      <c r="G600" s="17"/>
      <c r="H600" s="16"/>
    </row>
    <row r="601" spans="4:8" ht="15.75" customHeight="1">
      <c r="D601" s="15"/>
      <c r="F601" s="16"/>
      <c r="G601" s="17"/>
      <c r="H601" s="16"/>
    </row>
    <row r="602" spans="4:8" ht="15.75" customHeight="1">
      <c r="D602" s="15"/>
      <c r="F602" s="16"/>
      <c r="G602" s="17"/>
      <c r="H602" s="16"/>
    </row>
    <row r="603" spans="4:8" ht="15.75" customHeight="1">
      <c r="D603" s="15"/>
      <c r="F603" s="16"/>
      <c r="G603" s="17"/>
      <c r="H603" s="16"/>
    </row>
    <row r="604" spans="4:8" ht="15.75" customHeight="1">
      <c r="D604" s="15"/>
      <c r="F604" s="16"/>
      <c r="G604" s="17"/>
      <c r="H604" s="16"/>
    </row>
    <row r="605" spans="4:8" ht="15.75" customHeight="1">
      <c r="D605" s="15"/>
      <c r="F605" s="16"/>
      <c r="G605" s="17"/>
      <c r="H605" s="16"/>
    </row>
    <row r="606" spans="4:8" ht="15.75" customHeight="1">
      <c r="D606" s="15"/>
      <c r="F606" s="16"/>
      <c r="G606" s="17"/>
      <c r="H606" s="16"/>
    </row>
    <row r="607" spans="4:8" ht="15.75" customHeight="1">
      <c r="D607" s="15"/>
      <c r="F607" s="16"/>
      <c r="G607" s="17"/>
      <c r="H607" s="16"/>
    </row>
    <row r="608" spans="4:8" ht="15.75" customHeight="1">
      <c r="D608" s="15"/>
      <c r="F608" s="16"/>
      <c r="G608" s="17"/>
      <c r="H608" s="16"/>
    </row>
    <row r="609" spans="4:8" ht="15.75" customHeight="1">
      <c r="D609" s="15"/>
      <c r="F609" s="16"/>
      <c r="G609" s="17"/>
      <c r="H609" s="16"/>
    </row>
    <row r="610" spans="4:8" ht="15.75" customHeight="1">
      <c r="D610" s="15"/>
      <c r="F610" s="16"/>
      <c r="G610" s="17"/>
      <c r="H610" s="16"/>
    </row>
    <row r="611" spans="4:8" ht="15.75" customHeight="1">
      <c r="D611" s="15"/>
      <c r="F611" s="16"/>
      <c r="G611" s="17"/>
      <c r="H611" s="16"/>
    </row>
    <row r="612" spans="4:8" ht="15.75" customHeight="1">
      <c r="D612" s="15"/>
      <c r="F612" s="16"/>
      <c r="G612" s="17"/>
      <c r="H612" s="16"/>
    </row>
    <row r="613" spans="4:8" ht="15.75" customHeight="1">
      <c r="D613" s="15"/>
      <c r="F613" s="16"/>
      <c r="G613" s="17"/>
      <c r="H613" s="16"/>
    </row>
    <row r="614" spans="4:8" ht="15.75" customHeight="1">
      <c r="D614" s="15"/>
      <c r="F614" s="16"/>
      <c r="G614" s="17"/>
      <c r="H614" s="16"/>
    </row>
    <row r="615" spans="4:8" ht="15.75" customHeight="1">
      <c r="D615" s="15"/>
      <c r="F615" s="16"/>
      <c r="G615" s="17"/>
      <c r="H615" s="16"/>
    </row>
    <row r="616" spans="4:8" ht="15.75" customHeight="1">
      <c r="D616" s="15"/>
      <c r="F616" s="16"/>
      <c r="G616" s="17"/>
      <c r="H616" s="16"/>
    </row>
    <row r="617" spans="4:8" ht="15.75" customHeight="1">
      <c r="D617" s="15"/>
      <c r="F617" s="16"/>
      <c r="G617" s="17"/>
      <c r="H617" s="16"/>
    </row>
    <row r="618" spans="4:8" ht="15.75" customHeight="1">
      <c r="D618" s="15"/>
      <c r="F618" s="16"/>
      <c r="G618" s="17"/>
      <c r="H618" s="16"/>
    </row>
    <row r="619" spans="4:8" ht="15.75" customHeight="1">
      <c r="D619" s="15"/>
      <c r="F619" s="16"/>
      <c r="G619" s="17"/>
      <c r="H619" s="16"/>
    </row>
    <row r="620" spans="4:8" ht="15.75" customHeight="1">
      <c r="D620" s="15"/>
      <c r="F620" s="16"/>
      <c r="G620" s="17"/>
      <c r="H620" s="16"/>
    </row>
    <row r="621" spans="4:8" ht="15.75" customHeight="1">
      <c r="D621" s="15"/>
      <c r="F621" s="16"/>
      <c r="G621" s="17"/>
      <c r="H621" s="16"/>
    </row>
    <row r="622" spans="4:8" ht="15.75" customHeight="1">
      <c r="D622" s="15"/>
      <c r="F622" s="16"/>
      <c r="G622" s="17"/>
      <c r="H622" s="16"/>
    </row>
    <row r="623" spans="4:8" ht="15.75" customHeight="1">
      <c r="D623" s="15"/>
      <c r="F623" s="16"/>
      <c r="G623" s="17"/>
      <c r="H623" s="16"/>
    </row>
    <row r="624" spans="4:8" ht="15.75" customHeight="1">
      <c r="D624" s="15"/>
      <c r="F624" s="16"/>
      <c r="G624" s="17"/>
      <c r="H624" s="16"/>
    </row>
    <row r="625" spans="4:8" ht="15.75" customHeight="1">
      <c r="D625" s="15"/>
      <c r="F625" s="16"/>
      <c r="G625" s="17"/>
      <c r="H625" s="16"/>
    </row>
    <row r="626" spans="4:8" ht="15.75" customHeight="1">
      <c r="D626" s="15"/>
      <c r="F626" s="16"/>
      <c r="G626" s="17"/>
      <c r="H626" s="16"/>
    </row>
    <row r="627" spans="4:8" ht="15.75" customHeight="1">
      <c r="D627" s="15"/>
      <c r="F627" s="16"/>
      <c r="G627" s="17"/>
      <c r="H627" s="16"/>
    </row>
    <row r="628" spans="4:8" ht="15.75" customHeight="1">
      <c r="D628" s="15"/>
      <c r="F628" s="16"/>
      <c r="G628" s="17"/>
      <c r="H628" s="16"/>
    </row>
    <row r="629" spans="4:8" ht="15.75" customHeight="1">
      <c r="D629" s="15"/>
      <c r="F629" s="16"/>
      <c r="G629" s="17"/>
      <c r="H629" s="16"/>
    </row>
    <row r="630" spans="4:8" ht="15.75" customHeight="1">
      <c r="D630" s="15"/>
      <c r="F630" s="16"/>
      <c r="G630" s="17"/>
      <c r="H630" s="16"/>
    </row>
    <row r="631" spans="4:8" ht="15.75" customHeight="1">
      <c r="D631" s="15"/>
      <c r="F631" s="16"/>
      <c r="G631" s="17"/>
      <c r="H631" s="16"/>
    </row>
    <row r="632" spans="4:8" ht="15.75" customHeight="1">
      <c r="D632" s="15"/>
      <c r="F632" s="16"/>
      <c r="G632" s="17"/>
      <c r="H632" s="16"/>
    </row>
    <row r="633" spans="4:8" ht="15.75" customHeight="1">
      <c r="D633" s="15"/>
      <c r="F633" s="16"/>
      <c r="G633" s="17"/>
      <c r="H633" s="16"/>
    </row>
    <row r="634" spans="4:8" ht="15.75" customHeight="1">
      <c r="D634" s="15"/>
      <c r="F634" s="16"/>
      <c r="G634" s="17"/>
      <c r="H634" s="16"/>
    </row>
    <row r="635" spans="4:8" ht="15.75" customHeight="1">
      <c r="D635" s="15"/>
      <c r="F635" s="16"/>
      <c r="G635" s="17"/>
      <c r="H635" s="16"/>
    </row>
    <row r="636" spans="4:8" ht="15.75" customHeight="1">
      <c r="D636" s="15"/>
      <c r="F636" s="16"/>
      <c r="G636" s="17"/>
      <c r="H636" s="16"/>
    </row>
    <row r="637" spans="4:8" ht="15.75" customHeight="1">
      <c r="D637" s="15"/>
      <c r="F637" s="16"/>
      <c r="G637" s="17"/>
      <c r="H637" s="16"/>
    </row>
    <row r="638" spans="4:8" ht="15.75" customHeight="1">
      <c r="D638" s="15"/>
      <c r="F638" s="16"/>
      <c r="G638" s="17"/>
      <c r="H638" s="16"/>
    </row>
    <row r="639" spans="4:8" ht="15.75" customHeight="1">
      <c r="D639" s="15"/>
      <c r="F639" s="16"/>
      <c r="G639" s="17"/>
      <c r="H639" s="16"/>
    </row>
    <row r="640" spans="4:8" ht="15.75" customHeight="1">
      <c r="D640" s="15"/>
      <c r="F640" s="16"/>
      <c r="G640" s="17"/>
      <c r="H640" s="16"/>
    </row>
    <row r="641" spans="4:8" ht="15.75" customHeight="1">
      <c r="D641" s="15"/>
      <c r="F641" s="16"/>
      <c r="G641" s="17"/>
      <c r="H641" s="16"/>
    </row>
    <row r="642" spans="4:8" ht="15.75" customHeight="1">
      <c r="D642" s="15"/>
      <c r="F642" s="16"/>
      <c r="G642" s="17"/>
      <c r="H642" s="16"/>
    </row>
    <row r="643" spans="4:8" ht="15.75" customHeight="1">
      <c r="D643" s="15"/>
      <c r="F643" s="16"/>
      <c r="G643" s="17"/>
      <c r="H643" s="16"/>
    </row>
    <row r="644" spans="4:8" ht="15.75" customHeight="1">
      <c r="D644" s="15"/>
      <c r="F644" s="16"/>
      <c r="G644" s="17"/>
      <c r="H644" s="16"/>
    </row>
    <row r="645" spans="4:8" ht="15.75" customHeight="1">
      <c r="D645" s="15"/>
      <c r="F645" s="16"/>
      <c r="G645" s="17"/>
      <c r="H645" s="16"/>
    </row>
    <row r="646" spans="4:8" ht="15.75" customHeight="1">
      <c r="D646" s="15"/>
      <c r="F646" s="16"/>
      <c r="G646" s="17"/>
      <c r="H646" s="16"/>
    </row>
    <row r="647" spans="4:8" ht="15.75" customHeight="1">
      <c r="D647" s="15"/>
      <c r="F647" s="16"/>
      <c r="G647" s="17"/>
      <c r="H647" s="16"/>
    </row>
    <row r="648" spans="4:8" ht="15.75" customHeight="1">
      <c r="D648" s="15"/>
      <c r="F648" s="16"/>
      <c r="G648" s="17"/>
      <c r="H648" s="16"/>
    </row>
    <row r="649" spans="4:8" ht="15.75" customHeight="1">
      <c r="D649" s="15"/>
      <c r="F649" s="16"/>
      <c r="G649" s="17"/>
      <c r="H649" s="16"/>
    </row>
    <row r="650" spans="4:8" ht="15.75" customHeight="1">
      <c r="D650" s="15"/>
      <c r="F650" s="16"/>
      <c r="G650" s="17"/>
      <c r="H650" s="16"/>
    </row>
    <row r="651" spans="4:8" ht="15.75" customHeight="1">
      <c r="D651" s="15"/>
      <c r="F651" s="16"/>
      <c r="G651" s="17"/>
      <c r="H651" s="16"/>
    </row>
    <row r="652" spans="4:8" ht="15.75" customHeight="1">
      <c r="D652" s="15"/>
      <c r="F652" s="16"/>
      <c r="G652" s="17"/>
      <c r="H652" s="16"/>
    </row>
    <row r="653" spans="4:8" ht="15.75" customHeight="1">
      <c r="D653" s="15"/>
      <c r="F653" s="16"/>
      <c r="G653" s="17"/>
      <c r="H653" s="16"/>
    </row>
    <row r="654" spans="4:8" ht="15.75" customHeight="1">
      <c r="D654" s="15"/>
      <c r="F654" s="16"/>
      <c r="G654" s="17"/>
      <c r="H654" s="16"/>
    </row>
    <row r="655" spans="4:8" ht="15.75" customHeight="1">
      <c r="D655" s="15"/>
      <c r="F655" s="16"/>
      <c r="G655" s="17"/>
      <c r="H655" s="16"/>
    </row>
    <row r="656" spans="4:8" ht="15.75" customHeight="1">
      <c r="D656" s="15"/>
      <c r="F656" s="16"/>
      <c r="G656" s="17"/>
      <c r="H656" s="16"/>
    </row>
    <row r="657" spans="4:8" ht="15.75" customHeight="1">
      <c r="D657" s="15"/>
      <c r="F657" s="16"/>
      <c r="G657" s="17"/>
      <c r="H657" s="16"/>
    </row>
    <row r="658" spans="4:8" ht="15.75" customHeight="1">
      <c r="D658" s="15"/>
      <c r="F658" s="16"/>
      <c r="G658" s="17"/>
      <c r="H658" s="16"/>
    </row>
    <row r="659" spans="4:8" ht="15.75" customHeight="1">
      <c r="D659" s="15"/>
      <c r="F659" s="16"/>
      <c r="G659" s="17"/>
      <c r="H659" s="16"/>
    </row>
    <row r="660" spans="4:8" ht="15.75" customHeight="1">
      <c r="D660" s="15"/>
      <c r="F660" s="16"/>
      <c r="G660" s="17"/>
      <c r="H660" s="16"/>
    </row>
    <row r="661" spans="4:8" ht="15.75" customHeight="1">
      <c r="D661" s="15"/>
      <c r="F661" s="16"/>
      <c r="G661" s="17"/>
      <c r="H661" s="16"/>
    </row>
    <row r="662" spans="4:8" ht="15.75" customHeight="1">
      <c r="D662" s="15"/>
      <c r="F662" s="16"/>
      <c r="G662" s="17"/>
      <c r="H662" s="16"/>
    </row>
    <row r="663" spans="4:8" ht="15.75" customHeight="1">
      <c r="D663" s="15"/>
      <c r="F663" s="16"/>
      <c r="G663" s="17"/>
      <c r="H663" s="16"/>
    </row>
    <row r="664" spans="4:8" ht="15.75" customHeight="1">
      <c r="D664" s="15"/>
      <c r="F664" s="16"/>
      <c r="G664" s="17"/>
      <c r="H664" s="16"/>
    </row>
    <row r="665" spans="4:8" ht="15.75" customHeight="1">
      <c r="D665" s="15"/>
      <c r="F665" s="16"/>
      <c r="G665" s="17"/>
      <c r="H665" s="16"/>
    </row>
    <row r="666" spans="4:8" ht="15.75" customHeight="1">
      <c r="D666" s="15"/>
      <c r="F666" s="16"/>
      <c r="G666" s="17"/>
      <c r="H666" s="16"/>
    </row>
    <row r="667" spans="4:8" ht="15.75" customHeight="1">
      <c r="D667" s="15"/>
      <c r="F667" s="16"/>
      <c r="G667" s="17"/>
      <c r="H667" s="16"/>
    </row>
    <row r="668" spans="4:8" ht="15.75" customHeight="1">
      <c r="D668" s="15"/>
      <c r="F668" s="16"/>
      <c r="G668" s="17"/>
      <c r="H668" s="16"/>
    </row>
    <row r="669" spans="4:8" ht="15.75" customHeight="1">
      <c r="D669" s="15"/>
      <c r="F669" s="16"/>
      <c r="G669" s="17"/>
      <c r="H669" s="16"/>
    </row>
    <row r="670" spans="4:8" ht="15.75" customHeight="1">
      <c r="D670" s="15"/>
      <c r="F670" s="16"/>
      <c r="G670" s="17"/>
      <c r="H670" s="16"/>
    </row>
    <row r="671" spans="4:8" ht="15.75" customHeight="1">
      <c r="D671" s="15"/>
      <c r="F671" s="16"/>
      <c r="G671" s="17"/>
      <c r="H671" s="16"/>
    </row>
    <row r="672" spans="4:8" ht="15.75" customHeight="1">
      <c r="D672" s="15"/>
      <c r="F672" s="16"/>
      <c r="G672" s="17"/>
      <c r="H672" s="16"/>
    </row>
    <row r="673" spans="4:8" ht="15.75" customHeight="1">
      <c r="D673" s="15"/>
      <c r="F673" s="16"/>
      <c r="G673" s="17"/>
      <c r="H673" s="16"/>
    </row>
    <row r="674" spans="4:8" ht="15.75" customHeight="1">
      <c r="D674" s="15"/>
      <c r="F674" s="16"/>
      <c r="G674" s="17"/>
      <c r="H674" s="16"/>
    </row>
    <row r="675" spans="4:8" ht="15.75" customHeight="1">
      <c r="D675" s="15"/>
      <c r="F675" s="16"/>
      <c r="G675" s="17"/>
      <c r="H675" s="16"/>
    </row>
    <row r="676" spans="4:8" ht="15.75" customHeight="1">
      <c r="D676" s="15"/>
      <c r="F676" s="16"/>
      <c r="G676" s="17"/>
      <c r="H676" s="16"/>
    </row>
    <row r="677" spans="4:8" ht="15.75" customHeight="1">
      <c r="D677" s="15"/>
      <c r="F677" s="16"/>
      <c r="G677" s="17"/>
      <c r="H677" s="16"/>
    </row>
    <row r="678" spans="4:8" ht="15.75" customHeight="1">
      <c r="D678" s="15"/>
      <c r="F678" s="16"/>
      <c r="G678" s="17"/>
      <c r="H678" s="16"/>
    </row>
    <row r="679" spans="4:8" ht="15.75" customHeight="1">
      <c r="D679" s="15"/>
      <c r="F679" s="16"/>
      <c r="G679" s="17"/>
      <c r="H679" s="16"/>
    </row>
    <row r="680" spans="4:8" ht="15.75" customHeight="1">
      <c r="D680" s="15"/>
      <c r="F680" s="16"/>
      <c r="G680" s="17"/>
      <c r="H680" s="16"/>
    </row>
    <row r="681" spans="4:8" ht="15.75" customHeight="1">
      <c r="D681" s="15"/>
      <c r="F681" s="16"/>
      <c r="G681" s="17"/>
      <c r="H681" s="16"/>
    </row>
    <row r="682" spans="4:8" ht="15.75" customHeight="1">
      <c r="D682" s="15"/>
      <c r="F682" s="16"/>
      <c r="G682" s="17"/>
      <c r="H682" s="16"/>
    </row>
    <row r="683" spans="4:8" ht="15.75" customHeight="1">
      <c r="D683" s="15"/>
      <c r="F683" s="16"/>
      <c r="G683" s="17"/>
      <c r="H683" s="16"/>
    </row>
    <row r="684" spans="4:8" ht="15.75" customHeight="1">
      <c r="D684" s="15"/>
      <c r="F684" s="16"/>
      <c r="G684" s="17"/>
      <c r="H684" s="16"/>
    </row>
    <row r="685" spans="4:8" ht="15.75" customHeight="1">
      <c r="D685" s="15"/>
      <c r="F685" s="16"/>
      <c r="G685" s="17"/>
      <c r="H685" s="16"/>
    </row>
    <row r="686" spans="4:8" ht="15.75" customHeight="1">
      <c r="D686" s="15"/>
      <c r="F686" s="16"/>
      <c r="G686" s="17"/>
      <c r="H686" s="16"/>
    </row>
    <row r="687" spans="4:8" ht="15.75" customHeight="1">
      <c r="D687" s="15"/>
      <c r="F687" s="16"/>
      <c r="G687" s="17"/>
      <c r="H687" s="16"/>
    </row>
    <row r="688" spans="4:8" ht="15.75" customHeight="1">
      <c r="D688" s="15"/>
      <c r="F688" s="16"/>
      <c r="G688" s="17"/>
      <c r="H688" s="16"/>
    </row>
    <row r="689" spans="4:8" ht="15.75" customHeight="1">
      <c r="D689" s="15"/>
      <c r="F689" s="16"/>
      <c r="G689" s="17"/>
      <c r="H689" s="16"/>
    </row>
    <row r="690" spans="4:8" ht="15.75" customHeight="1">
      <c r="D690" s="15"/>
      <c r="F690" s="16"/>
      <c r="G690" s="17"/>
      <c r="H690" s="16"/>
    </row>
    <row r="691" spans="4:8" ht="15.75" customHeight="1">
      <c r="D691" s="15"/>
      <c r="F691" s="16"/>
      <c r="G691" s="17"/>
      <c r="H691" s="16"/>
    </row>
    <row r="692" spans="4:8" ht="15.75" customHeight="1">
      <c r="D692" s="15"/>
      <c r="F692" s="16"/>
      <c r="G692" s="17"/>
      <c r="H692" s="16"/>
    </row>
    <row r="693" spans="4:8" ht="15.75" customHeight="1">
      <c r="D693" s="15"/>
      <c r="F693" s="16"/>
      <c r="G693" s="17"/>
      <c r="H693" s="16"/>
    </row>
    <row r="694" spans="4:8" ht="15.75" customHeight="1">
      <c r="D694" s="15"/>
      <c r="F694" s="16"/>
      <c r="G694" s="17"/>
      <c r="H694" s="16"/>
    </row>
    <row r="695" spans="4:8" ht="15.75" customHeight="1">
      <c r="D695" s="15"/>
      <c r="F695" s="16"/>
      <c r="G695" s="17"/>
      <c r="H695" s="16"/>
    </row>
    <row r="696" spans="4:8" ht="15.75" customHeight="1">
      <c r="D696" s="15"/>
      <c r="F696" s="16"/>
      <c r="G696" s="17"/>
      <c r="H696" s="16"/>
    </row>
    <row r="697" spans="4:8" ht="15.75" customHeight="1">
      <c r="D697" s="15"/>
      <c r="F697" s="16"/>
      <c r="G697" s="17"/>
      <c r="H697" s="16"/>
    </row>
    <row r="698" spans="4:8" ht="15.75" customHeight="1">
      <c r="D698" s="15"/>
      <c r="F698" s="16"/>
      <c r="G698" s="17"/>
      <c r="H698" s="16"/>
    </row>
    <row r="699" spans="4:8" ht="15.75" customHeight="1">
      <c r="D699" s="15"/>
      <c r="F699" s="16"/>
      <c r="G699" s="17"/>
      <c r="H699" s="16"/>
    </row>
    <row r="700" spans="4:8" ht="15.75" customHeight="1">
      <c r="D700" s="15"/>
      <c r="F700" s="16"/>
      <c r="G700" s="17"/>
      <c r="H700" s="16"/>
    </row>
    <row r="701" spans="4:8" ht="15.75" customHeight="1">
      <c r="D701" s="15"/>
      <c r="F701" s="16"/>
      <c r="G701" s="17"/>
      <c r="H701" s="16"/>
    </row>
    <row r="702" spans="4:8" ht="15.75" customHeight="1">
      <c r="D702" s="15"/>
      <c r="F702" s="16"/>
      <c r="G702" s="17"/>
      <c r="H702" s="16"/>
    </row>
    <row r="703" spans="4:8" ht="15.75" customHeight="1">
      <c r="D703" s="15"/>
      <c r="F703" s="16"/>
      <c r="G703" s="17"/>
      <c r="H703" s="16"/>
    </row>
    <row r="704" spans="4:8" ht="15.75" customHeight="1">
      <c r="D704" s="15"/>
      <c r="F704" s="16"/>
      <c r="G704" s="17"/>
      <c r="H704" s="16"/>
    </row>
    <row r="705" spans="4:8" ht="15.75" customHeight="1">
      <c r="D705" s="15"/>
      <c r="F705" s="16"/>
      <c r="G705" s="17"/>
      <c r="H705" s="16"/>
    </row>
    <row r="706" spans="4:8" ht="15.75" customHeight="1">
      <c r="D706" s="15"/>
      <c r="F706" s="16"/>
      <c r="G706" s="17"/>
      <c r="H706" s="16"/>
    </row>
    <row r="707" spans="4:8" ht="15.75" customHeight="1">
      <c r="D707" s="15"/>
      <c r="F707" s="16"/>
      <c r="G707" s="17"/>
      <c r="H707" s="16"/>
    </row>
    <row r="708" spans="4:8" ht="15.75" customHeight="1">
      <c r="D708" s="15"/>
      <c r="F708" s="16"/>
      <c r="G708" s="17"/>
      <c r="H708" s="16"/>
    </row>
    <row r="709" spans="4:8" ht="15.75" customHeight="1">
      <c r="D709" s="15"/>
      <c r="F709" s="16"/>
      <c r="G709" s="17"/>
      <c r="H709" s="16"/>
    </row>
    <row r="710" spans="4:8" ht="15.75" customHeight="1">
      <c r="D710" s="15"/>
      <c r="F710" s="16"/>
      <c r="G710" s="17"/>
      <c r="H710" s="16"/>
    </row>
    <row r="711" spans="4:8" ht="15.75" customHeight="1">
      <c r="D711" s="15"/>
      <c r="F711" s="16"/>
      <c r="G711" s="17"/>
      <c r="H711" s="16"/>
    </row>
    <row r="712" spans="4:8" ht="15.75" customHeight="1">
      <c r="D712" s="15"/>
      <c r="F712" s="16"/>
      <c r="G712" s="17"/>
      <c r="H712" s="16"/>
    </row>
    <row r="713" spans="4:8" ht="15.75" customHeight="1">
      <c r="D713" s="15"/>
      <c r="F713" s="16"/>
      <c r="G713" s="17"/>
      <c r="H713" s="16"/>
    </row>
    <row r="714" spans="4:8" ht="15.75" customHeight="1">
      <c r="D714" s="15"/>
      <c r="F714" s="16"/>
      <c r="G714" s="17"/>
      <c r="H714" s="16"/>
    </row>
    <row r="715" spans="4:8" ht="15.75" customHeight="1">
      <c r="D715" s="15"/>
      <c r="F715" s="16"/>
      <c r="G715" s="17"/>
      <c r="H715" s="16"/>
    </row>
    <row r="716" spans="4:8" ht="15.75" customHeight="1">
      <c r="D716" s="15"/>
      <c r="F716" s="16"/>
      <c r="G716" s="17"/>
      <c r="H716" s="16"/>
    </row>
    <row r="717" spans="4:8" ht="15.75" customHeight="1">
      <c r="D717" s="15"/>
      <c r="F717" s="16"/>
      <c r="G717" s="17"/>
      <c r="H717" s="16"/>
    </row>
    <row r="718" spans="4:8" ht="15.75" customHeight="1">
      <c r="D718" s="15"/>
      <c r="F718" s="16"/>
      <c r="G718" s="17"/>
      <c r="H718" s="16"/>
    </row>
    <row r="719" spans="4:8" ht="15.75" customHeight="1">
      <c r="D719" s="15"/>
      <c r="F719" s="16"/>
      <c r="G719" s="17"/>
      <c r="H719" s="16"/>
    </row>
    <row r="720" spans="4:8" ht="15.75" customHeight="1">
      <c r="D720" s="15"/>
      <c r="F720" s="16"/>
      <c r="G720" s="17"/>
      <c r="H720" s="16"/>
    </row>
    <row r="721" spans="4:8" ht="15.75" customHeight="1">
      <c r="D721" s="15"/>
      <c r="F721" s="16"/>
      <c r="G721" s="17"/>
      <c r="H721" s="16"/>
    </row>
    <row r="722" spans="4:8" ht="15.75" customHeight="1">
      <c r="D722" s="15"/>
      <c r="F722" s="16"/>
      <c r="G722" s="17"/>
      <c r="H722" s="16"/>
    </row>
    <row r="723" spans="4:8" ht="15.75" customHeight="1">
      <c r="D723" s="15"/>
      <c r="F723" s="16"/>
      <c r="G723" s="17"/>
      <c r="H723" s="16"/>
    </row>
    <row r="724" spans="4:8" ht="15.75" customHeight="1">
      <c r="D724" s="15"/>
      <c r="F724" s="16"/>
      <c r="G724" s="17"/>
      <c r="H724" s="16"/>
    </row>
    <row r="725" spans="4:8" ht="15.75" customHeight="1">
      <c r="D725" s="15"/>
      <c r="F725" s="16"/>
      <c r="G725" s="17"/>
      <c r="H725" s="16"/>
    </row>
    <row r="726" spans="4:8" ht="15.75" customHeight="1">
      <c r="D726" s="15"/>
      <c r="F726" s="16"/>
      <c r="G726" s="17"/>
      <c r="H726" s="16"/>
    </row>
    <row r="727" spans="4:8" ht="15.75" customHeight="1">
      <c r="D727" s="15"/>
      <c r="F727" s="16"/>
      <c r="G727" s="17"/>
      <c r="H727" s="16"/>
    </row>
    <row r="728" spans="4:8" ht="15.75" customHeight="1">
      <c r="D728" s="15"/>
      <c r="F728" s="16"/>
      <c r="G728" s="17"/>
      <c r="H728" s="16"/>
    </row>
    <row r="729" spans="4:8" ht="15.75" customHeight="1">
      <c r="D729" s="15"/>
      <c r="F729" s="16"/>
      <c r="G729" s="17"/>
      <c r="H729" s="16"/>
    </row>
    <row r="730" spans="4:8" ht="15.75" customHeight="1">
      <c r="D730" s="15"/>
      <c r="F730" s="16"/>
      <c r="G730" s="17"/>
      <c r="H730" s="16"/>
    </row>
    <row r="731" spans="4:8" ht="15.75" customHeight="1">
      <c r="D731" s="15"/>
      <c r="F731" s="16"/>
      <c r="G731" s="17"/>
      <c r="H731" s="16"/>
    </row>
    <row r="732" spans="4:8" ht="15.75" customHeight="1">
      <c r="D732" s="15"/>
      <c r="F732" s="16"/>
      <c r="G732" s="17"/>
      <c r="H732" s="16"/>
    </row>
    <row r="733" spans="4:8" ht="15.75" customHeight="1">
      <c r="D733" s="15"/>
      <c r="F733" s="16"/>
      <c r="G733" s="17"/>
      <c r="H733" s="16"/>
    </row>
    <row r="734" spans="4:8" ht="15.75" customHeight="1">
      <c r="D734" s="15"/>
      <c r="F734" s="16"/>
      <c r="G734" s="17"/>
      <c r="H734" s="16"/>
    </row>
    <row r="735" spans="4:8" ht="15.75" customHeight="1">
      <c r="D735" s="15"/>
      <c r="F735" s="16"/>
      <c r="G735" s="17"/>
      <c r="H735" s="16"/>
    </row>
    <row r="736" spans="4:8" ht="15.75" customHeight="1">
      <c r="D736" s="15"/>
      <c r="F736" s="16"/>
      <c r="G736" s="17"/>
      <c r="H736" s="16"/>
    </row>
    <row r="737" spans="4:8" ht="15.75" customHeight="1">
      <c r="D737" s="15"/>
      <c r="F737" s="16"/>
      <c r="G737" s="17"/>
      <c r="H737" s="16"/>
    </row>
    <row r="738" spans="4:8" ht="15.75" customHeight="1">
      <c r="D738" s="15"/>
      <c r="F738" s="16"/>
      <c r="G738" s="17"/>
      <c r="H738" s="16"/>
    </row>
    <row r="739" spans="4:8" ht="15.75" customHeight="1">
      <c r="D739" s="15"/>
      <c r="F739" s="16"/>
      <c r="G739" s="17"/>
      <c r="H739" s="16"/>
    </row>
    <row r="740" spans="4:8" ht="15.75" customHeight="1">
      <c r="D740" s="15"/>
      <c r="F740" s="16"/>
      <c r="G740" s="17"/>
      <c r="H740" s="16"/>
    </row>
    <row r="741" spans="4:8" ht="15.75" customHeight="1">
      <c r="D741" s="15"/>
      <c r="F741" s="16"/>
      <c r="G741" s="17"/>
      <c r="H741" s="16"/>
    </row>
    <row r="742" spans="4:8" ht="15.75" customHeight="1">
      <c r="D742" s="15"/>
      <c r="F742" s="16"/>
      <c r="G742" s="17"/>
      <c r="H742" s="16"/>
    </row>
    <row r="743" spans="4:8" ht="15.75" customHeight="1">
      <c r="D743" s="15"/>
      <c r="F743" s="16"/>
      <c r="G743" s="17"/>
      <c r="H743" s="16"/>
    </row>
    <row r="744" spans="4:8" ht="15.75" customHeight="1">
      <c r="D744" s="15"/>
      <c r="F744" s="16"/>
      <c r="G744" s="17"/>
      <c r="H744" s="16"/>
    </row>
    <row r="745" spans="4:8" ht="15.75" customHeight="1">
      <c r="D745" s="15"/>
      <c r="F745" s="16"/>
      <c r="G745" s="17"/>
      <c r="H745" s="16"/>
    </row>
    <row r="746" spans="4:8" ht="15.75" customHeight="1">
      <c r="D746" s="15"/>
      <c r="F746" s="16"/>
      <c r="G746" s="17"/>
      <c r="H746" s="16"/>
    </row>
    <row r="747" spans="4:8" ht="15.75" customHeight="1">
      <c r="D747" s="15"/>
      <c r="F747" s="16"/>
      <c r="G747" s="17"/>
      <c r="H747" s="16"/>
    </row>
    <row r="748" spans="4:8" ht="15.75" customHeight="1">
      <c r="D748" s="15"/>
      <c r="F748" s="16"/>
      <c r="G748" s="17"/>
      <c r="H748" s="16"/>
    </row>
    <row r="749" spans="4:8" ht="15.75" customHeight="1">
      <c r="D749" s="15"/>
      <c r="F749" s="16"/>
      <c r="G749" s="17"/>
      <c r="H749" s="16"/>
    </row>
    <row r="750" spans="4:8" ht="15.75" customHeight="1">
      <c r="D750" s="15"/>
      <c r="F750" s="16"/>
      <c r="G750" s="17"/>
      <c r="H750" s="16"/>
    </row>
    <row r="751" spans="4:8" ht="15.75" customHeight="1">
      <c r="D751" s="15"/>
      <c r="F751" s="16"/>
      <c r="G751" s="17"/>
      <c r="H751" s="16"/>
    </row>
    <row r="752" spans="4:8" ht="15.75" customHeight="1">
      <c r="D752" s="15"/>
      <c r="F752" s="16"/>
      <c r="G752" s="17"/>
      <c r="H752" s="16"/>
    </row>
    <row r="753" spans="4:8" ht="15.75" customHeight="1">
      <c r="D753" s="15"/>
      <c r="F753" s="16"/>
      <c r="G753" s="17"/>
      <c r="H753" s="16"/>
    </row>
    <row r="754" spans="4:8" ht="15.75" customHeight="1">
      <c r="D754" s="15"/>
      <c r="F754" s="16"/>
      <c r="G754" s="17"/>
      <c r="H754" s="16"/>
    </row>
    <row r="755" spans="4:8" ht="15.75" customHeight="1">
      <c r="D755" s="15"/>
      <c r="F755" s="16"/>
      <c r="G755" s="17"/>
      <c r="H755" s="16"/>
    </row>
    <row r="756" spans="4:8" ht="15.75" customHeight="1">
      <c r="D756" s="15"/>
      <c r="F756" s="16"/>
      <c r="G756" s="17"/>
      <c r="H756" s="16"/>
    </row>
    <row r="757" spans="4:8" ht="15.75" customHeight="1">
      <c r="D757" s="15"/>
      <c r="F757" s="16"/>
      <c r="G757" s="17"/>
      <c r="H757" s="16"/>
    </row>
    <row r="758" spans="4:8" ht="15.75" customHeight="1">
      <c r="D758" s="15"/>
      <c r="F758" s="16"/>
      <c r="G758" s="17"/>
      <c r="H758" s="16"/>
    </row>
    <row r="759" spans="4:8" ht="15.75" customHeight="1">
      <c r="D759" s="15"/>
      <c r="F759" s="16"/>
      <c r="G759" s="17"/>
      <c r="H759" s="16"/>
    </row>
    <row r="760" spans="4:8" ht="15.75" customHeight="1">
      <c r="D760" s="15"/>
      <c r="F760" s="16"/>
      <c r="G760" s="17"/>
      <c r="H760" s="16"/>
    </row>
    <row r="761" spans="4:8" ht="15.75" customHeight="1">
      <c r="D761" s="15"/>
      <c r="F761" s="16"/>
      <c r="G761" s="17"/>
      <c r="H761" s="16"/>
    </row>
    <row r="762" spans="4:8" ht="15.75" customHeight="1">
      <c r="D762" s="15"/>
      <c r="F762" s="16"/>
      <c r="G762" s="17"/>
      <c r="H762" s="16"/>
    </row>
    <row r="763" spans="4:8" ht="15.75" customHeight="1">
      <c r="D763" s="15"/>
      <c r="F763" s="16"/>
      <c r="G763" s="17"/>
      <c r="H763" s="16"/>
    </row>
    <row r="764" spans="4:8" ht="15.75" customHeight="1">
      <c r="D764" s="15"/>
      <c r="F764" s="16"/>
      <c r="G764" s="17"/>
      <c r="H764" s="16"/>
    </row>
    <row r="765" spans="4:8" ht="15.75" customHeight="1">
      <c r="D765" s="15"/>
      <c r="F765" s="16"/>
      <c r="G765" s="17"/>
      <c r="H765" s="16"/>
    </row>
    <row r="766" spans="4:8" ht="15.75" customHeight="1">
      <c r="D766" s="15"/>
      <c r="F766" s="16"/>
      <c r="G766" s="17"/>
      <c r="H766" s="16"/>
    </row>
    <row r="767" spans="4:8" ht="15.75" customHeight="1">
      <c r="D767" s="15"/>
      <c r="F767" s="16"/>
      <c r="G767" s="17"/>
      <c r="H767" s="16"/>
    </row>
    <row r="768" spans="4:8" ht="15.75" customHeight="1">
      <c r="D768" s="15"/>
      <c r="F768" s="16"/>
      <c r="G768" s="17"/>
      <c r="H768" s="16"/>
    </row>
    <row r="769" spans="4:8" ht="15.75" customHeight="1">
      <c r="D769" s="15"/>
      <c r="F769" s="16"/>
      <c r="G769" s="17"/>
      <c r="H769" s="16"/>
    </row>
    <row r="770" spans="4:8" ht="15.75" customHeight="1">
      <c r="D770" s="15"/>
      <c r="F770" s="16"/>
      <c r="G770" s="17"/>
      <c r="H770" s="16"/>
    </row>
    <row r="771" spans="4:8" ht="15.75" customHeight="1">
      <c r="D771" s="15"/>
      <c r="F771" s="16"/>
      <c r="G771" s="17"/>
      <c r="H771" s="16"/>
    </row>
    <row r="772" spans="4:8" ht="15.75" customHeight="1">
      <c r="D772" s="15"/>
      <c r="F772" s="16"/>
      <c r="G772" s="17"/>
      <c r="H772" s="16"/>
    </row>
    <row r="773" spans="4:8" ht="15.75" customHeight="1">
      <c r="D773" s="15"/>
      <c r="F773" s="16"/>
      <c r="G773" s="17"/>
      <c r="H773" s="16"/>
    </row>
    <row r="774" spans="4:8" ht="15.75" customHeight="1">
      <c r="D774" s="15"/>
      <c r="F774" s="16"/>
      <c r="G774" s="17"/>
      <c r="H774" s="16"/>
    </row>
    <row r="775" spans="4:8" ht="15.75" customHeight="1">
      <c r="D775" s="15"/>
      <c r="F775" s="16"/>
      <c r="G775" s="17"/>
      <c r="H775" s="16"/>
    </row>
    <row r="776" spans="4:8" ht="15.75" customHeight="1">
      <c r="D776" s="15"/>
      <c r="F776" s="16"/>
      <c r="G776" s="17"/>
      <c r="H776" s="16"/>
    </row>
    <row r="777" spans="4:8" ht="15.75" customHeight="1">
      <c r="D777" s="15"/>
      <c r="F777" s="16"/>
      <c r="G777" s="17"/>
      <c r="H777" s="16"/>
    </row>
    <row r="778" spans="4:8" ht="15.75" customHeight="1">
      <c r="D778" s="15"/>
      <c r="F778" s="16"/>
      <c r="G778" s="17"/>
      <c r="H778" s="16"/>
    </row>
    <row r="779" spans="4:8" ht="15.75" customHeight="1">
      <c r="D779" s="15"/>
      <c r="F779" s="16"/>
      <c r="G779" s="17"/>
      <c r="H779" s="16"/>
    </row>
    <row r="780" spans="4:8" ht="15.75" customHeight="1">
      <c r="D780" s="15"/>
      <c r="F780" s="16"/>
      <c r="G780" s="17"/>
      <c r="H780" s="16"/>
    </row>
    <row r="781" spans="4:8" ht="15.75" customHeight="1">
      <c r="D781" s="15"/>
      <c r="F781" s="16"/>
      <c r="G781" s="17"/>
      <c r="H781" s="16"/>
    </row>
    <row r="782" spans="4:8" ht="15.75" customHeight="1">
      <c r="D782" s="15"/>
      <c r="F782" s="16"/>
      <c r="G782" s="17"/>
      <c r="H782" s="16"/>
    </row>
    <row r="783" spans="4:8" ht="15.75" customHeight="1">
      <c r="D783" s="15"/>
      <c r="F783" s="16"/>
      <c r="G783" s="17"/>
      <c r="H783" s="16"/>
    </row>
    <row r="784" spans="4:8" ht="15.75" customHeight="1">
      <c r="D784" s="15"/>
      <c r="F784" s="16"/>
      <c r="G784" s="17"/>
      <c r="H784" s="16"/>
    </row>
    <row r="785" spans="4:8" ht="15.75" customHeight="1">
      <c r="D785" s="15"/>
      <c r="F785" s="16"/>
      <c r="G785" s="17"/>
      <c r="H785" s="16"/>
    </row>
    <row r="786" spans="4:8" ht="15.75" customHeight="1">
      <c r="D786" s="15"/>
      <c r="F786" s="16"/>
      <c r="G786" s="17"/>
      <c r="H786" s="16"/>
    </row>
    <row r="787" spans="4:8" ht="15.75" customHeight="1">
      <c r="D787" s="15"/>
      <c r="F787" s="16"/>
      <c r="G787" s="17"/>
      <c r="H787" s="16"/>
    </row>
    <row r="788" spans="4:8" ht="15.75" customHeight="1">
      <c r="D788" s="15"/>
      <c r="F788" s="16"/>
      <c r="G788" s="17"/>
      <c r="H788" s="16"/>
    </row>
    <row r="789" spans="4:8" ht="15.75" customHeight="1">
      <c r="D789" s="15"/>
      <c r="F789" s="16"/>
      <c r="G789" s="17"/>
      <c r="H789" s="16"/>
    </row>
    <row r="790" spans="4:8" ht="15.75" customHeight="1">
      <c r="D790" s="15"/>
      <c r="F790" s="16"/>
      <c r="G790" s="17"/>
      <c r="H790" s="16"/>
    </row>
    <row r="791" spans="4:8" ht="15.75" customHeight="1">
      <c r="D791" s="15"/>
      <c r="F791" s="16"/>
      <c r="G791" s="17"/>
      <c r="H791" s="16"/>
    </row>
    <row r="792" spans="4:8" ht="15.75" customHeight="1">
      <c r="D792" s="15"/>
      <c r="F792" s="16"/>
      <c r="G792" s="17"/>
      <c r="H792" s="16"/>
    </row>
    <row r="793" spans="4:8" ht="15.75" customHeight="1">
      <c r="D793" s="15"/>
      <c r="F793" s="16"/>
      <c r="G793" s="17"/>
      <c r="H793" s="16"/>
    </row>
    <row r="794" spans="4:8" ht="15.75" customHeight="1">
      <c r="D794" s="15"/>
      <c r="F794" s="16"/>
      <c r="G794" s="17"/>
      <c r="H794" s="16"/>
    </row>
    <row r="795" spans="4:8" ht="15.75" customHeight="1">
      <c r="D795" s="15"/>
      <c r="F795" s="16"/>
      <c r="G795" s="17"/>
      <c r="H795" s="16"/>
    </row>
    <row r="796" spans="4:8" ht="15.75" customHeight="1">
      <c r="D796" s="15"/>
      <c r="F796" s="16"/>
      <c r="G796" s="17"/>
      <c r="H796" s="16"/>
    </row>
    <row r="797" spans="4:8" ht="15.75" customHeight="1">
      <c r="D797" s="15"/>
      <c r="F797" s="16"/>
      <c r="G797" s="17"/>
      <c r="H797" s="16"/>
    </row>
    <row r="798" spans="4:8" ht="15.75" customHeight="1">
      <c r="D798" s="15"/>
      <c r="F798" s="16"/>
      <c r="G798" s="17"/>
      <c r="H798" s="16"/>
    </row>
    <row r="799" spans="4:8" ht="15.75" customHeight="1">
      <c r="D799" s="15"/>
      <c r="F799" s="16"/>
      <c r="G799" s="17"/>
      <c r="H799" s="16"/>
    </row>
    <row r="800" spans="4:8" ht="15.75" customHeight="1">
      <c r="D800" s="15"/>
      <c r="F800" s="16"/>
      <c r="G800" s="17"/>
      <c r="H800" s="16"/>
    </row>
    <row r="801" spans="4:8" ht="15.75" customHeight="1">
      <c r="D801" s="15"/>
      <c r="F801" s="16"/>
      <c r="G801" s="17"/>
      <c r="H801" s="16"/>
    </row>
    <row r="802" spans="4:8" ht="15.75" customHeight="1">
      <c r="D802" s="15"/>
      <c r="F802" s="16"/>
      <c r="G802" s="17"/>
      <c r="H802" s="16"/>
    </row>
    <row r="803" spans="4:8" ht="15.75" customHeight="1">
      <c r="D803" s="15"/>
      <c r="F803" s="16"/>
      <c r="G803" s="17"/>
      <c r="H803" s="16"/>
    </row>
    <row r="804" spans="4:8" ht="15.75" customHeight="1">
      <c r="D804" s="15"/>
      <c r="F804" s="16"/>
      <c r="G804" s="17"/>
      <c r="H804" s="16"/>
    </row>
    <row r="805" spans="4:8" ht="15.75" customHeight="1">
      <c r="D805" s="15"/>
      <c r="F805" s="16"/>
      <c r="G805" s="17"/>
      <c r="H805" s="16"/>
    </row>
    <row r="806" spans="4:8" ht="15.75" customHeight="1">
      <c r="D806" s="15"/>
      <c r="F806" s="16"/>
      <c r="G806" s="17"/>
      <c r="H806" s="16"/>
    </row>
    <row r="807" spans="4:8" ht="15.75" customHeight="1">
      <c r="D807" s="15"/>
      <c r="F807" s="16"/>
      <c r="G807" s="17"/>
      <c r="H807" s="16"/>
    </row>
    <row r="808" spans="4:8" ht="15.75" customHeight="1">
      <c r="D808" s="15"/>
      <c r="F808" s="16"/>
      <c r="G808" s="17"/>
      <c r="H808" s="16"/>
    </row>
    <row r="809" spans="4:8" ht="15.75" customHeight="1">
      <c r="D809" s="15"/>
      <c r="F809" s="16"/>
      <c r="G809" s="17"/>
      <c r="H809" s="16"/>
    </row>
    <row r="810" spans="4:8" ht="15.75" customHeight="1">
      <c r="D810" s="15"/>
      <c r="F810" s="16"/>
      <c r="G810" s="17"/>
      <c r="H810" s="16"/>
    </row>
    <row r="811" spans="4:8" ht="15.75" customHeight="1">
      <c r="D811" s="15"/>
      <c r="F811" s="16"/>
      <c r="G811" s="17"/>
      <c r="H811" s="16"/>
    </row>
    <row r="812" spans="4:8" ht="15.75" customHeight="1">
      <c r="D812" s="15"/>
      <c r="F812" s="16"/>
      <c r="G812" s="17"/>
      <c r="H812" s="16"/>
    </row>
    <row r="813" spans="4:8" ht="15.75" customHeight="1">
      <c r="D813" s="15"/>
      <c r="F813" s="16"/>
      <c r="G813" s="17"/>
      <c r="H813" s="16"/>
    </row>
    <row r="814" spans="4:8" ht="15.75" customHeight="1">
      <c r="D814" s="15"/>
      <c r="F814" s="16"/>
      <c r="G814" s="17"/>
      <c r="H814" s="16"/>
    </row>
    <row r="815" spans="4:8" ht="15.75" customHeight="1">
      <c r="D815" s="15"/>
      <c r="F815" s="16"/>
      <c r="G815" s="17"/>
      <c r="H815" s="16"/>
    </row>
    <row r="816" spans="4:8" ht="15.75" customHeight="1">
      <c r="D816" s="15"/>
      <c r="F816" s="16"/>
      <c r="G816" s="17"/>
      <c r="H816" s="16"/>
    </row>
    <row r="817" spans="4:8" ht="15.75" customHeight="1">
      <c r="D817" s="15"/>
      <c r="F817" s="16"/>
      <c r="G817" s="17"/>
      <c r="H817" s="16"/>
    </row>
    <row r="818" spans="4:8" ht="15.75" customHeight="1">
      <c r="D818" s="15"/>
      <c r="F818" s="16"/>
      <c r="G818" s="17"/>
      <c r="H818" s="16"/>
    </row>
    <row r="819" spans="4:8" ht="15.75" customHeight="1">
      <c r="D819" s="15"/>
      <c r="F819" s="16"/>
      <c r="G819" s="17"/>
      <c r="H819" s="16"/>
    </row>
    <row r="820" spans="4:8" ht="15.75" customHeight="1">
      <c r="D820" s="15"/>
      <c r="F820" s="16"/>
      <c r="G820" s="17"/>
      <c r="H820" s="16"/>
    </row>
    <row r="821" spans="4:8" ht="15.75" customHeight="1">
      <c r="D821" s="15"/>
      <c r="F821" s="16"/>
      <c r="G821" s="17"/>
      <c r="H821" s="16"/>
    </row>
    <row r="822" spans="4:8" ht="15.75" customHeight="1">
      <c r="D822" s="15"/>
      <c r="F822" s="16"/>
      <c r="G822" s="17"/>
      <c r="H822" s="16"/>
    </row>
    <row r="823" spans="4:8" ht="15.75" customHeight="1">
      <c r="D823" s="15"/>
      <c r="F823" s="16"/>
      <c r="G823" s="17"/>
      <c r="H823" s="16"/>
    </row>
    <row r="824" spans="4:8" ht="15.75" customHeight="1">
      <c r="D824" s="15"/>
      <c r="F824" s="16"/>
      <c r="G824" s="17"/>
      <c r="H824" s="16"/>
    </row>
    <row r="825" spans="4:8" ht="15.75" customHeight="1">
      <c r="D825" s="15"/>
      <c r="F825" s="16"/>
      <c r="G825" s="17"/>
      <c r="H825" s="16"/>
    </row>
    <row r="826" spans="4:8" ht="15.75" customHeight="1">
      <c r="D826" s="15"/>
      <c r="F826" s="16"/>
      <c r="G826" s="17"/>
      <c r="H826" s="16"/>
    </row>
    <row r="827" spans="4:8" ht="15.75" customHeight="1">
      <c r="D827" s="15"/>
      <c r="F827" s="16"/>
      <c r="G827" s="17"/>
      <c r="H827" s="16"/>
    </row>
    <row r="828" spans="4:8" ht="15.75" customHeight="1">
      <c r="D828" s="15"/>
      <c r="F828" s="16"/>
      <c r="G828" s="17"/>
      <c r="H828" s="16"/>
    </row>
    <row r="829" spans="4:8" ht="15.75" customHeight="1">
      <c r="D829" s="15"/>
      <c r="F829" s="16"/>
      <c r="G829" s="17"/>
      <c r="H829" s="16"/>
    </row>
    <row r="830" spans="4:8" ht="15.75" customHeight="1">
      <c r="D830" s="15"/>
      <c r="F830" s="16"/>
      <c r="G830" s="17"/>
      <c r="H830" s="16"/>
    </row>
    <row r="831" spans="4:8" ht="15.75" customHeight="1">
      <c r="D831" s="15"/>
      <c r="F831" s="16"/>
      <c r="G831" s="17"/>
      <c r="H831" s="16"/>
    </row>
    <row r="832" spans="4:8" ht="15.75" customHeight="1">
      <c r="D832" s="15"/>
      <c r="F832" s="16"/>
      <c r="G832" s="17"/>
      <c r="H832" s="16"/>
    </row>
    <row r="833" spans="4:8" ht="15.75" customHeight="1">
      <c r="D833" s="15"/>
      <c r="F833" s="16"/>
      <c r="G833" s="17"/>
      <c r="H833" s="16"/>
    </row>
    <row r="834" spans="4:8" ht="15.75" customHeight="1">
      <c r="D834" s="15"/>
      <c r="F834" s="16"/>
      <c r="G834" s="17"/>
      <c r="H834" s="16"/>
    </row>
    <row r="835" spans="4:8" ht="15.75" customHeight="1">
      <c r="D835" s="15"/>
      <c r="F835" s="16"/>
      <c r="G835" s="17"/>
      <c r="H835" s="16"/>
    </row>
    <row r="836" spans="4:8" ht="15.75" customHeight="1">
      <c r="D836" s="15"/>
      <c r="F836" s="16"/>
      <c r="G836" s="17"/>
      <c r="H836" s="16"/>
    </row>
    <row r="837" spans="4:8" ht="15.75" customHeight="1">
      <c r="D837" s="15"/>
      <c r="F837" s="16"/>
      <c r="G837" s="17"/>
      <c r="H837" s="16"/>
    </row>
    <row r="838" spans="4:8" ht="15.75" customHeight="1">
      <c r="D838" s="15"/>
      <c r="F838" s="16"/>
      <c r="G838" s="17"/>
      <c r="H838" s="16"/>
    </row>
    <row r="839" spans="4:8" ht="15.75" customHeight="1">
      <c r="D839" s="15"/>
      <c r="F839" s="16"/>
      <c r="G839" s="17"/>
      <c r="H839" s="16"/>
    </row>
    <row r="840" spans="4:8" ht="15.75" customHeight="1">
      <c r="D840" s="15"/>
      <c r="F840" s="16"/>
      <c r="G840" s="17"/>
      <c r="H840" s="16"/>
    </row>
    <row r="841" spans="4:8" ht="15.75" customHeight="1">
      <c r="D841" s="15"/>
      <c r="F841" s="16"/>
      <c r="G841" s="17"/>
      <c r="H841" s="16"/>
    </row>
    <row r="842" spans="4:8" ht="15.75" customHeight="1">
      <c r="D842" s="15"/>
      <c r="F842" s="16"/>
      <c r="G842" s="17"/>
      <c r="H842" s="16"/>
    </row>
    <row r="843" spans="4:8" ht="15.75" customHeight="1">
      <c r="D843" s="15"/>
      <c r="F843" s="16"/>
      <c r="G843" s="17"/>
      <c r="H843" s="16"/>
    </row>
    <row r="844" spans="4:8" ht="15.75" customHeight="1">
      <c r="D844" s="15"/>
      <c r="F844" s="16"/>
      <c r="G844" s="17"/>
      <c r="H844" s="16"/>
    </row>
    <row r="845" spans="4:8" ht="15.75" customHeight="1">
      <c r="D845" s="15"/>
      <c r="F845" s="16"/>
      <c r="G845" s="17"/>
      <c r="H845" s="16"/>
    </row>
    <row r="846" spans="4:8" ht="15.75" customHeight="1">
      <c r="D846" s="15"/>
      <c r="F846" s="16"/>
      <c r="G846" s="17"/>
      <c r="H846" s="16"/>
    </row>
    <row r="847" spans="4:8" ht="15.75" customHeight="1">
      <c r="D847" s="15"/>
      <c r="F847" s="16"/>
      <c r="G847" s="17"/>
      <c r="H847" s="16"/>
    </row>
    <row r="848" spans="4:8" ht="15.75" customHeight="1">
      <c r="D848" s="15"/>
      <c r="F848" s="16"/>
      <c r="G848" s="17"/>
      <c r="H848" s="16"/>
    </row>
    <row r="849" spans="4:8" ht="15.75" customHeight="1">
      <c r="D849" s="15"/>
      <c r="F849" s="16"/>
      <c r="G849" s="17"/>
      <c r="H849" s="16"/>
    </row>
    <row r="850" spans="4:8" ht="15.75" customHeight="1">
      <c r="D850" s="15"/>
      <c r="F850" s="16"/>
      <c r="G850" s="17"/>
      <c r="H850" s="16"/>
    </row>
    <row r="851" spans="4:8" ht="15.75" customHeight="1">
      <c r="D851" s="15"/>
      <c r="F851" s="16"/>
      <c r="G851" s="17"/>
      <c r="H851" s="16"/>
    </row>
    <row r="852" spans="4:8" ht="15.75" customHeight="1">
      <c r="D852" s="15"/>
      <c r="F852" s="16"/>
      <c r="G852" s="17"/>
      <c r="H852" s="16"/>
    </row>
    <row r="853" spans="4:8" ht="15.75" customHeight="1">
      <c r="D853" s="15"/>
      <c r="F853" s="16"/>
      <c r="G853" s="17"/>
      <c r="H853" s="16"/>
    </row>
    <row r="854" spans="4:8" ht="15.75" customHeight="1">
      <c r="D854" s="15"/>
      <c r="F854" s="16"/>
      <c r="G854" s="17"/>
      <c r="H854" s="16"/>
    </row>
    <row r="855" spans="4:8" ht="15.75" customHeight="1">
      <c r="D855" s="15"/>
      <c r="F855" s="16"/>
      <c r="G855" s="17"/>
      <c r="H855" s="16"/>
    </row>
    <row r="856" spans="4:8" ht="15.75" customHeight="1">
      <c r="D856" s="15"/>
      <c r="F856" s="16"/>
      <c r="G856" s="17"/>
      <c r="H856" s="16"/>
    </row>
    <row r="857" spans="4:8" ht="15.75" customHeight="1">
      <c r="D857" s="15"/>
      <c r="F857" s="16"/>
      <c r="G857" s="17"/>
      <c r="H857" s="16"/>
    </row>
    <row r="858" spans="4:8" ht="15.75" customHeight="1">
      <c r="D858" s="15"/>
      <c r="F858" s="16"/>
      <c r="G858" s="17"/>
      <c r="H858" s="16"/>
    </row>
    <row r="859" spans="4:8" ht="15.75" customHeight="1">
      <c r="D859" s="15"/>
      <c r="F859" s="16"/>
      <c r="G859" s="17"/>
      <c r="H859" s="16"/>
    </row>
    <row r="860" spans="4:8" ht="15.75" customHeight="1">
      <c r="D860" s="15"/>
      <c r="F860" s="16"/>
      <c r="G860" s="17"/>
      <c r="H860" s="16"/>
    </row>
    <row r="861" spans="4:8" ht="15.75" customHeight="1">
      <c r="D861" s="15"/>
      <c r="F861" s="16"/>
      <c r="G861" s="17"/>
      <c r="H861" s="16"/>
    </row>
    <row r="862" spans="4:8" ht="15.75" customHeight="1">
      <c r="D862" s="15"/>
      <c r="F862" s="16"/>
      <c r="G862" s="17"/>
      <c r="H862" s="16"/>
    </row>
    <row r="863" spans="4:8" ht="15.75" customHeight="1">
      <c r="D863" s="15"/>
      <c r="F863" s="16"/>
      <c r="G863" s="17"/>
      <c r="H863" s="16"/>
    </row>
    <row r="864" spans="4:8" ht="15.75" customHeight="1">
      <c r="D864" s="15"/>
      <c r="F864" s="16"/>
      <c r="G864" s="17"/>
      <c r="H864" s="16"/>
    </row>
    <row r="865" spans="4:8" ht="15.75" customHeight="1">
      <c r="D865" s="15"/>
      <c r="F865" s="16"/>
      <c r="G865" s="17"/>
      <c r="H865" s="16"/>
    </row>
    <row r="866" spans="4:8" ht="15.75" customHeight="1">
      <c r="D866" s="15"/>
      <c r="F866" s="16"/>
      <c r="G866" s="17"/>
      <c r="H866" s="16"/>
    </row>
    <row r="867" spans="4:8" ht="15.75" customHeight="1">
      <c r="D867" s="15"/>
      <c r="F867" s="16"/>
      <c r="G867" s="17"/>
      <c r="H867" s="16"/>
    </row>
    <row r="868" spans="4:8" ht="15.75" customHeight="1">
      <c r="D868" s="15"/>
      <c r="F868" s="16"/>
      <c r="G868" s="17"/>
      <c r="H868" s="16"/>
    </row>
    <row r="869" spans="4:8" ht="15.75" customHeight="1">
      <c r="D869" s="15"/>
      <c r="F869" s="16"/>
      <c r="G869" s="17"/>
      <c r="H869" s="16"/>
    </row>
    <row r="870" spans="4:8" ht="15.75" customHeight="1">
      <c r="D870" s="15"/>
      <c r="F870" s="16"/>
      <c r="G870" s="17"/>
      <c r="H870" s="16"/>
    </row>
    <row r="871" spans="4:8" ht="15.75" customHeight="1">
      <c r="D871" s="15"/>
      <c r="F871" s="16"/>
      <c r="G871" s="17"/>
      <c r="H871" s="16"/>
    </row>
    <row r="872" spans="4:8" ht="15.75" customHeight="1">
      <c r="D872" s="15"/>
      <c r="F872" s="16"/>
      <c r="G872" s="17"/>
      <c r="H872" s="16"/>
    </row>
    <row r="873" spans="4:8" ht="15.75" customHeight="1">
      <c r="D873" s="15"/>
      <c r="F873" s="16"/>
      <c r="G873" s="17"/>
      <c r="H873" s="16"/>
    </row>
    <row r="874" spans="4:8" ht="15.75" customHeight="1">
      <c r="D874" s="15"/>
      <c r="F874" s="16"/>
      <c r="G874" s="17"/>
      <c r="H874" s="16"/>
    </row>
    <row r="875" spans="4:8" ht="15.75" customHeight="1">
      <c r="D875" s="15"/>
      <c r="F875" s="16"/>
      <c r="G875" s="17"/>
      <c r="H875" s="16"/>
    </row>
    <row r="876" spans="4:8" ht="15.75" customHeight="1">
      <c r="D876" s="15"/>
      <c r="F876" s="16"/>
      <c r="G876" s="17"/>
      <c r="H876" s="16"/>
    </row>
    <row r="877" spans="4:8" ht="15.75" customHeight="1">
      <c r="D877" s="15"/>
      <c r="F877" s="16"/>
      <c r="G877" s="17"/>
      <c r="H877" s="16"/>
    </row>
    <row r="878" spans="4:8" ht="15.75" customHeight="1">
      <c r="D878" s="15"/>
      <c r="F878" s="16"/>
      <c r="G878" s="17"/>
      <c r="H878" s="16"/>
    </row>
    <row r="879" spans="4:8" ht="15.75" customHeight="1">
      <c r="D879" s="15"/>
      <c r="F879" s="16"/>
      <c r="G879" s="17"/>
      <c r="H879" s="16"/>
    </row>
    <row r="880" spans="4:8" ht="15.75" customHeight="1">
      <c r="D880" s="15"/>
      <c r="F880" s="16"/>
      <c r="G880" s="17"/>
      <c r="H880" s="16"/>
    </row>
    <row r="881" spans="4:8" ht="15.75" customHeight="1">
      <c r="D881" s="15"/>
      <c r="F881" s="16"/>
      <c r="G881" s="17"/>
      <c r="H881" s="16"/>
    </row>
    <row r="882" spans="4:8" ht="15.75" customHeight="1">
      <c r="D882" s="15"/>
      <c r="F882" s="16"/>
      <c r="G882" s="17"/>
      <c r="H882" s="16"/>
    </row>
    <row r="883" spans="4:8" ht="15.75" customHeight="1">
      <c r="D883" s="15"/>
      <c r="F883" s="16"/>
      <c r="G883" s="17"/>
      <c r="H883" s="16"/>
    </row>
    <row r="884" spans="4:8" ht="15.75" customHeight="1">
      <c r="D884" s="15"/>
      <c r="F884" s="16"/>
      <c r="G884" s="17"/>
      <c r="H884" s="16"/>
    </row>
    <row r="885" spans="4:8" ht="15.75" customHeight="1">
      <c r="D885" s="15"/>
      <c r="F885" s="16"/>
      <c r="G885" s="17"/>
      <c r="H885" s="16"/>
    </row>
    <row r="886" spans="4:8" ht="15.75" customHeight="1">
      <c r="D886" s="15"/>
      <c r="F886" s="16"/>
      <c r="G886" s="17"/>
      <c r="H886" s="16"/>
    </row>
    <row r="887" spans="4:8" ht="15.75" customHeight="1">
      <c r="D887" s="15"/>
      <c r="F887" s="16"/>
      <c r="G887" s="17"/>
      <c r="H887" s="16"/>
    </row>
    <row r="888" spans="4:8" ht="15.75" customHeight="1">
      <c r="D888" s="15"/>
      <c r="F888" s="16"/>
      <c r="G888" s="17"/>
      <c r="H888" s="16"/>
    </row>
    <row r="889" spans="4:8" ht="15.75" customHeight="1">
      <c r="D889" s="15"/>
      <c r="F889" s="16"/>
      <c r="G889" s="17"/>
      <c r="H889" s="16"/>
    </row>
    <row r="890" spans="4:8" ht="15.75" customHeight="1">
      <c r="D890" s="15"/>
      <c r="F890" s="16"/>
      <c r="G890" s="17"/>
      <c r="H890" s="16"/>
    </row>
    <row r="891" spans="4:8" ht="15.75" customHeight="1">
      <c r="D891" s="15"/>
      <c r="F891" s="16"/>
      <c r="G891" s="17"/>
      <c r="H891" s="16"/>
    </row>
    <row r="892" spans="4:8" ht="15.75" customHeight="1">
      <c r="D892" s="15"/>
      <c r="F892" s="16"/>
      <c r="G892" s="17"/>
      <c r="H892" s="16"/>
    </row>
    <row r="893" spans="4:8" ht="15.75" customHeight="1">
      <c r="D893" s="15"/>
      <c r="F893" s="16"/>
      <c r="G893" s="17"/>
      <c r="H893" s="16"/>
    </row>
    <row r="894" spans="4:8" ht="15.75" customHeight="1">
      <c r="D894" s="15"/>
      <c r="F894" s="16"/>
      <c r="G894" s="17"/>
      <c r="H894" s="16"/>
    </row>
    <row r="895" spans="4:8" ht="15.75" customHeight="1">
      <c r="D895" s="15"/>
      <c r="F895" s="16"/>
      <c r="G895" s="17"/>
      <c r="H895" s="16"/>
    </row>
    <row r="896" spans="4:8" ht="15.75" customHeight="1">
      <c r="D896" s="15"/>
      <c r="F896" s="16"/>
      <c r="G896" s="17"/>
      <c r="H896" s="16"/>
    </row>
    <row r="897" spans="4:8" ht="15.75" customHeight="1">
      <c r="D897" s="15"/>
      <c r="F897" s="16"/>
      <c r="G897" s="17"/>
      <c r="H897" s="16"/>
    </row>
    <row r="898" spans="4:8" ht="15.75" customHeight="1">
      <c r="D898" s="15"/>
      <c r="F898" s="16"/>
      <c r="G898" s="17"/>
      <c r="H898" s="16"/>
    </row>
    <row r="899" spans="4:8" ht="15.75" customHeight="1">
      <c r="D899" s="15"/>
      <c r="F899" s="16"/>
      <c r="G899" s="17"/>
      <c r="H899" s="16"/>
    </row>
    <row r="900" spans="4:8" ht="15.75" customHeight="1">
      <c r="D900" s="15"/>
      <c r="F900" s="16"/>
      <c r="G900" s="17"/>
      <c r="H900" s="16"/>
    </row>
    <row r="901" spans="4:8" ht="15.75" customHeight="1">
      <c r="D901" s="15"/>
      <c r="F901" s="16"/>
      <c r="G901" s="17"/>
      <c r="H901" s="16"/>
    </row>
    <row r="902" spans="4:8" ht="15.75" customHeight="1">
      <c r="D902" s="15"/>
      <c r="F902" s="16"/>
      <c r="G902" s="17"/>
      <c r="H902" s="16"/>
    </row>
    <row r="903" spans="4:8" ht="15.75" customHeight="1">
      <c r="D903" s="15"/>
      <c r="F903" s="16"/>
      <c r="G903" s="17"/>
      <c r="H903" s="16"/>
    </row>
    <row r="904" spans="4:8" ht="15.75" customHeight="1">
      <c r="D904" s="15"/>
      <c r="F904" s="16"/>
      <c r="G904" s="17"/>
      <c r="H904" s="16"/>
    </row>
    <row r="905" spans="4:8" ht="15.75" customHeight="1">
      <c r="D905" s="15"/>
      <c r="F905" s="16"/>
      <c r="G905" s="17"/>
      <c r="H905" s="16"/>
    </row>
    <row r="906" spans="4:8" ht="15.75" customHeight="1">
      <c r="D906" s="15"/>
      <c r="F906" s="16"/>
      <c r="G906" s="17"/>
      <c r="H906" s="16"/>
    </row>
    <row r="907" spans="4:8" ht="15.75" customHeight="1">
      <c r="D907" s="15"/>
      <c r="F907" s="16"/>
      <c r="G907" s="17"/>
      <c r="H907" s="16"/>
    </row>
    <row r="908" spans="4:8" ht="15.75" customHeight="1">
      <c r="D908" s="15"/>
      <c r="F908" s="16"/>
      <c r="G908" s="17"/>
      <c r="H908" s="16"/>
    </row>
    <row r="909" spans="4:8" ht="15.75" customHeight="1">
      <c r="D909" s="15"/>
      <c r="F909" s="16"/>
      <c r="G909" s="17"/>
      <c r="H909" s="16"/>
    </row>
    <row r="910" spans="4:8" ht="15.75" customHeight="1">
      <c r="D910" s="15"/>
      <c r="F910" s="16"/>
      <c r="G910" s="17"/>
      <c r="H910" s="16"/>
    </row>
    <row r="911" spans="4:8" ht="15.75" customHeight="1">
      <c r="D911" s="15"/>
      <c r="F911" s="16"/>
      <c r="G911" s="17"/>
      <c r="H911" s="16"/>
    </row>
    <row r="912" spans="4:8" ht="15.75" customHeight="1">
      <c r="D912" s="15"/>
      <c r="F912" s="16"/>
      <c r="G912" s="17"/>
      <c r="H912" s="16"/>
    </row>
    <row r="913" spans="4:8" ht="15.75" customHeight="1">
      <c r="D913" s="15"/>
      <c r="F913" s="16"/>
      <c r="G913" s="17"/>
      <c r="H913" s="16"/>
    </row>
    <row r="914" spans="4:8" ht="15.75" customHeight="1">
      <c r="D914" s="15"/>
      <c r="F914" s="16"/>
      <c r="G914" s="17"/>
      <c r="H914" s="16"/>
    </row>
    <row r="915" spans="4:8" ht="15.75" customHeight="1">
      <c r="D915" s="15"/>
      <c r="F915" s="16"/>
      <c r="G915" s="17"/>
      <c r="H915" s="16"/>
    </row>
    <row r="916" spans="4:8" ht="15.75" customHeight="1">
      <c r="D916" s="15"/>
      <c r="F916" s="16"/>
      <c r="G916" s="17"/>
      <c r="H916" s="16"/>
    </row>
    <row r="917" spans="4:8" ht="15.75" customHeight="1">
      <c r="D917" s="15"/>
      <c r="F917" s="16"/>
      <c r="G917" s="17"/>
      <c r="H917" s="16"/>
    </row>
    <row r="918" spans="4:8" ht="15.75" customHeight="1">
      <c r="D918" s="15"/>
      <c r="F918" s="16"/>
      <c r="G918" s="17"/>
      <c r="H918" s="16"/>
    </row>
    <row r="919" spans="4:8" ht="15.75" customHeight="1">
      <c r="D919" s="15"/>
      <c r="F919" s="16"/>
      <c r="G919" s="17"/>
      <c r="H919" s="16"/>
    </row>
    <row r="920" spans="4:8" ht="15.75" customHeight="1">
      <c r="D920" s="15"/>
      <c r="F920" s="16"/>
      <c r="G920" s="17"/>
      <c r="H920" s="16"/>
    </row>
    <row r="921" spans="4:8" ht="15.75" customHeight="1">
      <c r="D921" s="15"/>
      <c r="F921" s="16"/>
      <c r="G921" s="17"/>
      <c r="H921" s="16"/>
    </row>
    <row r="922" spans="4:8" ht="15.75" customHeight="1">
      <c r="D922" s="15"/>
      <c r="F922" s="16"/>
      <c r="G922" s="17"/>
      <c r="H922" s="16"/>
    </row>
    <row r="923" spans="4:8" ht="15.75" customHeight="1">
      <c r="D923" s="15"/>
      <c r="F923" s="16"/>
      <c r="G923" s="17"/>
      <c r="H923" s="16"/>
    </row>
    <row r="924" spans="4:8" ht="15.75" customHeight="1">
      <c r="D924" s="15"/>
      <c r="F924" s="16"/>
      <c r="G924" s="17"/>
      <c r="H924" s="16"/>
    </row>
    <row r="925" spans="4:8" ht="15.75" customHeight="1">
      <c r="D925" s="15"/>
      <c r="F925" s="16"/>
      <c r="G925" s="17"/>
      <c r="H925" s="16"/>
    </row>
    <row r="926" spans="4:8" ht="15.75" customHeight="1">
      <c r="D926" s="15"/>
      <c r="F926" s="16"/>
      <c r="G926" s="17"/>
      <c r="H926" s="16"/>
    </row>
    <row r="927" spans="4:8" ht="15.75" customHeight="1">
      <c r="D927" s="15"/>
      <c r="F927" s="16"/>
      <c r="G927" s="17"/>
      <c r="H927" s="16"/>
    </row>
    <row r="928" spans="4:8" ht="15.75" customHeight="1">
      <c r="D928" s="15"/>
      <c r="F928" s="16"/>
      <c r="G928" s="17"/>
      <c r="H928" s="16"/>
    </row>
    <row r="929" spans="4:8" ht="15.75" customHeight="1">
      <c r="D929" s="15"/>
      <c r="F929" s="16"/>
      <c r="G929" s="17"/>
      <c r="H929" s="16"/>
    </row>
    <row r="930" spans="4:8" ht="15.75" customHeight="1">
      <c r="D930" s="15"/>
      <c r="F930" s="16"/>
      <c r="G930" s="17"/>
      <c r="H930" s="16"/>
    </row>
    <row r="931" spans="4:8" ht="15.75" customHeight="1">
      <c r="D931" s="15"/>
      <c r="F931" s="16"/>
      <c r="G931" s="17"/>
      <c r="H931" s="16"/>
    </row>
    <row r="932" spans="4:8" ht="15.75" customHeight="1">
      <c r="D932" s="15"/>
      <c r="F932" s="16"/>
      <c r="G932" s="17"/>
      <c r="H932" s="16"/>
    </row>
    <row r="933" spans="4:8" ht="15.75" customHeight="1">
      <c r="D933" s="15"/>
      <c r="F933" s="16"/>
      <c r="G933" s="17"/>
      <c r="H933" s="16"/>
    </row>
    <row r="934" spans="4:8" ht="15.75" customHeight="1">
      <c r="D934" s="15"/>
      <c r="F934" s="16"/>
      <c r="G934" s="17"/>
      <c r="H934" s="16"/>
    </row>
    <row r="935" spans="4:8" ht="15.75" customHeight="1">
      <c r="D935" s="15"/>
      <c r="F935" s="16"/>
      <c r="G935" s="17"/>
      <c r="H935" s="16"/>
    </row>
    <row r="936" spans="4:8" ht="15.75" customHeight="1">
      <c r="D936" s="15"/>
      <c r="F936" s="16"/>
      <c r="G936" s="17"/>
      <c r="H936" s="16"/>
    </row>
    <row r="937" spans="4:8" ht="15.75" customHeight="1">
      <c r="D937" s="15"/>
      <c r="F937" s="16"/>
      <c r="G937" s="17"/>
      <c r="H937" s="16"/>
    </row>
    <row r="938" spans="4:8" ht="15.75" customHeight="1">
      <c r="D938" s="15"/>
      <c r="F938" s="16"/>
      <c r="G938" s="17"/>
      <c r="H938" s="16"/>
    </row>
    <row r="939" spans="4:8" ht="15.75" customHeight="1">
      <c r="D939" s="15"/>
      <c r="F939" s="16"/>
      <c r="G939" s="17"/>
      <c r="H939" s="16"/>
    </row>
    <row r="940" spans="4:8" ht="15.75" customHeight="1">
      <c r="D940" s="15"/>
      <c r="F940" s="16"/>
      <c r="G940" s="17"/>
      <c r="H940" s="16"/>
    </row>
    <row r="941" spans="4:8" ht="15.75" customHeight="1">
      <c r="D941" s="15"/>
      <c r="F941" s="16"/>
      <c r="G941" s="17"/>
      <c r="H941" s="16"/>
    </row>
    <row r="942" spans="4:8" ht="15.75" customHeight="1">
      <c r="D942" s="15"/>
      <c r="F942" s="16"/>
      <c r="G942" s="17"/>
      <c r="H942" s="16"/>
    </row>
    <row r="943" spans="4:8" ht="15.75" customHeight="1">
      <c r="D943" s="15"/>
      <c r="F943" s="16"/>
      <c r="G943" s="17"/>
      <c r="H943" s="16"/>
    </row>
    <row r="944" spans="4:8" ht="15.75" customHeight="1">
      <c r="D944" s="15"/>
      <c r="F944" s="16"/>
      <c r="G944" s="17"/>
      <c r="H944" s="16"/>
    </row>
    <row r="945" spans="4:8" ht="15.75" customHeight="1">
      <c r="D945" s="15"/>
      <c r="F945" s="16"/>
      <c r="G945" s="17"/>
      <c r="H945" s="16"/>
    </row>
    <row r="946" spans="4:8" ht="15.75" customHeight="1">
      <c r="D946" s="15"/>
      <c r="F946" s="16"/>
      <c r="G946" s="17"/>
      <c r="H946" s="16"/>
    </row>
    <row r="947" spans="4:8" ht="15.75" customHeight="1">
      <c r="D947" s="15"/>
      <c r="F947" s="16"/>
      <c r="G947" s="17"/>
      <c r="H947" s="16"/>
    </row>
    <row r="948" spans="4:8" ht="15.75" customHeight="1">
      <c r="D948" s="15"/>
      <c r="F948" s="16"/>
      <c r="G948" s="17"/>
      <c r="H948" s="16"/>
    </row>
    <row r="949" spans="4:8" ht="15.75" customHeight="1">
      <c r="D949" s="15"/>
      <c r="F949" s="16"/>
      <c r="G949" s="17"/>
      <c r="H949" s="16"/>
    </row>
    <row r="950" spans="4:8" ht="15.75" customHeight="1">
      <c r="D950" s="15"/>
      <c r="F950" s="16"/>
      <c r="G950" s="17"/>
      <c r="H950" s="16"/>
    </row>
    <row r="951" spans="4:8" ht="15.75" customHeight="1">
      <c r="D951" s="15"/>
      <c r="F951" s="16"/>
      <c r="G951" s="17"/>
      <c r="H951" s="16"/>
    </row>
    <row r="952" spans="4:8" ht="15.75" customHeight="1">
      <c r="D952" s="15"/>
      <c r="F952" s="16"/>
      <c r="G952" s="17"/>
      <c r="H952" s="16"/>
    </row>
    <row r="953" spans="4:8" ht="15.75" customHeight="1">
      <c r="D953" s="15"/>
      <c r="F953" s="16"/>
      <c r="G953" s="17"/>
      <c r="H953" s="16"/>
    </row>
    <row r="954" spans="4:8" ht="15.75" customHeight="1">
      <c r="D954" s="15"/>
      <c r="F954" s="16"/>
      <c r="G954" s="17"/>
      <c r="H954" s="16"/>
    </row>
    <row r="955" spans="4:8" ht="15.75" customHeight="1">
      <c r="D955" s="15"/>
      <c r="F955" s="16"/>
      <c r="G955" s="17"/>
      <c r="H955" s="16"/>
    </row>
    <row r="956" spans="4:8" ht="15.75" customHeight="1">
      <c r="D956" s="15"/>
      <c r="F956" s="16"/>
      <c r="G956" s="17"/>
      <c r="H956" s="16"/>
    </row>
    <row r="957" spans="4:8" ht="15.75" customHeight="1">
      <c r="D957" s="15"/>
      <c r="F957" s="16"/>
      <c r="G957" s="17"/>
      <c r="H957" s="16"/>
    </row>
    <row r="958" spans="4:8" ht="15.75" customHeight="1">
      <c r="D958" s="15"/>
      <c r="F958" s="16"/>
      <c r="G958" s="17"/>
      <c r="H958" s="16"/>
    </row>
    <row r="959" spans="4:8" ht="15.75" customHeight="1">
      <c r="D959" s="15"/>
      <c r="F959" s="16"/>
      <c r="G959" s="17"/>
      <c r="H959" s="16"/>
    </row>
    <row r="960" spans="4:8" ht="15.75" customHeight="1">
      <c r="D960" s="15"/>
      <c r="F960" s="16"/>
      <c r="G960" s="17"/>
      <c r="H960" s="16"/>
    </row>
    <row r="961" spans="4:8" ht="15.75" customHeight="1">
      <c r="D961" s="15"/>
      <c r="F961" s="16"/>
      <c r="G961" s="17"/>
      <c r="H961" s="16"/>
    </row>
    <row r="962" spans="4:8" ht="15.75" customHeight="1">
      <c r="D962" s="15"/>
      <c r="F962" s="16"/>
      <c r="G962" s="17"/>
      <c r="H962" s="16"/>
    </row>
    <row r="963" spans="4:8" ht="15.75" customHeight="1">
      <c r="D963" s="15"/>
      <c r="F963" s="16"/>
      <c r="G963" s="17"/>
      <c r="H963" s="16"/>
    </row>
    <row r="964" spans="4:8" ht="15.75" customHeight="1">
      <c r="D964" s="15"/>
      <c r="F964" s="16"/>
      <c r="G964" s="17"/>
      <c r="H964" s="16"/>
    </row>
    <row r="965" spans="4:8" ht="15.75" customHeight="1">
      <c r="D965" s="15"/>
      <c r="F965" s="16"/>
      <c r="G965" s="17"/>
      <c r="H965" s="16"/>
    </row>
    <row r="966" spans="4:8" ht="15.75" customHeight="1">
      <c r="D966" s="15"/>
      <c r="F966" s="16"/>
      <c r="G966" s="17"/>
      <c r="H966" s="16"/>
    </row>
    <row r="967" spans="4:8" ht="15.75" customHeight="1">
      <c r="D967" s="15"/>
      <c r="F967" s="16"/>
      <c r="G967" s="17"/>
      <c r="H967" s="16"/>
    </row>
    <row r="968" spans="4:8" ht="15.75" customHeight="1">
      <c r="D968" s="15"/>
      <c r="F968" s="16"/>
      <c r="G968" s="17"/>
      <c r="H968" s="16"/>
    </row>
    <row r="969" spans="4:8" ht="15.75" customHeight="1">
      <c r="D969" s="15"/>
      <c r="F969" s="16"/>
      <c r="G969" s="17"/>
      <c r="H969" s="16"/>
    </row>
    <row r="970" spans="4:8" ht="15.75" customHeight="1">
      <c r="D970" s="15"/>
      <c r="F970" s="16"/>
      <c r="G970" s="17"/>
      <c r="H970" s="16"/>
    </row>
    <row r="971" spans="4:8" ht="15.75" customHeight="1">
      <c r="D971" s="15"/>
      <c r="F971" s="16"/>
      <c r="G971" s="17"/>
      <c r="H971" s="16"/>
    </row>
    <row r="972" spans="4:8" ht="15.75" customHeight="1">
      <c r="D972" s="15"/>
      <c r="F972" s="16"/>
      <c r="G972" s="17"/>
      <c r="H972" s="16"/>
    </row>
    <row r="973" spans="4:8" ht="15.75" customHeight="1">
      <c r="D973" s="15"/>
      <c r="F973" s="16"/>
      <c r="G973" s="17"/>
      <c r="H973" s="16"/>
    </row>
    <row r="974" spans="4:8" ht="15.75" customHeight="1">
      <c r="D974" s="15"/>
      <c r="F974" s="16"/>
      <c r="G974" s="17"/>
      <c r="H974" s="16"/>
    </row>
    <row r="975" spans="4:8" ht="15.75" customHeight="1">
      <c r="D975" s="15"/>
      <c r="F975" s="16"/>
      <c r="G975" s="17"/>
      <c r="H975" s="16"/>
    </row>
    <row r="976" spans="4:8" ht="15.75" customHeight="1">
      <c r="D976" s="15"/>
      <c r="F976" s="16"/>
      <c r="G976" s="17"/>
      <c r="H976" s="16"/>
    </row>
    <row r="977" spans="4:8" ht="15.75" customHeight="1">
      <c r="D977" s="15"/>
      <c r="F977" s="16"/>
      <c r="G977" s="17"/>
      <c r="H977" s="16"/>
    </row>
    <row r="978" spans="4:8" ht="15.75" customHeight="1">
      <c r="D978" s="15"/>
      <c r="F978" s="16"/>
      <c r="G978" s="17"/>
      <c r="H978" s="16"/>
    </row>
    <row r="979" spans="4:8" ht="15.75" customHeight="1">
      <c r="D979" s="15"/>
      <c r="F979" s="16"/>
      <c r="G979" s="17"/>
      <c r="H979" s="16"/>
    </row>
    <row r="980" spans="4:8" ht="15.75" customHeight="1">
      <c r="D980" s="15"/>
      <c r="F980" s="16"/>
      <c r="G980" s="17"/>
      <c r="H980" s="16"/>
    </row>
    <row r="981" spans="4:8" ht="15.75" customHeight="1">
      <c r="D981" s="15"/>
      <c r="F981" s="16"/>
      <c r="G981" s="17"/>
      <c r="H981" s="16"/>
    </row>
    <row r="982" spans="4:8" ht="15.75" customHeight="1">
      <c r="D982" s="15"/>
      <c r="F982" s="16"/>
      <c r="G982" s="17"/>
      <c r="H982" s="16"/>
    </row>
    <row r="983" spans="4:8" ht="15.75" customHeight="1">
      <c r="D983" s="15"/>
      <c r="F983" s="16"/>
      <c r="G983" s="17"/>
      <c r="H983" s="16"/>
    </row>
    <row r="984" spans="4:8" ht="15.75" customHeight="1">
      <c r="D984" s="15"/>
      <c r="F984" s="16"/>
      <c r="G984" s="17"/>
      <c r="H984" s="16"/>
    </row>
    <row r="985" spans="4:8" ht="15.75" customHeight="1">
      <c r="D985" s="15"/>
      <c r="F985" s="16"/>
      <c r="G985" s="17"/>
      <c r="H985" s="16"/>
    </row>
    <row r="986" spans="4:8" ht="15.75" customHeight="1">
      <c r="D986" s="15"/>
      <c r="F986" s="16"/>
      <c r="G986" s="17"/>
      <c r="H986" s="16"/>
    </row>
    <row r="987" spans="4:8" ht="15.75" customHeight="1">
      <c r="D987" s="15"/>
      <c r="F987" s="16"/>
      <c r="G987" s="17"/>
      <c r="H987" s="16"/>
    </row>
    <row r="988" spans="4:8" ht="15.75" customHeight="1">
      <c r="D988" s="15"/>
      <c r="F988" s="16"/>
      <c r="G988" s="17"/>
      <c r="H988" s="16"/>
    </row>
    <row r="989" spans="4:8" ht="15.75" customHeight="1">
      <c r="D989" s="15"/>
      <c r="F989" s="16"/>
      <c r="G989" s="17"/>
      <c r="H989" s="16"/>
    </row>
    <row r="990" spans="4:8" ht="15.75" customHeight="1">
      <c r="D990" s="15"/>
      <c r="F990" s="16"/>
      <c r="G990" s="17"/>
      <c r="H990" s="16"/>
    </row>
    <row r="991" spans="4:8" ht="15.75" customHeight="1">
      <c r="D991" s="15"/>
      <c r="F991" s="16"/>
      <c r="G991" s="17"/>
      <c r="H991" s="16"/>
    </row>
    <row r="992" spans="4:8" ht="15.75" customHeight="1">
      <c r="D992" s="15"/>
      <c r="F992" s="16"/>
      <c r="G992" s="17"/>
      <c r="H992" s="16"/>
    </row>
    <row r="993" spans="4:8" ht="15.75" customHeight="1">
      <c r="D993" s="15"/>
      <c r="F993" s="16"/>
      <c r="G993" s="17"/>
      <c r="H993" s="16"/>
    </row>
    <row r="994" spans="4:8" ht="15.75" customHeight="1">
      <c r="D994" s="15"/>
      <c r="F994" s="16"/>
      <c r="G994" s="17"/>
      <c r="H994" s="16"/>
    </row>
    <row r="995" spans="4:8" ht="15.75" customHeight="1">
      <c r="D995" s="15"/>
      <c r="F995" s="16"/>
      <c r="G995" s="17"/>
      <c r="H995" s="16"/>
    </row>
    <row r="996" spans="4:8" ht="15.75" customHeight="1">
      <c r="D996" s="15"/>
      <c r="F996" s="16"/>
      <c r="G996" s="17"/>
      <c r="H996" s="16"/>
    </row>
    <row r="997" spans="4:8" ht="15.75" customHeight="1">
      <c r="D997" s="15"/>
      <c r="F997" s="16"/>
      <c r="G997" s="17"/>
      <c r="H997" s="16"/>
    </row>
    <row r="998" spans="4:8" ht="15.75" customHeight="1">
      <c r="D998" s="15"/>
      <c r="F998" s="16"/>
      <c r="G998" s="17"/>
      <c r="H998" s="16"/>
    </row>
    <row r="999" spans="4:8" ht="15.75" customHeight="1">
      <c r="D999" s="15"/>
      <c r="F999" s="16"/>
      <c r="G999" s="17"/>
      <c r="H999" s="16"/>
    </row>
    <row r="1000" spans="4:8" ht="15.75" customHeight="1">
      <c r="D1000" s="15"/>
      <c r="F1000" s="16"/>
      <c r="G1000" s="17"/>
      <c r="H1000" s="16"/>
    </row>
  </sheetData>
  <mergeCells count="14">
    <mergeCell ref="H30:I30"/>
    <mergeCell ref="C8:C9"/>
    <mergeCell ref="D8:D9"/>
    <mergeCell ref="B8:B9"/>
    <mergeCell ref="B28:D29"/>
    <mergeCell ref="E8:F9"/>
    <mergeCell ref="E27:F27"/>
    <mergeCell ref="H27:I27"/>
    <mergeCell ref="E28:G29"/>
    <mergeCell ref="G8:G9"/>
    <mergeCell ref="I8:I9"/>
    <mergeCell ref="H8:H9"/>
    <mergeCell ref="H28:I28"/>
    <mergeCell ref="H29:I2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/>
  </sheetViews>
  <sheetFormatPr defaultColWidth="11.125" defaultRowHeight="15" customHeight="1"/>
  <cols>
    <col min="1" max="1" width="6.625" customWidth="1"/>
    <col min="2" max="2" width="4.125" customWidth="1"/>
    <col min="3" max="3" width="16.625" customWidth="1"/>
    <col min="4" max="4" width="8.375" customWidth="1"/>
    <col min="5" max="5" width="8.5" customWidth="1"/>
    <col min="6" max="6" width="23.625" customWidth="1"/>
    <col min="7" max="7" width="8.375" customWidth="1"/>
    <col min="8" max="8" width="31.625" customWidth="1"/>
    <col min="9" max="11" width="17.625" customWidth="1"/>
    <col min="12" max="12" width="19.625" customWidth="1"/>
    <col min="13" max="13" width="14.875" customWidth="1"/>
    <col min="14" max="26" width="8.875" customWidth="1"/>
  </cols>
  <sheetData>
    <row r="1" spans="1:26" ht="15.75" customHeight="1">
      <c r="D1" s="27"/>
      <c r="F1" s="16"/>
      <c r="L1" s="16"/>
      <c r="M1" s="16"/>
    </row>
    <row r="2" spans="1:26" ht="30" customHeight="1">
      <c r="A2" s="18"/>
      <c r="B2" s="19" t="s">
        <v>82</v>
      </c>
      <c r="C2" s="19"/>
      <c r="D2" s="19"/>
      <c r="E2" s="19"/>
      <c r="F2" s="19"/>
      <c r="G2" s="19"/>
      <c r="H2" s="19"/>
      <c r="I2" s="19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8" customHeight="1">
      <c r="A3" s="18"/>
      <c r="B3" s="21" t="s">
        <v>83</v>
      </c>
      <c r="C3" s="21"/>
      <c r="D3" s="21"/>
      <c r="E3" s="21"/>
      <c r="F3" s="21"/>
      <c r="G3" s="21"/>
      <c r="H3" s="21"/>
      <c r="I3" s="21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3.5" customHeight="1">
      <c r="A4" s="18"/>
      <c r="B4" s="24"/>
      <c r="C4" s="24"/>
      <c r="D4" s="24"/>
      <c r="E4" s="24"/>
      <c r="F4" s="24"/>
      <c r="G4" s="24"/>
      <c r="H4" s="24"/>
      <c r="I4" s="24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22.5" customHeight="1">
      <c r="A5" s="31"/>
      <c r="B5" s="26" t="s">
        <v>84</v>
      </c>
      <c r="C5" s="25"/>
      <c r="D5" s="26" t="s">
        <v>5</v>
      </c>
      <c r="E5" s="29" t="s">
        <v>85</v>
      </c>
      <c r="F5" s="29"/>
      <c r="G5" s="26"/>
      <c r="H5" s="26"/>
      <c r="I5" s="26"/>
      <c r="J5" s="31"/>
      <c r="K5" s="33" t="s">
        <v>89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22.5" customHeight="1">
      <c r="A6" s="31"/>
      <c r="B6" s="26" t="s">
        <v>87</v>
      </c>
      <c r="C6" s="25"/>
      <c r="D6" s="26" t="s">
        <v>5</v>
      </c>
      <c r="E6" s="29" t="s">
        <v>88</v>
      </c>
      <c r="F6" s="29"/>
      <c r="G6" s="26"/>
      <c r="H6" s="26"/>
      <c r="I6" s="26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22.5" customHeight="1">
      <c r="A7" s="31"/>
      <c r="B7" s="31"/>
      <c r="C7" s="26"/>
      <c r="D7" s="25"/>
      <c r="E7" s="26"/>
      <c r="F7" s="29"/>
      <c r="G7" s="29"/>
      <c r="H7" s="28"/>
      <c r="I7" s="28"/>
      <c r="J7" s="28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5.75" customHeight="1">
      <c r="A8" s="8"/>
      <c r="B8" s="470" t="s">
        <v>8</v>
      </c>
      <c r="C8" s="470" t="s">
        <v>9</v>
      </c>
      <c r="D8" s="471" t="s">
        <v>91</v>
      </c>
      <c r="E8" s="472" t="s">
        <v>10</v>
      </c>
      <c r="F8" s="453"/>
      <c r="G8" s="470" t="s">
        <v>91</v>
      </c>
      <c r="H8" s="470" t="s">
        <v>12</v>
      </c>
      <c r="I8" s="469" t="s">
        <v>14</v>
      </c>
      <c r="J8" s="453"/>
      <c r="K8" s="453"/>
      <c r="L8" s="453"/>
      <c r="M8" s="35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>
      <c r="B9" s="453"/>
      <c r="C9" s="453"/>
      <c r="D9" s="453"/>
      <c r="E9" s="453"/>
      <c r="F9" s="453"/>
      <c r="G9" s="453"/>
      <c r="H9" s="453"/>
      <c r="I9" s="36">
        <v>1</v>
      </c>
      <c r="J9" s="36">
        <v>2</v>
      </c>
      <c r="K9" s="36">
        <v>3</v>
      </c>
      <c r="L9" s="36">
        <v>4</v>
      </c>
      <c r="M9" s="16"/>
    </row>
    <row r="10" spans="1:26" ht="63" customHeight="1">
      <c r="A10" s="37"/>
      <c r="B10" s="37" t="s">
        <v>15</v>
      </c>
      <c r="C10" s="37" t="s">
        <v>16</v>
      </c>
      <c r="D10" s="38">
        <v>0.1</v>
      </c>
      <c r="E10" s="37">
        <v>1</v>
      </c>
      <c r="F10" s="39" t="s">
        <v>98</v>
      </c>
      <c r="G10" s="38">
        <v>0.03</v>
      </c>
      <c r="H10" s="39" t="s">
        <v>99</v>
      </c>
      <c r="I10" s="37" t="s">
        <v>100</v>
      </c>
      <c r="J10" s="39" t="s">
        <v>101</v>
      </c>
      <c r="K10" s="39" t="s">
        <v>102</v>
      </c>
      <c r="L10" s="39" t="s">
        <v>103</v>
      </c>
      <c r="M10" s="39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47.25" customHeight="1">
      <c r="A11" s="37"/>
      <c r="B11" s="37"/>
      <c r="C11" s="37"/>
      <c r="D11" s="38"/>
      <c r="E11" s="37">
        <v>2</v>
      </c>
      <c r="F11" s="40" t="s">
        <v>17</v>
      </c>
      <c r="G11" s="38">
        <v>7.0000000000000007E-2</v>
      </c>
      <c r="H11" s="39" t="s">
        <v>104</v>
      </c>
      <c r="I11" s="39" t="s">
        <v>18</v>
      </c>
      <c r="J11" s="39" t="s">
        <v>105</v>
      </c>
      <c r="K11" s="39" t="s">
        <v>106</v>
      </c>
      <c r="L11" s="39" t="s">
        <v>19</v>
      </c>
      <c r="M11" s="39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31.5" customHeight="1">
      <c r="A12" s="37"/>
      <c r="B12" s="37" t="s">
        <v>20</v>
      </c>
      <c r="C12" s="37" t="s">
        <v>21</v>
      </c>
      <c r="D12" s="38">
        <v>0.25</v>
      </c>
      <c r="E12" s="37">
        <v>3</v>
      </c>
      <c r="F12" s="37" t="s">
        <v>42</v>
      </c>
      <c r="G12" s="38">
        <v>0.04</v>
      </c>
      <c r="H12" s="39" t="s">
        <v>107</v>
      </c>
      <c r="I12" s="39"/>
      <c r="J12" s="39"/>
      <c r="K12" s="39"/>
      <c r="L12" s="39" t="s">
        <v>108</v>
      </c>
      <c r="M12" s="39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47.25" customHeight="1">
      <c r="A13" s="37"/>
      <c r="B13" s="37"/>
      <c r="C13" s="37"/>
      <c r="D13" s="38"/>
      <c r="E13" s="37">
        <v>4</v>
      </c>
      <c r="F13" s="37" t="s">
        <v>26</v>
      </c>
      <c r="G13" s="38">
        <v>0.05</v>
      </c>
      <c r="H13" s="39" t="s">
        <v>27</v>
      </c>
      <c r="I13" s="39"/>
      <c r="J13" s="39"/>
      <c r="K13" s="39"/>
      <c r="L13" s="43" t="s">
        <v>109</v>
      </c>
      <c r="M13" s="39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31.5" customHeight="1">
      <c r="A14" s="37"/>
      <c r="B14" s="37"/>
      <c r="C14" s="37"/>
      <c r="D14" s="38"/>
      <c r="E14" s="37">
        <v>5</v>
      </c>
      <c r="F14" s="43" t="s">
        <v>110</v>
      </c>
      <c r="G14" s="38">
        <v>0.04</v>
      </c>
      <c r="H14" s="39" t="s">
        <v>111</v>
      </c>
      <c r="I14" s="39"/>
      <c r="J14" s="39"/>
      <c r="K14" s="39"/>
      <c r="L14" s="45">
        <v>0.95</v>
      </c>
      <c r="M14" s="39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47.25" customHeight="1">
      <c r="A15" s="37"/>
      <c r="B15" s="37"/>
      <c r="C15" s="37"/>
      <c r="D15" s="38"/>
      <c r="E15" s="37">
        <v>6</v>
      </c>
      <c r="F15" s="39" t="s">
        <v>112</v>
      </c>
      <c r="G15" s="38">
        <v>0.04</v>
      </c>
      <c r="H15" s="39" t="s">
        <v>113</v>
      </c>
      <c r="I15" s="39"/>
      <c r="J15" s="39"/>
      <c r="K15" s="39"/>
      <c r="L15" s="45" t="s">
        <v>114</v>
      </c>
      <c r="M15" s="39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31.5" customHeight="1">
      <c r="A16" s="37"/>
      <c r="B16" s="37"/>
      <c r="C16" s="37"/>
      <c r="D16" s="38"/>
      <c r="E16" s="37">
        <v>7</v>
      </c>
      <c r="F16" s="39" t="s">
        <v>30</v>
      </c>
      <c r="G16" s="38">
        <v>0.04</v>
      </c>
      <c r="H16" s="39" t="s">
        <v>31</v>
      </c>
      <c r="I16" s="39"/>
      <c r="J16" s="39"/>
      <c r="K16" s="39"/>
      <c r="L16" s="39" t="s">
        <v>115</v>
      </c>
      <c r="M16" s="39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51" customHeight="1">
      <c r="A17" s="37"/>
      <c r="B17" s="37"/>
      <c r="C17" s="37"/>
      <c r="D17" s="38"/>
      <c r="E17" s="37">
        <v>8</v>
      </c>
      <c r="F17" s="1" t="s">
        <v>32</v>
      </c>
      <c r="G17" s="38">
        <v>0.04</v>
      </c>
      <c r="H17" s="37" t="s">
        <v>33</v>
      </c>
      <c r="I17" s="37"/>
      <c r="J17" s="37"/>
      <c r="K17" s="37"/>
      <c r="L17" s="39" t="s">
        <v>116</v>
      </c>
      <c r="M17" s="39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5.75" customHeight="1">
      <c r="A18" s="37"/>
      <c r="B18" s="37" t="s">
        <v>28</v>
      </c>
      <c r="C18" s="37" t="s">
        <v>29</v>
      </c>
      <c r="D18" s="38">
        <v>0.5</v>
      </c>
      <c r="E18" s="37">
        <v>9</v>
      </c>
      <c r="F18" s="39" t="s">
        <v>37</v>
      </c>
      <c r="G18" s="38">
        <v>0.05</v>
      </c>
      <c r="H18" s="39" t="s">
        <v>38</v>
      </c>
      <c r="I18" s="39"/>
      <c r="J18" s="39"/>
      <c r="K18" s="39"/>
      <c r="L18" s="39" t="s">
        <v>39</v>
      </c>
      <c r="M18" s="39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31.5" customHeight="1">
      <c r="A19" s="37"/>
      <c r="B19" s="37"/>
      <c r="C19" s="37"/>
      <c r="D19" s="38"/>
      <c r="E19" s="37">
        <v>10</v>
      </c>
      <c r="F19" s="39" t="s">
        <v>117</v>
      </c>
      <c r="G19" s="38">
        <v>0.05</v>
      </c>
      <c r="H19" s="39" t="s">
        <v>118</v>
      </c>
      <c r="I19" s="39"/>
      <c r="J19" s="39"/>
      <c r="K19" s="39"/>
      <c r="L19" s="39" t="s">
        <v>119</v>
      </c>
      <c r="M19" s="39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47.25" customHeight="1">
      <c r="A20" s="37"/>
      <c r="B20" s="37"/>
      <c r="C20" s="37"/>
      <c r="D20" s="38"/>
      <c r="E20" s="37">
        <v>11</v>
      </c>
      <c r="F20" s="39" t="s">
        <v>22</v>
      </c>
      <c r="G20" s="49">
        <v>7.4999999999999997E-2</v>
      </c>
      <c r="H20" s="39" t="s">
        <v>23</v>
      </c>
      <c r="I20" s="39"/>
      <c r="J20" s="39"/>
      <c r="K20" s="39"/>
      <c r="L20" s="39" t="s">
        <v>120</v>
      </c>
      <c r="M20" s="39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47.25" customHeight="1">
      <c r="A21" s="37"/>
      <c r="B21" s="37"/>
      <c r="C21" s="37"/>
      <c r="D21" s="38"/>
      <c r="E21" s="37">
        <v>12</v>
      </c>
      <c r="F21" s="39" t="s">
        <v>25</v>
      </c>
      <c r="G21" s="49">
        <v>7.4999999999999997E-2</v>
      </c>
      <c r="H21" s="39" t="s">
        <v>23</v>
      </c>
      <c r="I21" s="39"/>
      <c r="J21" s="39"/>
      <c r="K21" s="39"/>
      <c r="L21" s="39" t="s">
        <v>120</v>
      </c>
      <c r="M21" s="39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31.5" customHeight="1">
      <c r="A22" s="37"/>
      <c r="B22" s="37"/>
      <c r="C22" s="37"/>
      <c r="D22" s="38"/>
      <c r="E22" s="37">
        <v>13</v>
      </c>
      <c r="F22" s="40" t="s">
        <v>121</v>
      </c>
      <c r="G22" s="38">
        <v>0.1</v>
      </c>
      <c r="H22" s="39" t="s">
        <v>24</v>
      </c>
      <c r="I22" s="39"/>
      <c r="J22" s="39"/>
      <c r="K22" s="39"/>
      <c r="L22" s="39" t="s">
        <v>122</v>
      </c>
      <c r="M22" s="39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31.5" customHeight="1">
      <c r="A23" s="37"/>
      <c r="B23" s="37"/>
      <c r="C23" s="37"/>
      <c r="D23" s="38"/>
      <c r="E23" s="37">
        <v>14</v>
      </c>
      <c r="F23" s="39" t="s">
        <v>40</v>
      </c>
      <c r="G23" s="38">
        <v>0.05</v>
      </c>
      <c r="H23" s="39" t="s">
        <v>123</v>
      </c>
      <c r="I23" s="39"/>
      <c r="J23" s="39"/>
      <c r="K23" s="39"/>
      <c r="L23" s="39" t="s">
        <v>124</v>
      </c>
      <c r="M23" s="39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31.5" customHeight="1">
      <c r="A24" s="37"/>
      <c r="B24" s="37"/>
      <c r="C24" s="37"/>
      <c r="D24" s="38"/>
      <c r="E24" s="37">
        <v>15</v>
      </c>
      <c r="F24" s="39" t="s">
        <v>125</v>
      </c>
      <c r="G24" s="38">
        <v>0.05</v>
      </c>
      <c r="H24" s="39" t="s">
        <v>126</v>
      </c>
      <c r="I24" s="39"/>
      <c r="J24" s="39"/>
      <c r="K24" s="39"/>
      <c r="L24" s="39" t="s">
        <v>127</v>
      </c>
      <c r="M24" s="39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31.5" customHeight="1">
      <c r="A25" s="37"/>
      <c r="B25" s="37"/>
      <c r="C25" s="37"/>
      <c r="D25" s="38"/>
      <c r="E25" s="37">
        <v>16</v>
      </c>
      <c r="F25" s="39" t="s">
        <v>128</v>
      </c>
      <c r="G25" s="38">
        <v>0.05</v>
      </c>
      <c r="H25" s="39"/>
      <c r="I25" s="39"/>
      <c r="J25" s="39"/>
      <c r="K25" s="39"/>
      <c r="L25" s="39"/>
      <c r="M25" s="39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47.25" customHeight="1">
      <c r="A26" s="37"/>
      <c r="B26" s="37" t="s">
        <v>34</v>
      </c>
      <c r="C26" s="37" t="s">
        <v>35</v>
      </c>
      <c r="D26" s="38">
        <v>0.15</v>
      </c>
      <c r="E26" s="37">
        <v>17</v>
      </c>
      <c r="F26" s="40" t="s">
        <v>36</v>
      </c>
      <c r="G26" s="38">
        <v>0.1</v>
      </c>
      <c r="H26" s="39" t="s">
        <v>129</v>
      </c>
      <c r="I26" s="39"/>
      <c r="J26" s="39"/>
      <c r="K26" s="39"/>
      <c r="L26" s="39" t="s">
        <v>130</v>
      </c>
      <c r="M26" s="39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31.5" customHeight="1">
      <c r="A27" s="37"/>
      <c r="B27" s="37"/>
      <c r="C27" s="37"/>
      <c r="D27" s="38"/>
      <c r="E27" s="37">
        <v>18</v>
      </c>
      <c r="F27" s="39" t="s">
        <v>131</v>
      </c>
      <c r="G27" s="49">
        <v>2.5000000000000001E-2</v>
      </c>
      <c r="H27" s="39"/>
      <c r="I27" s="39"/>
      <c r="J27" s="39"/>
      <c r="K27" s="39"/>
      <c r="L27" s="52" t="s">
        <v>132</v>
      </c>
      <c r="M27" s="53" t="s">
        <v>133</v>
      </c>
      <c r="N27" s="37" t="s">
        <v>134</v>
      </c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31.5" customHeight="1">
      <c r="A28" s="37"/>
      <c r="B28" s="37"/>
      <c r="C28" s="37"/>
      <c r="D28" s="38"/>
      <c r="E28" s="37">
        <v>19</v>
      </c>
      <c r="F28" s="39" t="s">
        <v>45</v>
      </c>
      <c r="G28" s="49">
        <v>2.5000000000000001E-2</v>
      </c>
      <c r="H28" s="39"/>
      <c r="I28" s="39"/>
      <c r="J28" s="39"/>
      <c r="K28" s="39"/>
      <c r="L28" s="52" t="s">
        <v>135</v>
      </c>
      <c r="M28" s="39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5.75" customHeight="1">
      <c r="A29" s="55"/>
      <c r="B29" s="55"/>
      <c r="C29" s="55" t="s">
        <v>136</v>
      </c>
      <c r="D29" s="57">
        <f>SUM(D10:D28)</f>
        <v>1</v>
      </c>
      <c r="E29" s="55"/>
      <c r="F29" s="59"/>
      <c r="G29" s="55"/>
      <c r="H29" s="55"/>
      <c r="I29" s="55"/>
      <c r="J29" s="55"/>
      <c r="K29" s="55"/>
      <c r="L29" s="59"/>
      <c r="M29" s="59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15.75" customHeight="1">
      <c r="A30" s="37"/>
      <c r="B30" s="37"/>
      <c r="C30" s="37"/>
      <c r="D30" s="38"/>
      <c r="E30" s="37"/>
      <c r="F30" s="39"/>
      <c r="G30" s="37"/>
      <c r="H30" s="37"/>
      <c r="I30" s="37"/>
      <c r="J30" s="37"/>
      <c r="K30" s="37"/>
      <c r="L30" s="39"/>
      <c r="M30" s="39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5.75" customHeight="1">
      <c r="D31" s="27"/>
      <c r="F31" s="16"/>
      <c r="L31" s="16"/>
      <c r="M31" s="16"/>
    </row>
    <row r="32" spans="1:26" ht="15.75" customHeight="1">
      <c r="C32" t="s">
        <v>137</v>
      </c>
      <c r="D32" s="27"/>
      <c r="F32" s="16">
        <v>80</v>
      </c>
      <c r="L32" s="16"/>
      <c r="M32" s="16"/>
    </row>
    <row r="33" spans="1:26" ht="15.75" customHeight="1">
      <c r="C33" t="s">
        <v>138</v>
      </c>
      <c r="D33" s="27"/>
      <c r="F33" s="16">
        <v>20</v>
      </c>
      <c r="L33" s="16"/>
      <c r="M33" s="16"/>
    </row>
    <row r="34" spans="1:26" ht="15.75" customHeight="1">
      <c r="D34" s="27"/>
      <c r="F34" s="16"/>
      <c r="L34" s="16"/>
      <c r="M34" s="16"/>
    </row>
    <row r="35" spans="1:26" ht="15.75" customHeight="1">
      <c r="C35" s="60" t="s">
        <v>139</v>
      </c>
      <c r="D35" s="27"/>
      <c r="F35" s="16"/>
      <c r="L35" s="16"/>
      <c r="M35" s="16"/>
    </row>
    <row r="36" spans="1:26" ht="15.75" customHeight="1">
      <c r="C36" s="60"/>
      <c r="D36" s="27"/>
      <c r="F36" s="16"/>
      <c r="L36" s="16"/>
      <c r="M36" s="16"/>
    </row>
    <row r="37" spans="1:26" ht="15.75" customHeight="1">
      <c r="C37" s="61"/>
      <c r="D37" s="27"/>
      <c r="F37" s="16"/>
      <c r="L37" s="16"/>
      <c r="M37" s="16"/>
    </row>
    <row r="38" spans="1:26" ht="15.75" customHeight="1">
      <c r="C38" s="62" t="s">
        <v>140</v>
      </c>
      <c r="D38" s="27"/>
      <c r="F38" s="16"/>
      <c r="L38" s="16"/>
      <c r="M38" s="16"/>
    </row>
    <row r="39" spans="1:26" ht="15.75" customHeight="1">
      <c r="C39" s="61"/>
      <c r="D39" s="27"/>
      <c r="F39" s="16"/>
      <c r="L39" s="16"/>
      <c r="M39" s="16"/>
    </row>
    <row r="40" spans="1:26" ht="15.75" customHeight="1">
      <c r="C40" s="62" t="s">
        <v>142</v>
      </c>
      <c r="D40" s="27"/>
      <c r="F40" s="16"/>
      <c r="L40" s="16"/>
      <c r="M40" s="16"/>
    </row>
    <row r="41" spans="1:26" ht="15.75" customHeight="1">
      <c r="C41" s="61"/>
      <c r="D41" s="27"/>
      <c r="F41" s="16"/>
      <c r="L41" s="16"/>
      <c r="M41" s="16"/>
    </row>
    <row r="42" spans="1:26" ht="15.75" customHeight="1">
      <c r="C42" s="62" t="s">
        <v>143</v>
      </c>
      <c r="D42" s="27"/>
      <c r="F42" s="16"/>
      <c r="L42" s="16"/>
      <c r="M42" s="16"/>
    </row>
    <row r="43" spans="1:26" ht="15.75" customHeight="1">
      <c r="D43" s="27"/>
      <c r="F43" s="16"/>
      <c r="L43" s="16"/>
      <c r="M43" s="16"/>
    </row>
    <row r="44" spans="1:26" ht="15.75" customHeight="1">
      <c r="D44" s="27"/>
      <c r="F44" s="16"/>
      <c r="L44" s="16"/>
      <c r="M44" s="16"/>
    </row>
    <row r="45" spans="1:26" ht="31.5" customHeight="1">
      <c r="A45" s="2"/>
      <c r="B45" s="2"/>
      <c r="C45" s="2" t="s">
        <v>144</v>
      </c>
      <c r="D45" s="3"/>
      <c r="E45" s="2"/>
      <c r="F45" s="65" t="s">
        <v>145</v>
      </c>
      <c r="G45" s="2"/>
      <c r="H45" s="65" t="s">
        <v>147</v>
      </c>
      <c r="I45" s="65"/>
      <c r="J45" s="65"/>
      <c r="K45" s="65"/>
      <c r="L45" s="65"/>
      <c r="M45" s="65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D46" s="27"/>
      <c r="F46" s="16"/>
      <c r="L46" s="16"/>
      <c r="M46" s="16"/>
    </row>
    <row r="47" spans="1:26" ht="15.75" customHeight="1">
      <c r="D47" s="27"/>
      <c r="F47" s="16"/>
      <c r="L47" s="16"/>
      <c r="M47" s="16"/>
    </row>
    <row r="48" spans="1:26" ht="15.75" customHeight="1">
      <c r="D48" s="27"/>
      <c r="F48" s="16"/>
      <c r="L48" s="16"/>
      <c r="M48" s="16"/>
    </row>
    <row r="49" spans="4:13" ht="15.75" customHeight="1">
      <c r="D49" s="27"/>
      <c r="F49" s="16"/>
      <c r="L49" s="16"/>
      <c r="M49" s="16"/>
    </row>
    <row r="50" spans="4:13" ht="15.75" customHeight="1">
      <c r="D50" s="27"/>
      <c r="F50" s="16"/>
      <c r="L50" s="16"/>
      <c r="M50" s="16"/>
    </row>
    <row r="51" spans="4:13" ht="15.75" customHeight="1">
      <c r="D51" s="27"/>
      <c r="F51" s="16"/>
      <c r="L51" s="16"/>
      <c r="M51" s="16"/>
    </row>
    <row r="52" spans="4:13" ht="15.75" customHeight="1">
      <c r="D52" s="27"/>
      <c r="F52" s="16"/>
      <c r="L52" s="16"/>
      <c r="M52" s="16"/>
    </row>
    <row r="53" spans="4:13" ht="15.75" customHeight="1">
      <c r="D53" s="27"/>
      <c r="F53" s="16"/>
      <c r="L53" s="16"/>
      <c r="M53" s="16"/>
    </row>
    <row r="54" spans="4:13" ht="15.75" customHeight="1">
      <c r="D54" s="27"/>
      <c r="F54" s="16"/>
      <c r="L54" s="16"/>
      <c r="M54" s="16"/>
    </row>
    <row r="55" spans="4:13" ht="15.75" customHeight="1">
      <c r="D55" s="27"/>
      <c r="F55" s="16"/>
      <c r="L55" s="16"/>
      <c r="M55" s="16"/>
    </row>
    <row r="56" spans="4:13" ht="15.75" customHeight="1">
      <c r="D56" s="27"/>
      <c r="F56" s="16"/>
      <c r="L56" s="16"/>
      <c r="M56" s="16"/>
    </row>
    <row r="57" spans="4:13" ht="15.75" customHeight="1">
      <c r="D57" s="27"/>
      <c r="F57" s="16"/>
      <c r="L57" s="16"/>
      <c r="M57" s="16"/>
    </row>
    <row r="58" spans="4:13" ht="15.75" customHeight="1">
      <c r="D58" s="27"/>
      <c r="F58" s="16"/>
      <c r="L58" s="16"/>
      <c r="M58" s="16"/>
    </row>
    <row r="59" spans="4:13" ht="15.75" customHeight="1">
      <c r="D59" s="27"/>
      <c r="F59" s="16"/>
      <c r="L59" s="16"/>
      <c r="M59" s="16"/>
    </row>
    <row r="60" spans="4:13" ht="15.75" customHeight="1">
      <c r="D60" s="27"/>
      <c r="F60" s="16"/>
      <c r="L60" s="16"/>
      <c r="M60" s="16"/>
    </row>
    <row r="61" spans="4:13" ht="15.75" customHeight="1">
      <c r="D61" s="27"/>
      <c r="F61" s="16"/>
      <c r="L61" s="16"/>
      <c r="M61" s="16"/>
    </row>
    <row r="62" spans="4:13" ht="15.75" customHeight="1">
      <c r="D62" s="27"/>
      <c r="F62" s="16"/>
      <c r="L62" s="16"/>
      <c r="M62" s="16"/>
    </row>
    <row r="63" spans="4:13" ht="15.75" customHeight="1">
      <c r="D63" s="27"/>
      <c r="F63" s="16"/>
      <c r="L63" s="16"/>
      <c r="M63" s="16"/>
    </row>
    <row r="64" spans="4:13" ht="15.75" customHeight="1">
      <c r="D64" s="27"/>
      <c r="F64" s="16"/>
      <c r="L64" s="16"/>
      <c r="M64" s="16"/>
    </row>
    <row r="65" spans="4:13" ht="15.75" customHeight="1">
      <c r="D65" s="27"/>
      <c r="F65" s="16"/>
      <c r="L65" s="16"/>
      <c r="M65" s="16"/>
    </row>
    <row r="66" spans="4:13" ht="15.75" customHeight="1">
      <c r="D66" s="27"/>
      <c r="F66" s="16"/>
      <c r="L66" s="16"/>
      <c r="M66" s="16"/>
    </row>
    <row r="67" spans="4:13" ht="15.75" customHeight="1">
      <c r="D67" s="27"/>
      <c r="F67" s="16"/>
      <c r="L67" s="16"/>
      <c r="M67" s="16"/>
    </row>
    <row r="68" spans="4:13" ht="15.75" customHeight="1">
      <c r="D68" s="27"/>
      <c r="F68" s="16"/>
      <c r="L68" s="16"/>
      <c r="M68" s="16"/>
    </row>
    <row r="69" spans="4:13" ht="15.75" customHeight="1">
      <c r="D69" s="27"/>
      <c r="F69" s="16"/>
      <c r="L69" s="16"/>
      <c r="M69" s="16"/>
    </row>
    <row r="70" spans="4:13" ht="15.75" customHeight="1">
      <c r="D70" s="27"/>
      <c r="F70" s="16"/>
      <c r="L70" s="16"/>
      <c r="M70" s="16"/>
    </row>
    <row r="71" spans="4:13" ht="15.75" customHeight="1">
      <c r="D71" s="27"/>
      <c r="F71" s="16"/>
      <c r="L71" s="16"/>
      <c r="M71" s="16"/>
    </row>
    <row r="72" spans="4:13" ht="15.75" customHeight="1">
      <c r="D72" s="27"/>
      <c r="F72" s="16"/>
      <c r="L72" s="16"/>
      <c r="M72" s="16"/>
    </row>
    <row r="73" spans="4:13" ht="15.75" customHeight="1">
      <c r="D73" s="27"/>
      <c r="F73" s="16"/>
      <c r="L73" s="16"/>
      <c r="M73" s="16"/>
    </row>
    <row r="74" spans="4:13" ht="15.75" customHeight="1">
      <c r="D74" s="27"/>
      <c r="F74" s="16"/>
      <c r="L74" s="16"/>
      <c r="M74" s="16"/>
    </row>
    <row r="75" spans="4:13" ht="15.75" customHeight="1">
      <c r="D75" s="27"/>
      <c r="F75" s="16"/>
      <c r="L75" s="16"/>
      <c r="M75" s="16"/>
    </row>
    <row r="76" spans="4:13" ht="15.75" customHeight="1">
      <c r="D76" s="27"/>
      <c r="F76" s="16"/>
      <c r="L76" s="16"/>
      <c r="M76" s="16"/>
    </row>
    <row r="77" spans="4:13" ht="15.75" customHeight="1">
      <c r="D77" s="27"/>
      <c r="F77" s="16"/>
      <c r="L77" s="16"/>
      <c r="M77" s="16"/>
    </row>
    <row r="78" spans="4:13" ht="15.75" customHeight="1">
      <c r="D78" s="27"/>
      <c r="F78" s="16"/>
      <c r="L78" s="16"/>
      <c r="M78" s="16"/>
    </row>
    <row r="79" spans="4:13" ht="15.75" customHeight="1">
      <c r="D79" s="27"/>
      <c r="F79" s="16"/>
      <c r="L79" s="16"/>
      <c r="M79" s="16"/>
    </row>
    <row r="80" spans="4:13" ht="15.75" customHeight="1">
      <c r="D80" s="27"/>
      <c r="F80" s="16"/>
      <c r="L80" s="16"/>
      <c r="M80" s="16"/>
    </row>
    <row r="81" spans="4:13" ht="15.75" customHeight="1">
      <c r="D81" s="27"/>
      <c r="F81" s="16"/>
      <c r="L81" s="16"/>
      <c r="M81" s="16"/>
    </row>
    <row r="82" spans="4:13" ht="15.75" customHeight="1">
      <c r="D82" s="27"/>
      <c r="F82" s="16"/>
      <c r="L82" s="16"/>
      <c r="M82" s="16"/>
    </row>
    <row r="83" spans="4:13" ht="15.75" customHeight="1">
      <c r="D83" s="27"/>
      <c r="F83" s="16"/>
      <c r="L83" s="16"/>
      <c r="M83" s="16"/>
    </row>
    <row r="84" spans="4:13" ht="15.75" customHeight="1">
      <c r="D84" s="27"/>
      <c r="F84" s="16"/>
      <c r="L84" s="16"/>
      <c r="M84" s="16"/>
    </row>
    <row r="85" spans="4:13" ht="15.75" customHeight="1">
      <c r="D85" s="27"/>
      <c r="F85" s="16"/>
      <c r="L85" s="16"/>
      <c r="M85" s="16"/>
    </row>
    <row r="86" spans="4:13" ht="15.75" customHeight="1">
      <c r="D86" s="27"/>
      <c r="F86" s="16"/>
      <c r="L86" s="16"/>
      <c r="M86" s="16"/>
    </row>
    <row r="87" spans="4:13" ht="15.75" customHeight="1">
      <c r="D87" s="27"/>
      <c r="F87" s="16"/>
      <c r="L87" s="16"/>
      <c r="M87" s="16"/>
    </row>
    <row r="88" spans="4:13" ht="15.75" customHeight="1">
      <c r="D88" s="27"/>
      <c r="F88" s="16"/>
      <c r="L88" s="16"/>
      <c r="M88" s="16"/>
    </row>
    <row r="89" spans="4:13" ht="15.75" customHeight="1">
      <c r="D89" s="27"/>
      <c r="F89" s="16"/>
      <c r="L89" s="16"/>
      <c r="M89" s="16"/>
    </row>
    <row r="90" spans="4:13" ht="15.75" customHeight="1">
      <c r="D90" s="27"/>
      <c r="F90" s="16"/>
      <c r="L90" s="16"/>
      <c r="M90" s="16"/>
    </row>
    <row r="91" spans="4:13" ht="15.75" customHeight="1">
      <c r="D91" s="27"/>
      <c r="F91" s="16"/>
      <c r="L91" s="16"/>
      <c r="M91" s="16"/>
    </row>
    <row r="92" spans="4:13" ht="15.75" customHeight="1">
      <c r="D92" s="27"/>
      <c r="F92" s="16"/>
      <c r="L92" s="16"/>
      <c r="M92" s="16"/>
    </row>
    <row r="93" spans="4:13" ht="15.75" customHeight="1">
      <c r="D93" s="27"/>
      <c r="F93" s="16"/>
      <c r="L93" s="16"/>
      <c r="M93" s="16"/>
    </row>
    <row r="94" spans="4:13" ht="15.75" customHeight="1">
      <c r="D94" s="27"/>
      <c r="F94" s="16"/>
      <c r="L94" s="16"/>
      <c r="M94" s="16"/>
    </row>
    <row r="95" spans="4:13" ht="15.75" customHeight="1">
      <c r="D95" s="27"/>
      <c r="F95" s="16"/>
      <c r="L95" s="16"/>
      <c r="M95" s="16"/>
    </row>
    <row r="96" spans="4:13" ht="15.75" customHeight="1">
      <c r="D96" s="27"/>
      <c r="F96" s="16"/>
      <c r="L96" s="16"/>
      <c r="M96" s="16"/>
    </row>
    <row r="97" spans="4:13" ht="15.75" customHeight="1">
      <c r="D97" s="27"/>
      <c r="F97" s="16"/>
      <c r="L97" s="16"/>
      <c r="M97" s="16"/>
    </row>
    <row r="98" spans="4:13" ht="15.75" customHeight="1">
      <c r="D98" s="27"/>
      <c r="F98" s="16"/>
      <c r="L98" s="16"/>
      <c r="M98" s="16"/>
    </row>
    <row r="99" spans="4:13" ht="15.75" customHeight="1">
      <c r="D99" s="27"/>
      <c r="F99" s="16"/>
      <c r="L99" s="16"/>
      <c r="M99" s="16"/>
    </row>
    <row r="100" spans="4:13" ht="15.75" customHeight="1">
      <c r="D100" s="27"/>
      <c r="F100" s="16"/>
      <c r="L100" s="16"/>
      <c r="M100" s="16"/>
    </row>
    <row r="101" spans="4:13" ht="15.75" customHeight="1">
      <c r="D101" s="27"/>
      <c r="F101" s="16"/>
      <c r="L101" s="16"/>
      <c r="M101" s="16"/>
    </row>
    <row r="102" spans="4:13" ht="15.75" customHeight="1">
      <c r="D102" s="27"/>
      <c r="F102" s="16"/>
      <c r="L102" s="16"/>
      <c r="M102" s="16"/>
    </row>
    <row r="103" spans="4:13" ht="15.75" customHeight="1">
      <c r="D103" s="27"/>
      <c r="F103" s="16"/>
      <c r="L103" s="16"/>
      <c r="M103" s="16"/>
    </row>
    <row r="104" spans="4:13" ht="15.75" customHeight="1">
      <c r="D104" s="27"/>
      <c r="F104" s="16"/>
      <c r="L104" s="16"/>
      <c r="M104" s="16"/>
    </row>
    <row r="105" spans="4:13" ht="15.75" customHeight="1">
      <c r="D105" s="27"/>
      <c r="F105" s="16"/>
      <c r="L105" s="16"/>
      <c r="M105" s="16"/>
    </row>
    <row r="106" spans="4:13" ht="15.75" customHeight="1">
      <c r="D106" s="27"/>
      <c r="F106" s="16"/>
      <c r="L106" s="16"/>
      <c r="M106" s="16"/>
    </row>
    <row r="107" spans="4:13" ht="15.75" customHeight="1">
      <c r="D107" s="27"/>
      <c r="F107" s="16"/>
      <c r="L107" s="16"/>
      <c r="M107" s="16"/>
    </row>
    <row r="108" spans="4:13" ht="15.75" customHeight="1">
      <c r="D108" s="27"/>
      <c r="F108" s="16"/>
      <c r="L108" s="16"/>
      <c r="M108" s="16"/>
    </row>
    <row r="109" spans="4:13" ht="15.75" customHeight="1">
      <c r="D109" s="27"/>
      <c r="F109" s="16"/>
      <c r="L109" s="16"/>
      <c r="M109" s="16"/>
    </row>
    <row r="110" spans="4:13" ht="15.75" customHeight="1">
      <c r="D110" s="27"/>
      <c r="F110" s="16"/>
      <c r="L110" s="16"/>
      <c r="M110" s="16"/>
    </row>
    <row r="111" spans="4:13" ht="15.75" customHeight="1">
      <c r="D111" s="27"/>
      <c r="F111" s="16"/>
      <c r="L111" s="16"/>
      <c r="M111" s="16"/>
    </row>
    <row r="112" spans="4:13" ht="15.75" customHeight="1">
      <c r="D112" s="27"/>
      <c r="F112" s="16"/>
      <c r="L112" s="16"/>
      <c r="M112" s="16"/>
    </row>
    <row r="113" spans="4:13" ht="15.75" customHeight="1">
      <c r="D113" s="27"/>
      <c r="F113" s="16"/>
      <c r="L113" s="16"/>
      <c r="M113" s="16"/>
    </row>
    <row r="114" spans="4:13" ht="15.75" customHeight="1">
      <c r="D114" s="27"/>
      <c r="F114" s="16"/>
      <c r="L114" s="16"/>
      <c r="M114" s="16"/>
    </row>
    <row r="115" spans="4:13" ht="15.75" customHeight="1">
      <c r="D115" s="27"/>
      <c r="F115" s="16"/>
      <c r="L115" s="16"/>
      <c r="M115" s="16"/>
    </row>
    <row r="116" spans="4:13" ht="15.75" customHeight="1">
      <c r="D116" s="27"/>
      <c r="F116" s="16"/>
      <c r="L116" s="16"/>
      <c r="M116" s="16"/>
    </row>
    <row r="117" spans="4:13" ht="15.75" customHeight="1">
      <c r="D117" s="27"/>
      <c r="F117" s="16"/>
      <c r="L117" s="16"/>
      <c r="M117" s="16"/>
    </row>
    <row r="118" spans="4:13" ht="15.75" customHeight="1">
      <c r="D118" s="27"/>
      <c r="F118" s="16"/>
      <c r="L118" s="16"/>
      <c r="M118" s="16"/>
    </row>
    <row r="119" spans="4:13" ht="15.75" customHeight="1">
      <c r="D119" s="27"/>
      <c r="F119" s="16"/>
      <c r="L119" s="16"/>
      <c r="M119" s="16"/>
    </row>
    <row r="120" spans="4:13" ht="15.75" customHeight="1">
      <c r="D120" s="27"/>
      <c r="F120" s="16"/>
      <c r="L120" s="16"/>
      <c r="M120" s="16"/>
    </row>
    <row r="121" spans="4:13" ht="15.75" customHeight="1">
      <c r="D121" s="27"/>
      <c r="F121" s="16"/>
      <c r="L121" s="16"/>
      <c r="M121" s="16"/>
    </row>
    <row r="122" spans="4:13" ht="15.75" customHeight="1">
      <c r="D122" s="27"/>
      <c r="F122" s="16"/>
      <c r="L122" s="16"/>
      <c r="M122" s="16"/>
    </row>
    <row r="123" spans="4:13" ht="15.75" customHeight="1">
      <c r="D123" s="27"/>
      <c r="F123" s="16"/>
      <c r="L123" s="16"/>
      <c r="M123" s="16"/>
    </row>
    <row r="124" spans="4:13" ht="15.75" customHeight="1">
      <c r="D124" s="27"/>
      <c r="F124" s="16"/>
      <c r="L124" s="16"/>
      <c r="M124" s="16"/>
    </row>
    <row r="125" spans="4:13" ht="15.75" customHeight="1">
      <c r="D125" s="27"/>
      <c r="F125" s="16"/>
      <c r="L125" s="16"/>
      <c r="M125" s="16"/>
    </row>
    <row r="126" spans="4:13" ht="15.75" customHeight="1">
      <c r="D126" s="27"/>
      <c r="F126" s="16"/>
      <c r="L126" s="16"/>
      <c r="M126" s="16"/>
    </row>
    <row r="127" spans="4:13" ht="15.75" customHeight="1">
      <c r="D127" s="27"/>
      <c r="F127" s="16"/>
      <c r="L127" s="16"/>
      <c r="M127" s="16"/>
    </row>
    <row r="128" spans="4:13" ht="15.75" customHeight="1">
      <c r="D128" s="27"/>
      <c r="F128" s="16"/>
      <c r="L128" s="16"/>
      <c r="M128" s="16"/>
    </row>
    <row r="129" spans="4:13" ht="15.75" customHeight="1">
      <c r="D129" s="27"/>
      <c r="F129" s="16"/>
      <c r="L129" s="16"/>
      <c r="M129" s="16"/>
    </row>
    <row r="130" spans="4:13" ht="15.75" customHeight="1">
      <c r="D130" s="27"/>
      <c r="F130" s="16"/>
      <c r="L130" s="16"/>
      <c r="M130" s="16"/>
    </row>
    <row r="131" spans="4:13" ht="15.75" customHeight="1">
      <c r="D131" s="27"/>
      <c r="F131" s="16"/>
      <c r="L131" s="16"/>
      <c r="M131" s="16"/>
    </row>
    <row r="132" spans="4:13" ht="15.75" customHeight="1">
      <c r="D132" s="27"/>
      <c r="F132" s="16"/>
      <c r="L132" s="16"/>
      <c r="M132" s="16"/>
    </row>
    <row r="133" spans="4:13" ht="15.75" customHeight="1">
      <c r="D133" s="27"/>
      <c r="F133" s="16"/>
      <c r="L133" s="16"/>
      <c r="M133" s="16"/>
    </row>
    <row r="134" spans="4:13" ht="15.75" customHeight="1">
      <c r="D134" s="27"/>
      <c r="F134" s="16"/>
      <c r="L134" s="16"/>
      <c r="M134" s="16"/>
    </row>
    <row r="135" spans="4:13" ht="15.75" customHeight="1">
      <c r="D135" s="27"/>
      <c r="F135" s="16"/>
      <c r="L135" s="16"/>
      <c r="M135" s="16"/>
    </row>
    <row r="136" spans="4:13" ht="15.75" customHeight="1">
      <c r="D136" s="27"/>
      <c r="F136" s="16"/>
      <c r="L136" s="16"/>
      <c r="M136" s="16"/>
    </row>
    <row r="137" spans="4:13" ht="15.75" customHeight="1">
      <c r="D137" s="27"/>
      <c r="F137" s="16"/>
      <c r="L137" s="16"/>
      <c r="M137" s="16"/>
    </row>
    <row r="138" spans="4:13" ht="15.75" customHeight="1">
      <c r="D138" s="27"/>
      <c r="F138" s="16"/>
      <c r="L138" s="16"/>
      <c r="M138" s="16"/>
    </row>
    <row r="139" spans="4:13" ht="15.75" customHeight="1">
      <c r="D139" s="27"/>
      <c r="F139" s="16"/>
      <c r="L139" s="16"/>
      <c r="M139" s="16"/>
    </row>
    <row r="140" spans="4:13" ht="15.75" customHeight="1">
      <c r="D140" s="27"/>
      <c r="F140" s="16"/>
      <c r="L140" s="16"/>
      <c r="M140" s="16"/>
    </row>
    <row r="141" spans="4:13" ht="15.75" customHeight="1">
      <c r="D141" s="27"/>
      <c r="F141" s="16"/>
      <c r="L141" s="16"/>
      <c r="M141" s="16"/>
    </row>
    <row r="142" spans="4:13" ht="15.75" customHeight="1">
      <c r="D142" s="27"/>
      <c r="F142" s="16"/>
      <c r="L142" s="16"/>
      <c r="M142" s="16"/>
    </row>
    <row r="143" spans="4:13" ht="15.75" customHeight="1">
      <c r="D143" s="27"/>
      <c r="F143" s="16"/>
      <c r="L143" s="16"/>
      <c r="M143" s="16"/>
    </row>
    <row r="144" spans="4:13" ht="15.75" customHeight="1">
      <c r="D144" s="27"/>
      <c r="F144" s="16"/>
      <c r="L144" s="16"/>
      <c r="M144" s="16"/>
    </row>
    <row r="145" spans="4:13" ht="15.75" customHeight="1">
      <c r="D145" s="27"/>
      <c r="F145" s="16"/>
      <c r="L145" s="16"/>
      <c r="M145" s="16"/>
    </row>
    <row r="146" spans="4:13" ht="15.75" customHeight="1">
      <c r="D146" s="27"/>
      <c r="F146" s="16"/>
      <c r="L146" s="16"/>
      <c r="M146" s="16"/>
    </row>
    <row r="147" spans="4:13" ht="15.75" customHeight="1">
      <c r="D147" s="27"/>
      <c r="F147" s="16"/>
      <c r="L147" s="16"/>
      <c r="M147" s="16"/>
    </row>
    <row r="148" spans="4:13" ht="15.75" customHeight="1">
      <c r="D148" s="27"/>
      <c r="F148" s="16"/>
      <c r="L148" s="16"/>
      <c r="M148" s="16"/>
    </row>
    <row r="149" spans="4:13" ht="15.75" customHeight="1">
      <c r="D149" s="27"/>
      <c r="F149" s="16"/>
      <c r="L149" s="16"/>
      <c r="M149" s="16"/>
    </row>
    <row r="150" spans="4:13" ht="15.75" customHeight="1">
      <c r="D150" s="27"/>
      <c r="F150" s="16"/>
      <c r="L150" s="16"/>
      <c r="M150" s="16"/>
    </row>
    <row r="151" spans="4:13" ht="15.75" customHeight="1">
      <c r="D151" s="27"/>
      <c r="F151" s="16"/>
      <c r="L151" s="16"/>
      <c r="M151" s="16"/>
    </row>
    <row r="152" spans="4:13" ht="15.75" customHeight="1">
      <c r="D152" s="27"/>
      <c r="F152" s="16"/>
      <c r="L152" s="16"/>
      <c r="M152" s="16"/>
    </row>
    <row r="153" spans="4:13" ht="15.75" customHeight="1">
      <c r="D153" s="27"/>
      <c r="F153" s="16"/>
      <c r="L153" s="16"/>
      <c r="M153" s="16"/>
    </row>
    <row r="154" spans="4:13" ht="15.75" customHeight="1">
      <c r="D154" s="27"/>
      <c r="F154" s="16"/>
      <c r="L154" s="16"/>
      <c r="M154" s="16"/>
    </row>
    <row r="155" spans="4:13" ht="15.75" customHeight="1">
      <c r="D155" s="27"/>
      <c r="F155" s="16"/>
      <c r="L155" s="16"/>
      <c r="M155" s="16"/>
    </row>
    <row r="156" spans="4:13" ht="15.75" customHeight="1">
      <c r="D156" s="27"/>
      <c r="F156" s="16"/>
      <c r="L156" s="16"/>
      <c r="M156" s="16"/>
    </row>
    <row r="157" spans="4:13" ht="15.75" customHeight="1">
      <c r="D157" s="27"/>
      <c r="F157" s="16"/>
      <c r="L157" s="16"/>
      <c r="M157" s="16"/>
    </row>
    <row r="158" spans="4:13" ht="15.75" customHeight="1">
      <c r="D158" s="27"/>
      <c r="F158" s="16"/>
      <c r="L158" s="16"/>
      <c r="M158" s="16"/>
    </row>
    <row r="159" spans="4:13" ht="15.75" customHeight="1">
      <c r="D159" s="27"/>
      <c r="F159" s="16"/>
      <c r="L159" s="16"/>
      <c r="M159" s="16"/>
    </row>
    <row r="160" spans="4:13" ht="15.75" customHeight="1">
      <c r="D160" s="27"/>
      <c r="F160" s="16"/>
      <c r="L160" s="16"/>
      <c r="M160" s="16"/>
    </row>
    <row r="161" spans="4:13" ht="15.75" customHeight="1">
      <c r="D161" s="27"/>
      <c r="F161" s="16"/>
      <c r="L161" s="16"/>
      <c r="M161" s="16"/>
    </row>
    <row r="162" spans="4:13" ht="15.75" customHeight="1">
      <c r="D162" s="27"/>
      <c r="F162" s="16"/>
      <c r="L162" s="16"/>
      <c r="M162" s="16"/>
    </row>
    <row r="163" spans="4:13" ht="15.75" customHeight="1">
      <c r="D163" s="27"/>
      <c r="F163" s="16"/>
      <c r="L163" s="16"/>
      <c r="M163" s="16"/>
    </row>
    <row r="164" spans="4:13" ht="15.75" customHeight="1">
      <c r="D164" s="27"/>
      <c r="F164" s="16"/>
      <c r="L164" s="16"/>
      <c r="M164" s="16"/>
    </row>
    <row r="165" spans="4:13" ht="15.75" customHeight="1">
      <c r="D165" s="27"/>
      <c r="F165" s="16"/>
      <c r="L165" s="16"/>
      <c r="M165" s="16"/>
    </row>
    <row r="166" spans="4:13" ht="15.75" customHeight="1">
      <c r="D166" s="27"/>
      <c r="F166" s="16"/>
      <c r="L166" s="16"/>
      <c r="M166" s="16"/>
    </row>
    <row r="167" spans="4:13" ht="15.75" customHeight="1">
      <c r="D167" s="27"/>
      <c r="F167" s="16"/>
      <c r="L167" s="16"/>
      <c r="M167" s="16"/>
    </row>
    <row r="168" spans="4:13" ht="15.75" customHeight="1">
      <c r="D168" s="27"/>
      <c r="F168" s="16"/>
      <c r="L168" s="16"/>
      <c r="M168" s="16"/>
    </row>
    <row r="169" spans="4:13" ht="15.75" customHeight="1">
      <c r="D169" s="27"/>
      <c r="F169" s="16"/>
      <c r="L169" s="16"/>
      <c r="M169" s="16"/>
    </row>
    <row r="170" spans="4:13" ht="15.75" customHeight="1">
      <c r="D170" s="27"/>
      <c r="F170" s="16"/>
      <c r="L170" s="16"/>
      <c r="M170" s="16"/>
    </row>
    <row r="171" spans="4:13" ht="15.75" customHeight="1">
      <c r="D171" s="27"/>
      <c r="F171" s="16"/>
      <c r="L171" s="16"/>
      <c r="M171" s="16"/>
    </row>
    <row r="172" spans="4:13" ht="15.75" customHeight="1">
      <c r="D172" s="27"/>
      <c r="F172" s="16"/>
      <c r="L172" s="16"/>
      <c r="M172" s="16"/>
    </row>
    <row r="173" spans="4:13" ht="15.75" customHeight="1">
      <c r="D173" s="27"/>
      <c r="F173" s="16"/>
      <c r="L173" s="16"/>
      <c r="M173" s="16"/>
    </row>
    <row r="174" spans="4:13" ht="15.75" customHeight="1">
      <c r="D174" s="27"/>
      <c r="F174" s="16"/>
      <c r="L174" s="16"/>
      <c r="M174" s="16"/>
    </row>
    <row r="175" spans="4:13" ht="15.75" customHeight="1">
      <c r="D175" s="27"/>
      <c r="F175" s="16"/>
      <c r="L175" s="16"/>
      <c r="M175" s="16"/>
    </row>
    <row r="176" spans="4:13" ht="15.75" customHeight="1">
      <c r="D176" s="27"/>
      <c r="F176" s="16"/>
      <c r="L176" s="16"/>
      <c r="M176" s="16"/>
    </row>
    <row r="177" spans="4:13" ht="15.75" customHeight="1">
      <c r="D177" s="27"/>
      <c r="F177" s="16"/>
      <c r="L177" s="16"/>
      <c r="M177" s="16"/>
    </row>
    <row r="178" spans="4:13" ht="15.75" customHeight="1">
      <c r="D178" s="27"/>
      <c r="F178" s="16"/>
      <c r="L178" s="16"/>
      <c r="M178" s="16"/>
    </row>
    <row r="179" spans="4:13" ht="15.75" customHeight="1">
      <c r="D179" s="27"/>
      <c r="F179" s="16"/>
      <c r="L179" s="16"/>
      <c r="M179" s="16"/>
    </row>
    <row r="180" spans="4:13" ht="15.75" customHeight="1">
      <c r="D180" s="27"/>
      <c r="F180" s="16"/>
      <c r="L180" s="16"/>
      <c r="M180" s="16"/>
    </row>
    <row r="181" spans="4:13" ht="15.75" customHeight="1">
      <c r="D181" s="27"/>
      <c r="F181" s="16"/>
      <c r="L181" s="16"/>
      <c r="M181" s="16"/>
    </row>
    <row r="182" spans="4:13" ht="15.75" customHeight="1">
      <c r="D182" s="27"/>
      <c r="F182" s="16"/>
      <c r="L182" s="16"/>
      <c r="M182" s="16"/>
    </row>
    <row r="183" spans="4:13" ht="15.75" customHeight="1">
      <c r="D183" s="27"/>
      <c r="F183" s="16"/>
      <c r="L183" s="16"/>
      <c r="M183" s="16"/>
    </row>
    <row r="184" spans="4:13" ht="15.75" customHeight="1">
      <c r="D184" s="27"/>
      <c r="F184" s="16"/>
      <c r="L184" s="16"/>
      <c r="M184" s="16"/>
    </row>
    <row r="185" spans="4:13" ht="15.75" customHeight="1">
      <c r="D185" s="27"/>
      <c r="F185" s="16"/>
      <c r="L185" s="16"/>
      <c r="M185" s="16"/>
    </row>
    <row r="186" spans="4:13" ht="15.75" customHeight="1">
      <c r="D186" s="27"/>
      <c r="F186" s="16"/>
      <c r="L186" s="16"/>
      <c r="M186" s="16"/>
    </row>
    <row r="187" spans="4:13" ht="15.75" customHeight="1">
      <c r="D187" s="27"/>
      <c r="F187" s="16"/>
      <c r="L187" s="16"/>
      <c r="M187" s="16"/>
    </row>
    <row r="188" spans="4:13" ht="15.75" customHeight="1">
      <c r="D188" s="27"/>
      <c r="F188" s="16"/>
      <c r="L188" s="16"/>
      <c r="M188" s="16"/>
    </row>
    <row r="189" spans="4:13" ht="15.75" customHeight="1">
      <c r="D189" s="27"/>
      <c r="F189" s="16"/>
      <c r="L189" s="16"/>
      <c r="M189" s="16"/>
    </row>
    <row r="190" spans="4:13" ht="15.75" customHeight="1">
      <c r="D190" s="27"/>
      <c r="F190" s="16"/>
      <c r="L190" s="16"/>
      <c r="M190" s="16"/>
    </row>
    <row r="191" spans="4:13" ht="15.75" customHeight="1">
      <c r="D191" s="27"/>
      <c r="F191" s="16"/>
      <c r="L191" s="16"/>
      <c r="M191" s="16"/>
    </row>
    <row r="192" spans="4:13" ht="15.75" customHeight="1">
      <c r="D192" s="27"/>
      <c r="F192" s="16"/>
      <c r="L192" s="16"/>
      <c r="M192" s="16"/>
    </row>
    <row r="193" spans="4:13" ht="15.75" customHeight="1">
      <c r="D193" s="27"/>
      <c r="F193" s="16"/>
      <c r="L193" s="16"/>
      <c r="M193" s="16"/>
    </row>
    <row r="194" spans="4:13" ht="15.75" customHeight="1">
      <c r="D194" s="27"/>
      <c r="F194" s="16"/>
      <c r="L194" s="16"/>
      <c r="M194" s="16"/>
    </row>
    <row r="195" spans="4:13" ht="15.75" customHeight="1">
      <c r="D195" s="27"/>
      <c r="F195" s="16"/>
      <c r="L195" s="16"/>
      <c r="M195" s="16"/>
    </row>
    <row r="196" spans="4:13" ht="15.75" customHeight="1">
      <c r="D196" s="27"/>
      <c r="F196" s="16"/>
      <c r="L196" s="16"/>
      <c r="M196" s="16"/>
    </row>
    <row r="197" spans="4:13" ht="15.75" customHeight="1">
      <c r="D197" s="27"/>
      <c r="F197" s="16"/>
      <c r="L197" s="16"/>
      <c r="M197" s="16"/>
    </row>
    <row r="198" spans="4:13" ht="15.75" customHeight="1">
      <c r="D198" s="27"/>
      <c r="F198" s="16"/>
      <c r="L198" s="16"/>
      <c r="M198" s="16"/>
    </row>
    <row r="199" spans="4:13" ht="15.75" customHeight="1">
      <c r="D199" s="27"/>
      <c r="F199" s="16"/>
      <c r="L199" s="16"/>
      <c r="M199" s="16"/>
    </row>
    <row r="200" spans="4:13" ht="15.75" customHeight="1">
      <c r="D200" s="27"/>
      <c r="F200" s="16"/>
      <c r="L200" s="16"/>
      <c r="M200" s="16"/>
    </row>
    <row r="201" spans="4:13" ht="15.75" customHeight="1">
      <c r="D201" s="27"/>
      <c r="F201" s="16"/>
      <c r="L201" s="16"/>
      <c r="M201" s="16"/>
    </row>
    <row r="202" spans="4:13" ht="15.75" customHeight="1">
      <c r="D202" s="27"/>
      <c r="F202" s="16"/>
      <c r="L202" s="16"/>
      <c r="M202" s="16"/>
    </row>
    <row r="203" spans="4:13" ht="15.75" customHeight="1">
      <c r="D203" s="27"/>
      <c r="F203" s="16"/>
      <c r="L203" s="16"/>
      <c r="M203" s="16"/>
    </row>
    <row r="204" spans="4:13" ht="15.75" customHeight="1">
      <c r="D204" s="27"/>
      <c r="F204" s="16"/>
      <c r="L204" s="16"/>
      <c r="M204" s="16"/>
    </row>
    <row r="205" spans="4:13" ht="15.75" customHeight="1">
      <c r="D205" s="27"/>
      <c r="F205" s="16"/>
      <c r="L205" s="16"/>
      <c r="M205" s="16"/>
    </row>
    <row r="206" spans="4:13" ht="15.75" customHeight="1">
      <c r="D206" s="27"/>
      <c r="F206" s="16"/>
      <c r="L206" s="16"/>
      <c r="M206" s="16"/>
    </row>
    <row r="207" spans="4:13" ht="15.75" customHeight="1">
      <c r="D207" s="27"/>
      <c r="F207" s="16"/>
      <c r="L207" s="16"/>
      <c r="M207" s="16"/>
    </row>
    <row r="208" spans="4:13" ht="15.75" customHeight="1">
      <c r="D208" s="27"/>
      <c r="F208" s="16"/>
      <c r="L208" s="16"/>
      <c r="M208" s="16"/>
    </row>
    <row r="209" spans="4:13" ht="15.75" customHeight="1">
      <c r="D209" s="27"/>
      <c r="F209" s="16"/>
      <c r="L209" s="16"/>
      <c r="M209" s="16"/>
    </row>
    <row r="210" spans="4:13" ht="15.75" customHeight="1">
      <c r="D210" s="27"/>
      <c r="F210" s="16"/>
      <c r="L210" s="16"/>
      <c r="M210" s="16"/>
    </row>
    <row r="211" spans="4:13" ht="15.75" customHeight="1">
      <c r="D211" s="27"/>
      <c r="F211" s="16"/>
      <c r="L211" s="16"/>
      <c r="M211" s="16"/>
    </row>
    <row r="212" spans="4:13" ht="15.75" customHeight="1">
      <c r="D212" s="27"/>
      <c r="F212" s="16"/>
      <c r="L212" s="16"/>
      <c r="M212" s="16"/>
    </row>
    <row r="213" spans="4:13" ht="15.75" customHeight="1">
      <c r="D213" s="27"/>
      <c r="F213" s="16"/>
      <c r="L213" s="16"/>
      <c r="M213" s="16"/>
    </row>
    <row r="214" spans="4:13" ht="15.75" customHeight="1">
      <c r="D214" s="27"/>
      <c r="F214" s="16"/>
      <c r="L214" s="16"/>
      <c r="M214" s="16"/>
    </row>
    <row r="215" spans="4:13" ht="15.75" customHeight="1">
      <c r="D215" s="27"/>
      <c r="F215" s="16"/>
      <c r="L215" s="16"/>
      <c r="M215" s="16"/>
    </row>
    <row r="216" spans="4:13" ht="15.75" customHeight="1">
      <c r="D216" s="27"/>
      <c r="F216" s="16"/>
      <c r="L216" s="16"/>
      <c r="M216" s="16"/>
    </row>
    <row r="217" spans="4:13" ht="15.75" customHeight="1">
      <c r="D217" s="27"/>
      <c r="F217" s="16"/>
      <c r="L217" s="16"/>
      <c r="M217" s="16"/>
    </row>
    <row r="218" spans="4:13" ht="15.75" customHeight="1">
      <c r="D218" s="27"/>
      <c r="F218" s="16"/>
      <c r="L218" s="16"/>
      <c r="M218" s="16"/>
    </row>
    <row r="219" spans="4:13" ht="15.75" customHeight="1">
      <c r="D219" s="27"/>
      <c r="F219" s="16"/>
      <c r="L219" s="16"/>
      <c r="M219" s="16"/>
    </row>
    <row r="220" spans="4:13" ht="15.75" customHeight="1">
      <c r="D220" s="27"/>
      <c r="F220" s="16"/>
      <c r="L220" s="16"/>
      <c r="M220" s="16"/>
    </row>
    <row r="221" spans="4:13" ht="15.75" customHeight="1">
      <c r="D221" s="27"/>
      <c r="F221" s="16"/>
      <c r="L221" s="16"/>
      <c r="M221" s="16"/>
    </row>
    <row r="222" spans="4:13" ht="15.75" customHeight="1">
      <c r="D222" s="27"/>
      <c r="F222" s="16"/>
      <c r="L222" s="16"/>
      <c r="M222" s="16"/>
    </row>
    <row r="223" spans="4:13" ht="15.75" customHeight="1">
      <c r="D223" s="27"/>
      <c r="F223" s="16"/>
      <c r="L223" s="16"/>
      <c r="M223" s="16"/>
    </row>
    <row r="224" spans="4:13" ht="15.75" customHeight="1">
      <c r="D224" s="27"/>
      <c r="F224" s="16"/>
      <c r="L224" s="16"/>
      <c r="M224" s="16"/>
    </row>
    <row r="225" spans="4:13" ht="15.75" customHeight="1">
      <c r="D225" s="27"/>
      <c r="F225" s="16"/>
      <c r="L225" s="16"/>
      <c r="M225" s="16"/>
    </row>
    <row r="226" spans="4:13" ht="15.75" customHeight="1">
      <c r="D226" s="27"/>
      <c r="F226" s="16"/>
      <c r="L226" s="16"/>
      <c r="M226" s="16"/>
    </row>
    <row r="227" spans="4:13" ht="15.75" customHeight="1">
      <c r="D227" s="27"/>
      <c r="F227" s="16"/>
      <c r="L227" s="16"/>
      <c r="M227" s="16"/>
    </row>
    <row r="228" spans="4:13" ht="15.75" customHeight="1">
      <c r="D228" s="27"/>
      <c r="F228" s="16"/>
      <c r="L228" s="16"/>
      <c r="M228" s="16"/>
    </row>
    <row r="229" spans="4:13" ht="15.75" customHeight="1">
      <c r="D229" s="27"/>
      <c r="F229" s="16"/>
      <c r="L229" s="16"/>
      <c r="M229" s="16"/>
    </row>
    <row r="230" spans="4:13" ht="15.75" customHeight="1">
      <c r="D230" s="27"/>
      <c r="F230" s="16"/>
      <c r="L230" s="16"/>
      <c r="M230" s="16"/>
    </row>
    <row r="231" spans="4:13" ht="15.75" customHeight="1">
      <c r="D231" s="27"/>
      <c r="F231" s="16"/>
      <c r="L231" s="16"/>
      <c r="M231" s="16"/>
    </row>
    <row r="232" spans="4:13" ht="15.75" customHeight="1">
      <c r="D232" s="27"/>
      <c r="F232" s="16"/>
      <c r="L232" s="16"/>
      <c r="M232" s="16"/>
    </row>
    <row r="233" spans="4:13" ht="15.75" customHeight="1">
      <c r="D233" s="27"/>
      <c r="F233" s="16"/>
      <c r="L233" s="16"/>
      <c r="M233" s="16"/>
    </row>
    <row r="234" spans="4:13" ht="15.75" customHeight="1">
      <c r="D234" s="27"/>
      <c r="F234" s="16"/>
      <c r="L234" s="16"/>
      <c r="M234" s="16"/>
    </row>
    <row r="235" spans="4:13" ht="15.75" customHeight="1">
      <c r="D235" s="27"/>
      <c r="F235" s="16"/>
      <c r="L235" s="16"/>
      <c r="M235" s="16"/>
    </row>
    <row r="236" spans="4:13" ht="15.75" customHeight="1">
      <c r="D236" s="27"/>
      <c r="F236" s="16"/>
      <c r="L236" s="16"/>
      <c r="M236" s="16"/>
    </row>
    <row r="237" spans="4:13" ht="15.75" customHeight="1">
      <c r="D237" s="27"/>
      <c r="F237" s="16"/>
      <c r="L237" s="16"/>
      <c r="M237" s="16"/>
    </row>
    <row r="238" spans="4:13" ht="15.75" customHeight="1">
      <c r="D238" s="27"/>
      <c r="F238" s="16"/>
      <c r="L238" s="16"/>
      <c r="M238" s="16"/>
    </row>
    <row r="239" spans="4:13" ht="15.75" customHeight="1">
      <c r="D239" s="27"/>
      <c r="F239" s="16"/>
      <c r="L239" s="16"/>
      <c r="M239" s="16"/>
    </row>
    <row r="240" spans="4:13" ht="15.75" customHeight="1">
      <c r="D240" s="27"/>
      <c r="F240" s="16"/>
      <c r="L240" s="16"/>
      <c r="M240" s="16"/>
    </row>
    <row r="241" spans="4:13" ht="15.75" customHeight="1">
      <c r="D241" s="27"/>
      <c r="F241" s="16"/>
      <c r="L241" s="16"/>
      <c r="M241" s="16"/>
    </row>
    <row r="242" spans="4:13" ht="15.75" customHeight="1">
      <c r="D242" s="27"/>
      <c r="F242" s="16"/>
      <c r="L242" s="16"/>
      <c r="M242" s="16"/>
    </row>
    <row r="243" spans="4:13" ht="15.75" customHeight="1">
      <c r="D243" s="27"/>
      <c r="F243" s="16"/>
      <c r="L243" s="16"/>
      <c r="M243" s="16"/>
    </row>
    <row r="244" spans="4:13" ht="15.75" customHeight="1">
      <c r="D244" s="27"/>
      <c r="F244" s="16"/>
      <c r="L244" s="16"/>
      <c r="M244" s="16"/>
    </row>
    <row r="245" spans="4:13" ht="15.75" customHeight="1">
      <c r="D245" s="27"/>
      <c r="F245" s="16"/>
      <c r="L245" s="16"/>
      <c r="M245" s="16"/>
    </row>
    <row r="246" spans="4:13" ht="15.75" customHeight="1">
      <c r="D246" s="27"/>
      <c r="F246" s="16"/>
      <c r="L246" s="16"/>
      <c r="M246" s="16"/>
    </row>
    <row r="247" spans="4:13" ht="15.75" customHeight="1">
      <c r="D247" s="27"/>
      <c r="F247" s="16"/>
      <c r="L247" s="16"/>
      <c r="M247" s="16"/>
    </row>
    <row r="248" spans="4:13" ht="15.75" customHeight="1">
      <c r="D248" s="27"/>
      <c r="F248" s="16"/>
      <c r="L248" s="16"/>
      <c r="M248" s="16"/>
    </row>
    <row r="249" spans="4:13" ht="15.75" customHeight="1">
      <c r="D249" s="27"/>
      <c r="F249" s="16"/>
      <c r="L249" s="16"/>
      <c r="M249" s="16"/>
    </row>
    <row r="250" spans="4:13" ht="15.75" customHeight="1">
      <c r="D250" s="27"/>
      <c r="F250" s="16"/>
      <c r="L250" s="16"/>
      <c r="M250" s="16"/>
    </row>
    <row r="251" spans="4:13" ht="15.75" customHeight="1">
      <c r="D251" s="27"/>
      <c r="F251" s="16"/>
      <c r="L251" s="16"/>
      <c r="M251" s="16"/>
    </row>
    <row r="252" spans="4:13" ht="15.75" customHeight="1">
      <c r="D252" s="27"/>
      <c r="F252" s="16"/>
      <c r="L252" s="16"/>
      <c r="M252" s="16"/>
    </row>
    <row r="253" spans="4:13" ht="15.75" customHeight="1">
      <c r="D253" s="27"/>
      <c r="F253" s="16"/>
      <c r="L253" s="16"/>
      <c r="M253" s="16"/>
    </row>
    <row r="254" spans="4:13" ht="15.75" customHeight="1">
      <c r="D254" s="27"/>
      <c r="F254" s="16"/>
      <c r="L254" s="16"/>
      <c r="M254" s="16"/>
    </row>
    <row r="255" spans="4:13" ht="15.75" customHeight="1">
      <c r="D255" s="27"/>
      <c r="F255" s="16"/>
      <c r="L255" s="16"/>
      <c r="M255" s="16"/>
    </row>
    <row r="256" spans="4:13" ht="15.75" customHeight="1">
      <c r="D256" s="27"/>
      <c r="F256" s="16"/>
      <c r="L256" s="16"/>
      <c r="M256" s="16"/>
    </row>
    <row r="257" spans="4:13" ht="15.75" customHeight="1">
      <c r="D257" s="27"/>
      <c r="F257" s="16"/>
      <c r="L257" s="16"/>
      <c r="M257" s="16"/>
    </row>
    <row r="258" spans="4:13" ht="15.75" customHeight="1">
      <c r="D258" s="27"/>
      <c r="F258" s="16"/>
      <c r="L258" s="16"/>
      <c r="M258" s="16"/>
    </row>
    <row r="259" spans="4:13" ht="15.75" customHeight="1">
      <c r="D259" s="27"/>
      <c r="F259" s="16"/>
      <c r="L259" s="16"/>
      <c r="M259" s="16"/>
    </row>
    <row r="260" spans="4:13" ht="15.75" customHeight="1">
      <c r="D260" s="27"/>
      <c r="F260" s="16"/>
      <c r="L260" s="16"/>
      <c r="M260" s="16"/>
    </row>
    <row r="261" spans="4:13" ht="15.75" customHeight="1">
      <c r="D261" s="27"/>
      <c r="F261" s="16"/>
      <c r="L261" s="16"/>
      <c r="M261" s="16"/>
    </row>
    <row r="262" spans="4:13" ht="15.75" customHeight="1">
      <c r="D262" s="27"/>
      <c r="F262" s="16"/>
      <c r="L262" s="16"/>
      <c r="M262" s="16"/>
    </row>
    <row r="263" spans="4:13" ht="15.75" customHeight="1">
      <c r="D263" s="27"/>
      <c r="F263" s="16"/>
      <c r="L263" s="16"/>
      <c r="M263" s="16"/>
    </row>
    <row r="264" spans="4:13" ht="15.75" customHeight="1">
      <c r="D264" s="27"/>
      <c r="F264" s="16"/>
      <c r="L264" s="16"/>
      <c r="M264" s="16"/>
    </row>
    <row r="265" spans="4:13" ht="15.75" customHeight="1">
      <c r="D265" s="27"/>
      <c r="F265" s="16"/>
      <c r="L265" s="16"/>
      <c r="M265" s="16"/>
    </row>
    <row r="266" spans="4:13" ht="15.75" customHeight="1">
      <c r="D266" s="27"/>
      <c r="F266" s="16"/>
      <c r="L266" s="16"/>
      <c r="M266" s="16"/>
    </row>
    <row r="267" spans="4:13" ht="15.75" customHeight="1">
      <c r="D267" s="27"/>
      <c r="F267" s="16"/>
      <c r="L267" s="16"/>
      <c r="M267" s="16"/>
    </row>
    <row r="268" spans="4:13" ht="15.75" customHeight="1">
      <c r="D268" s="27"/>
      <c r="F268" s="16"/>
      <c r="L268" s="16"/>
      <c r="M268" s="16"/>
    </row>
    <row r="269" spans="4:13" ht="15.75" customHeight="1">
      <c r="D269" s="27"/>
      <c r="F269" s="16"/>
      <c r="L269" s="16"/>
      <c r="M269" s="16"/>
    </row>
    <row r="270" spans="4:13" ht="15.75" customHeight="1">
      <c r="D270" s="27"/>
      <c r="F270" s="16"/>
      <c r="L270" s="16"/>
      <c r="M270" s="16"/>
    </row>
    <row r="271" spans="4:13" ht="15.75" customHeight="1">
      <c r="D271" s="27"/>
      <c r="F271" s="16"/>
      <c r="L271" s="16"/>
      <c r="M271" s="16"/>
    </row>
    <row r="272" spans="4:13" ht="15.75" customHeight="1">
      <c r="D272" s="27"/>
      <c r="F272" s="16"/>
      <c r="L272" s="16"/>
      <c r="M272" s="16"/>
    </row>
    <row r="273" spans="4:13" ht="15.75" customHeight="1">
      <c r="D273" s="27"/>
      <c r="F273" s="16"/>
      <c r="L273" s="16"/>
      <c r="M273" s="16"/>
    </row>
    <row r="274" spans="4:13" ht="15.75" customHeight="1">
      <c r="D274" s="27"/>
      <c r="F274" s="16"/>
      <c r="L274" s="16"/>
      <c r="M274" s="16"/>
    </row>
    <row r="275" spans="4:13" ht="15.75" customHeight="1">
      <c r="D275" s="27"/>
      <c r="F275" s="16"/>
      <c r="L275" s="16"/>
      <c r="M275" s="16"/>
    </row>
    <row r="276" spans="4:13" ht="15.75" customHeight="1">
      <c r="D276" s="27"/>
      <c r="F276" s="16"/>
      <c r="L276" s="16"/>
      <c r="M276" s="16"/>
    </row>
    <row r="277" spans="4:13" ht="15.75" customHeight="1">
      <c r="D277" s="27"/>
      <c r="F277" s="16"/>
      <c r="L277" s="16"/>
      <c r="M277" s="16"/>
    </row>
    <row r="278" spans="4:13" ht="15.75" customHeight="1">
      <c r="D278" s="27"/>
      <c r="F278" s="16"/>
      <c r="L278" s="16"/>
      <c r="M278" s="16"/>
    </row>
    <row r="279" spans="4:13" ht="15.75" customHeight="1">
      <c r="D279" s="27"/>
      <c r="F279" s="16"/>
      <c r="L279" s="16"/>
      <c r="M279" s="16"/>
    </row>
    <row r="280" spans="4:13" ht="15.75" customHeight="1">
      <c r="D280" s="27"/>
      <c r="F280" s="16"/>
      <c r="L280" s="16"/>
      <c r="M280" s="16"/>
    </row>
    <row r="281" spans="4:13" ht="15.75" customHeight="1">
      <c r="D281" s="27"/>
      <c r="F281" s="16"/>
      <c r="L281" s="16"/>
      <c r="M281" s="16"/>
    </row>
    <row r="282" spans="4:13" ht="15.75" customHeight="1">
      <c r="D282" s="27"/>
      <c r="F282" s="16"/>
      <c r="L282" s="16"/>
      <c r="M282" s="16"/>
    </row>
    <row r="283" spans="4:13" ht="15.75" customHeight="1">
      <c r="D283" s="27"/>
      <c r="F283" s="16"/>
      <c r="L283" s="16"/>
      <c r="M283" s="16"/>
    </row>
    <row r="284" spans="4:13" ht="15.75" customHeight="1">
      <c r="D284" s="27"/>
      <c r="F284" s="16"/>
      <c r="L284" s="16"/>
      <c r="M284" s="16"/>
    </row>
    <row r="285" spans="4:13" ht="15.75" customHeight="1">
      <c r="D285" s="27"/>
      <c r="F285" s="16"/>
      <c r="L285" s="16"/>
      <c r="M285" s="16"/>
    </row>
    <row r="286" spans="4:13" ht="15.75" customHeight="1">
      <c r="D286" s="27"/>
      <c r="F286" s="16"/>
      <c r="L286" s="16"/>
      <c r="M286" s="16"/>
    </row>
    <row r="287" spans="4:13" ht="15.75" customHeight="1">
      <c r="D287" s="27"/>
      <c r="F287" s="16"/>
      <c r="L287" s="16"/>
      <c r="M287" s="16"/>
    </row>
    <row r="288" spans="4:13" ht="15.75" customHeight="1">
      <c r="D288" s="27"/>
      <c r="F288" s="16"/>
      <c r="L288" s="16"/>
      <c r="M288" s="16"/>
    </row>
    <row r="289" spans="4:13" ht="15.75" customHeight="1">
      <c r="D289" s="27"/>
      <c r="F289" s="16"/>
      <c r="L289" s="16"/>
      <c r="M289" s="16"/>
    </row>
    <row r="290" spans="4:13" ht="15.75" customHeight="1">
      <c r="D290" s="27"/>
      <c r="F290" s="16"/>
      <c r="L290" s="16"/>
      <c r="M290" s="16"/>
    </row>
    <row r="291" spans="4:13" ht="15.75" customHeight="1">
      <c r="D291" s="27"/>
      <c r="F291" s="16"/>
      <c r="L291" s="16"/>
      <c r="M291" s="16"/>
    </row>
    <row r="292" spans="4:13" ht="15.75" customHeight="1">
      <c r="D292" s="27"/>
      <c r="F292" s="16"/>
      <c r="L292" s="16"/>
      <c r="M292" s="16"/>
    </row>
    <row r="293" spans="4:13" ht="15.75" customHeight="1">
      <c r="D293" s="27"/>
      <c r="F293" s="16"/>
      <c r="L293" s="16"/>
      <c r="M293" s="16"/>
    </row>
    <row r="294" spans="4:13" ht="15.75" customHeight="1">
      <c r="D294" s="27"/>
      <c r="F294" s="16"/>
      <c r="L294" s="16"/>
      <c r="M294" s="16"/>
    </row>
    <row r="295" spans="4:13" ht="15.75" customHeight="1">
      <c r="D295" s="27"/>
      <c r="F295" s="16"/>
      <c r="L295" s="16"/>
      <c r="M295" s="16"/>
    </row>
    <row r="296" spans="4:13" ht="15.75" customHeight="1">
      <c r="D296" s="27"/>
      <c r="F296" s="16"/>
      <c r="L296" s="16"/>
      <c r="M296" s="16"/>
    </row>
    <row r="297" spans="4:13" ht="15.75" customHeight="1">
      <c r="D297" s="27"/>
      <c r="F297" s="16"/>
      <c r="L297" s="16"/>
      <c r="M297" s="16"/>
    </row>
    <row r="298" spans="4:13" ht="15.75" customHeight="1">
      <c r="D298" s="27"/>
      <c r="F298" s="16"/>
      <c r="L298" s="16"/>
      <c r="M298" s="16"/>
    </row>
    <row r="299" spans="4:13" ht="15.75" customHeight="1">
      <c r="D299" s="27"/>
      <c r="F299" s="16"/>
      <c r="L299" s="16"/>
      <c r="M299" s="16"/>
    </row>
    <row r="300" spans="4:13" ht="15.75" customHeight="1">
      <c r="D300" s="27"/>
      <c r="F300" s="16"/>
      <c r="L300" s="16"/>
      <c r="M300" s="16"/>
    </row>
    <row r="301" spans="4:13" ht="15.75" customHeight="1">
      <c r="D301" s="27"/>
      <c r="F301" s="16"/>
      <c r="L301" s="16"/>
      <c r="M301" s="16"/>
    </row>
    <row r="302" spans="4:13" ht="15.75" customHeight="1">
      <c r="D302" s="27"/>
      <c r="F302" s="16"/>
      <c r="L302" s="16"/>
      <c r="M302" s="16"/>
    </row>
    <row r="303" spans="4:13" ht="15.75" customHeight="1">
      <c r="D303" s="27"/>
      <c r="F303" s="16"/>
      <c r="L303" s="16"/>
      <c r="M303" s="16"/>
    </row>
    <row r="304" spans="4:13" ht="15.75" customHeight="1">
      <c r="D304" s="27"/>
      <c r="F304" s="16"/>
      <c r="L304" s="16"/>
      <c r="M304" s="16"/>
    </row>
    <row r="305" spans="4:13" ht="15.75" customHeight="1">
      <c r="D305" s="27"/>
      <c r="F305" s="16"/>
      <c r="L305" s="16"/>
      <c r="M305" s="16"/>
    </row>
    <row r="306" spans="4:13" ht="15.75" customHeight="1">
      <c r="D306" s="27"/>
      <c r="F306" s="16"/>
      <c r="L306" s="16"/>
      <c r="M306" s="16"/>
    </row>
    <row r="307" spans="4:13" ht="15.75" customHeight="1">
      <c r="D307" s="27"/>
      <c r="F307" s="16"/>
      <c r="L307" s="16"/>
      <c r="M307" s="16"/>
    </row>
    <row r="308" spans="4:13" ht="15.75" customHeight="1">
      <c r="D308" s="27"/>
      <c r="F308" s="16"/>
      <c r="L308" s="16"/>
      <c r="M308" s="16"/>
    </row>
    <row r="309" spans="4:13" ht="15.75" customHeight="1">
      <c r="D309" s="27"/>
      <c r="F309" s="16"/>
      <c r="L309" s="16"/>
      <c r="M309" s="16"/>
    </row>
    <row r="310" spans="4:13" ht="15.75" customHeight="1">
      <c r="D310" s="27"/>
      <c r="F310" s="16"/>
      <c r="L310" s="16"/>
      <c r="M310" s="16"/>
    </row>
    <row r="311" spans="4:13" ht="15.75" customHeight="1">
      <c r="D311" s="27"/>
      <c r="F311" s="16"/>
      <c r="L311" s="16"/>
      <c r="M311" s="16"/>
    </row>
    <row r="312" spans="4:13" ht="15.75" customHeight="1">
      <c r="D312" s="27"/>
      <c r="F312" s="16"/>
      <c r="L312" s="16"/>
      <c r="M312" s="16"/>
    </row>
    <row r="313" spans="4:13" ht="15.75" customHeight="1">
      <c r="D313" s="27"/>
      <c r="F313" s="16"/>
      <c r="L313" s="16"/>
      <c r="M313" s="16"/>
    </row>
    <row r="314" spans="4:13" ht="15.75" customHeight="1">
      <c r="D314" s="27"/>
      <c r="F314" s="16"/>
      <c r="L314" s="16"/>
      <c r="M314" s="16"/>
    </row>
    <row r="315" spans="4:13" ht="15.75" customHeight="1">
      <c r="D315" s="27"/>
      <c r="F315" s="16"/>
      <c r="L315" s="16"/>
      <c r="M315" s="16"/>
    </row>
    <row r="316" spans="4:13" ht="15.75" customHeight="1">
      <c r="D316" s="27"/>
      <c r="F316" s="16"/>
      <c r="L316" s="16"/>
      <c r="M316" s="16"/>
    </row>
    <row r="317" spans="4:13" ht="15.75" customHeight="1">
      <c r="D317" s="27"/>
      <c r="F317" s="16"/>
      <c r="L317" s="16"/>
      <c r="M317" s="16"/>
    </row>
    <row r="318" spans="4:13" ht="15.75" customHeight="1">
      <c r="D318" s="27"/>
      <c r="F318" s="16"/>
      <c r="L318" s="16"/>
      <c r="M318" s="16"/>
    </row>
    <row r="319" spans="4:13" ht="15.75" customHeight="1">
      <c r="D319" s="27"/>
      <c r="F319" s="16"/>
      <c r="L319" s="16"/>
      <c r="M319" s="16"/>
    </row>
    <row r="320" spans="4:13" ht="15.75" customHeight="1">
      <c r="D320" s="27"/>
      <c r="F320" s="16"/>
      <c r="L320" s="16"/>
      <c r="M320" s="16"/>
    </row>
    <row r="321" spans="4:13" ht="15.75" customHeight="1">
      <c r="D321" s="27"/>
      <c r="F321" s="16"/>
      <c r="L321" s="16"/>
      <c r="M321" s="16"/>
    </row>
    <row r="322" spans="4:13" ht="15.75" customHeight="1">
      <c r="D322" s="27"/>
      <c r="F322" s="16"/>
      <c r="L322" s="16"/>
      <c r="M322" s="16"/>
    </row>
    <row r="323" spans="4:13" ht="15.75" customHeight="1">
      <c r="D323" s="27"/>
      <c r="F323" s="16"/>
      <c r="L323" s="16"/>
      <c r="M323" s="16"/>
    </row>
    <row r="324" spans="4:13" ht="15.75" customHeight="1">
      <c r="D324" s="27"/>
      <c r="F324" s="16"/>
      <c r="L324" s="16"/>
      <c r="M324" s="16"/>
    </row>
    <row r="325" spans="4:13" ht="15.75" customHeight="1">
      <c r="D325" s="27"/>
      <c r="F325" s="16"/>
      <c r="L325" s="16"/>
      <c r="M325" s="16"/>
    </row>
    <row r="326" spans="4:13" ht="15.75" customHeight="1">
      <c r="D326" s="27"/>
      <c r="F326" s="16"/>
      <c r="L326" s="16"/>
      <c r="M326" s="16"/>
    </row>
    <row r="327" spans="4:13" ht="15.75" customHeight="1">
      <c r="D327" s="27"/>
      <c r="F327" s="16"/>
      <c r="L327" s="16"/>
      <c r="M327" s="16"/>
    </row>
    <row r="328" spans="4:13" ht="15.75" customHeight="1">
      <c r="D328" s="27"/>
      <c r="F328" s="16"/>
      <c r="L328" s="16"/>
      <c r="M328" s="16"/>
    </row>
    <row r="329" spans="4:13" ht="15.75" customHeight="1">
      <c r="D329" s="27"/>
      <c r="F329" s="16"/>
      <c r="L329" s="16"/>
      <c r="M329" s="16"/>
    </row>
    <row r="330" spans="4:13" ht="15.75" customHeight="1">
      <c r="D330" s="27"/>
      <c r="F330" s="16"/>
      <c r="L330" s="16"/>
      <c r="M330" s="16"/>
    </row>
    <row r="331" spans="4:13" ht="15.75" customHeight="1">
      <c r="D331" s="27"/>
      <c r="F331" s="16"/>
      <c r="L331" s="16"/>
      <c r="M331" s="16"/>
    </row>
    <row r="332" spans="4:13" ht="15.75" customHeight="1">
      <c r="D332" s="27"/>
      <c r="F332" s="16"/>
      <c r="L332" s="16"/>
      <c r="M332" s="16"/>
    </row>
    <row r="333" spans="4:13" ht="15.75" customHeight="1">
      <c r="D333" s="27"/>
      <c r="F333" s="16"/>
      <c r="L333" s="16"/>
      <c r="M333" s="16"/>
    </row>
    <row r="334" spans="4:13" ht="15.75" customHeight="1">
      <c r="D334" s="27"/>
      <c r="F334" s="16"/>
      <c r="L334" s="16"/>
      <c r="M334" s="16"/>
    </row>
    <row r="335" spans="4:13" ht="15.75" customHeight="1">
      <c r="D335" s="27"/>
      <c r="F335" s="16"/>
      <c r="L335" s="16"/>
      <c r="M335" s="16"/>
    </row>
    <row r="336" spans="4:13" ht="15.75" customHeight="1">
      <c r="D336" s="27"/>
      <c r="F336" s="16"/>
      <c r="L336" s="16"/>
      <c r="M336" s="16"/>
    </row>
    <row r="337" spans="4:13" ht="15.75" customHeight="1">
      <c r="D337" s="27"/>
      <c r="F337" s="16"/>
      <c r="L337" s="16"/>
      <c r="M337" s="16"/>
    </row>
    <row r="338" spans="4:13" ht="15.75" customHeight="1">
      <c r="D338" s="27"/>
      <c r="F338" s="16"/>
      <c r="L338" s="16"/>
      <c r="M338" s="16"/>
    </row>
    <row r="339" spans="4:13" ht="15.75" customHeight="1">
      <c r="D339" s="27"/>
      <c r="F339" s="16"/>
      <c r="L339" s="16"/>
      <c r="M339" s="16"/>
    </row>
    <row r="340" spans="4:13" ht="15.75" customHeight="1">
      <c r="D340" s="27"/>
      <c r="F340" s="16"/>
      <c r="L340" s="16"/>
      <c r="M340" s="16"/>
    </row>
    <row r="341" spans="4:13" ht="15.75" customHeight="1">
      <c r="D341" s="27"/>
      <c r="F341" s="16"/>
      <c r="L341" s="16"/>
      <c r="M341" s="16"/>
    </row>
    <row r="342" spans="4:13" ht="15.75" customHeight="1">
      <c r="D342" s="27"/>
      <c r="F342" s="16"/>
      <c r="L342" s="16"/>
      <c r="M342" s="16"/>
    </row>
    <row r="343" spans="4:13" ht="15.75" customHeight="1">
      <c r="D343" s="27"/>
      <c r="F343" s="16"/>
      <c r="L343" s="16"/>
      <c r="M343" s="16"/>
    </row>
    <row r="344" spans="4:13" ht="15.75" customHeight="1">
      <c r="D344" s="27"/>
      <c r="F344" s="16"/>
      <c r="L344" s="16"/>
      <c r="M344" s="16"/>
    </row>
    <row r="345" spans="4:13" ht="15.75" customHeight="1">
      <c r="D345" s="27"/>
      <c r="F345" s="16"/>
      <c r="L345" s="16"/>
      <c r="M345" s="16"/>
    </row>
    <row r="346" spans="4:13" ht="15.75" customHeight="1">
      <c r="D346" s="27"/>
      <c r="F346" s="16"/>
      <c r="L346" s="16"/>
      <c r="M346" s="16"/>
    </row>
    <row r="347" spans="4:13" ht="15.75" customHeight="1">
      <c r="D347" s="27"/>
      <c r="F347" s="16"/>
      <c r="L347" s="16"/>
      <c r="M347" s="16"/>
    </row>
    <row r="348" spans="4:13" ht="15.75" customHeight="1">
      <c r="D348" s="27"/>
      <c r="F348" s="16"/>
      <c r="L348" s="16"/>
      <c r="M348" s="16"/>
    </row>
    <row r="349" spans="4:13" ht="15.75" customHeight="1">
      <c r="D349" s="27"/>
      <c r="F349" s="16"/>
      <c r="L349" s="16"/>
      <c r="M349" s="16"/>
    </row>
    <row r="350" spans="4:13" ht="15.75" customHeight="1">
      <c r="D350" s="27"/>
      <c r="F350" s="16"/>
      <c r="L350" s="16"/>
      <c r="M350" s="16"/>
    </row>
    <row r="351" spans="4:13" ht="15.75" customHeight="1">
      <c r="D351" s="27"/>
      <c r="F351" s="16"/>
      <c r="L351" s="16"/>
      <c r="M351" s="16"/>
    </row>
    <row r="352" spans="4:13" ht="15.75" customHeight="1">
      <c r="D352" s="27"/>
      <c r="F352" s="16"/>
      <c r="L352" s="16"/>
      <c r="M352" s="16"/>
    </row>
    <row r="353" spans="4:13" ht="15.75" customHeight="1">
      <c r="D353" s="27"/>
      <c r="F353" s="16"/>
      <c r="L353" s="16"/>
      <c r="M353" s="16"/>
    </row>
    <row r="354" spans="4:13" ht="15.75" customHeight="1">
      <c r="D354" s="27"/>
      <c r="F354" s="16"/>
      <c r="L354" s="16"/>
      <c r="M354" s="16"/>
    </row>
    <row r="355" spans="4:13" ht="15.75" customHeight="1">
      <c r="D355" s="27"/>
      <c r="F355" s="16"/>
      <c r="L355" s="16"/>
      <c r="M355" s="16"/>
    </row>
    <row r="356" spans="4:13" ht="15.75" customHeight="1">
      <c r="D356" s="27"/>
      <c r="F356" s="16"/>
      <c r="L356" s="16"/>
      <c r="M356" s="16"/>
    </row>
    <row r="357" spans="4:13" ht="15.75" customHeight="1">
      <c r="D357" s="27"/>
      <c r="F357" s="16"/>
      <c r="L357" s="16"/>
      <c r="M357" s="16"/>
    </row>
    <row r="358" spans="4:13" ht="15.75" customHeight="1">
      <c r="D358" s="27"/>
      <c r="F358" s="16"/>
      <c r="L358" s="16"/>
      <c r="M358" s="16"/>
    </row>
    <row r="359" spans="4:13" ht="15.75" customHeight="1">
      <c r="D359" s="27"/>
      <c r="F359" s="16"/>
      <c r="L359" s="16"/>
      <c r="M359" s="16"/>
    </row>
    <row r="360" spans="4:13" ht="15.75" customHeight="1">
      <c r="D360" s="27"/>
      <c r="F360" s="16"/>
      <c r="L360" s="16"/>
      <c r="M360" s="16"/>
    </row>
    <row r="361" spans="4:13" ht="15.75" customHeight="1">
      <c r="D361" s="27"/>
      <c r="F361" s="16"/>
      <c r="L361" s="16"/>
      <c r="M361" s="16"/>
    </row>
    <row r="362" spans="4:13" ht="15.75" customHeight="1">
      <c r="D362" s="27"/>
      <c r="F362" s="16"/>
      <c r="L362" s="16"/>
      <c r="M362" s="16"/>
    </row>
    <row r="363" spans="4:13" ht="15.75" customHeight="1">
      <c r="D363" s="27"/>
      <c r="F363" s="16"/>
      <c r="L363" s="16"/>
      <c r="M363" s="16"/>
    </row>
    <row r="364" spans="4:13" ht="15.75" customHeight="1">
      <c r="D364" s="27"/>
      <c r="F364" s="16"/>
      <c r="L364" s="16"/>
      <c r="M364" s="16"/>
    </row>
    <row r="365" spans="4:13" ht="15.75" customHeight="1">
      <c r="D365" s="27"/>
      <c r="F365" s="16"/>
      <c r="L365" s="16"/>
      <c r="M365" s="16"/>
    </row>
    <row r="366" spans="4:13" ht="15.75" customHeight="1">
      <c r="D366" s="27"/>
      <c r="F366" s="16"/>
      <c r="L366" s="16"/>
      <c r="M366" s="16"/>
    </row>
    <row r="367" spans="4:13" ht="15.75" customHeight="1">
      <c r="D367" s="27"/>
      <c r="F367" s="16"/>
      <c r="L367" s="16"/>
      <c r="M367" s="16"/>
    </row>
    <row r="368" spans="4:13" ht="15.75" customHeight="1">
      <c r="D368" s="27"/>
      <c r="F368" s="16"/>
      <c r="L368" s="16"/>
      <c r="M368" s="16"/>
    </row>
    <row r="369" spans="4:13" ht="15.75" customHeight="1">
      <c r="D369" s="27"/>
      <c r="F369" s="16"/>
      <c r="L369" s="16"/>
      <c r="M369" s="16"/>
    </row>
    <row r="370" spans="4:13" ht="15.75" customHeight="1">
      <c r="D370" s="27"/>
      <c r="F370" s="16"/>
      <c r="L370" s="16"/>
      <c r="M370" s="16"/>
    </row>
    <row r="371" spans="4:13" ht="15.75" customHeight="1">
      <c r="D371" s="27"/>
      <c r="F371" s="16"/>
      <c r="L371" s="16"/>
      <c r="M371" s="16"/>
    </row>
    <row r="372" spans="4:13" ht="15.75" customHeight="1">
      <c r="D372" s="27"/>
      <c r="F372" s="16"/>
      <c r="L372" s="16"/>
      <c r="M372" s="16"/>
    </row>
    <row r="373" spans="4:13" ht="15.75" customHeight="1">
      <c r="D373" s="27"/>
      <c r="F373" s="16"/>
      <c r="L373" s="16"/>
      <c r="M373" s="16"/>
    </row>
    <row r="374" spans="4:13" ht="15.75" customHeight="1">
      <c r="D374" s="27"/>
      <c r="F374" s="16"/>
      <c r="L374" s="16"/>
      <c r="M374" s="16"/>
    </row>
    <row r="375" spans="4:13" ht="15.75" customHeight="1">
      <c r="D375" s="27"/>
      <c r="F375" s="16"/>
      <c r="L375" s="16"/>
      <c r="M375" s="16"/>
    </row>
    <row r="376" spans="4:13" ht="15.75" customHeight="1">
      <c r="D376" s="27"/>
      <c r="F376" s="16"/>
      <c r="L376" s="16"/>
      <c r="M376" s="16"/>
    </row>
    <row r="377" spans="4:13" ht="15.75" customHeight="1">
      <c r="D377" s="27"/>
      <c r="F377" s="16"/>
      <c r="L377" s="16"/>
      <c r="M377" s="16"/>
    </row>
    <row r="378" spans="4:13" ht="15.75" customHeight="1">
      <c r="D378" s="27"/>
      <c r="F378" s="16"/>
      <c r="L378" s="16"/>
      <c r="M378" s="16"/>
    </row>
    <row r="379" spans="4:13" ht="15.75" customHeight="1">
      <c r="D379" s="27"/>
      <c r="F379" s="16"/>
      <c r="L379" s="16"/>
      <c r="M379" s="16"/>
    </row>
    <row r="380" spans="4:13" ht="15.75" customHeight="1">
      <c r="D380" s="27"/>
      <c r="F380" s="16"/>
      <c r="L380" s="16"/>
      <c r="M380" s="16"/>
    </row>
    <row r="381" spans="4:13" ht="15.75" customHeight="1">
      <c r="D381" s="27"/>
      <c r="F381" s="16"/>
      <c r="L381" s="16"/>
      <c r="M381" s="16"/>
    </row>
    <row r="382" spans="4:13" ht="15.75" customHeight="1">
      <c r="D382" s="27"/>
      <c r="F382" s="16"/>
      <c r="L382" s="16"/>
      <c r="M382" s="16"/>
    </row>
    <row r="383" spans="4:13" ht="15.75" customHeight="1">
      <c r="D383" s="27"/>
      <c r="F383" s="16"/>
      <c r="L383" s="16"/>
      <c r="M383" s="16"/>
    </row>
    <row r="384" spans="4:13" ht="15.75" customHeight="1">
      <c r="D384" s="27"/>
      <c r="F384" s="16"/>
      <c r="L384" s="16"/>
      <c r="M384" s="16"/>
    </row>
    <row r="385" spans="4:13" ht="15.75" customHeight="1">
      <c r="D385" s="27"/>
      <c r="F385" s="16"/>
      <c r="L385" s="16"/>
      <c r="M385" s="16"/>
    </row>
    <row r="386" spans="4:13" ht="15.75" customHeight="1">
      <c r="D386" s="27"/>
      <c r="F386" s="16"/>
      <c r="L386" s="16"/>
      <c r="M386" s="16"/>
    </row>
    <row r="387" spans="4:13" ht="15.75" customHeight="1">
      <c r="D387" s="27"/>
      <c r="F387" s="16"/>
      <c r="L387" s="16"/>
      <c r="M387" s="16"/>
    </row>
    <row r="388" spans="4:13" ht="15.75" customHeight="1">
      <c r="D388" s="27"/>
      <c r="F388" s="16"/>
      <c r="L388" s="16"/>
      <c r="M388" s="16"/>
    </row>
    <row r="389" spans="4:13" ht="15.75" customHeight="1">
      <c r="D389" s="27"/>
      <c r="F389" s="16"/>
      <c r="L389" s="16"/>
      <c r="M389" s="16"/>
    </row>
    <row r="390" spans="4:13" ht="15.75" customHeight="1">
      <c r="D390" s="27"/>
      <c r="F390" s="16"/>
      <c r="L390" s="16"/>
      <c r="M390" s="16"/>
    </row>
    <row r="391" spans="4:13" ht="15.75" customHeight="1">
      <c r="D391" s="27"/>
      <c r="F391" s="16"/>
      <c r="L391" s="16"/>
      <c r="M391" s="16"/>
    </row>
    <row r="392" spans="4:13" ht="15.75" customHeight="1">
      <c r="D392" s="27"/>
      <c r="F392" s="16"/>
      <c r="L392" s="16"/>
      <c r="M392" s="16"/>
    </row>
    <row r="393" spans="4:13" ht="15.75" customHeight="1">
      <c r="D393" s="27"/>
      <c r="F393" s="16"/>
      <c r="L393" s="16"/>
      <c r="M393" s="16"/>
    </row>
    <row r="394" spans="4:13" ht="15.75" customHeight="1">
      <c r="D394" s="27"/>
      <c r="F394" s="16"/>
      <c r="L394" s="16"/>
      <c r="M394" s="16"/>
    </row>
    <row r="395" spans="4:13" ht="15.75" customHeight="1">
      <c r="D395" s="27"/>
      <c r="F395" s="16"/>
      <c r="L395" s="16"/>
      <c r="M395" s="16"/>
    </row>
    <row r="396" spans="4:13" ht="15.75" customHeight="1">
      <c r="D396" s="27"/>
      <c r="F396" s="16"/>
      <c r="L396" s="16"/>
      <c r="M396" s="16"/>
    </row>
    <row r="397" spans="4:13" ht="15.75" customHeight="1">
      <c r="D397" s="27"/>
      <c r="F397" s="16"/>
      <c r="L397" s="16"/>
      <c r="M397" s="16"/>
    </row>
    <row r="398" spans="4:13" ht="15.75" customHeight="1">
      <c r="D398" s="27"/>
      <c r="F398" s="16"/>
      <c r="L398" s="16"/>
      <c r="M398" s="16"/>
    </row>
    <row r="399" spans="4:13" ht="15.75" customHeight="1">
      <c r="D399" s="27"/>
      <c r="F399" s="16"/>
      <c r="L399" s="16"/>
      <c r="M399" s="16"/>
    </row>
    <row r="400" spans="4:13" ht="15.75" customHeight="1">
      <c r="D400" s="27"/>
      <c r="F400" s="16"/>
      <c r="L400" s="16"/>
      <c r="M400" s="16"/>
    </row>
    <row r="401" spans="4:13" ht="15.75" customHeight="1">
      <c r="D401" s="27"/>
      <c r="F401" s="16"/>
      <c r="L401" s="16"/>
      <c r="M401" s="16"/>
    </row>
    <row r="402" spans="4:13" ht="15.75" customHeight="1">
      <c r="D402" s="27"/>
      <c r="F402" s="16"/>
      <c r="L402" s="16"/>
      <c r="M402" s="16"/>
    </row>
    <row r="403" spans="4:13" ht="15.75" customHeight="1">
      <c r="D403" s="27"/>
      <c r="F403" s="16"/>
      <c r="L403" s="16"/>
      <c r="M403" s="16"/>
    </row>
    <row r="404" spans="4:13" ht="15.75" customHeight="1">
      <c r="D404" s="27"/>
      <c r="F404" s="16"/>
      <c r="L404" s="16"/>
      <c r="M404" s="16"/>
    </row>
    <row r="405" spans="4:13" ht="15.75" customHeight="1">
      <c r="D405" s="27"/>
      <c r="F405" s="16"/>
      <c r="L405" s="16"/>
      <c r="M405" s="16"/>
    </row>
    <row r="406" spans="4:13" ht="15.75" customHeight="1">
      <c r="D406" s="27"/>
      <c r="F406" s="16"/>
      <c r="L406" s="16"/>
      <c r="M406" s="16"/>
    </row>
    <row r="407" spans="4:13" ht="15.75" customHeight="1">
      <c r="D407" s="27"/>
      <c r="F407" s="16"/>
      <c r="L407" s="16"/>
      <c r="M407" s="16"/>
    </row>
    <row r="408" spans="4:13" ht="15.75" customHeight="1">
      <c r="D408" s="27"/>
      <c r="F408" s="16"/>
      <c r="L408" s="16"/>
      <c r="M408" s="16"/>
    </row>
    <row r="409" spans="4:13" ht="15.75" customHeight="1">
      <c r="D409" s="27"/>
      <c r="F409" s="16"/>
      <c r="L409" s="16"/>
      <c r="M409" s="16"/>
    </row>
    <row r="410" spans="4:13" ht="15.75" customHeight="1">
      <c r="D410" s="27"/>
      <c r="F410" s="16"/>
      <c r="L410" s="16"/>
      <c r="M410" s="16"/>
    </row>
    <row r="411" spans="4:13" ht="15.75" customHeight="1">
      <c r="D411" s="27"/>
      <c r="F411" s="16"/>
      <c r="L411" s="16"/>
      <c r="M411" s="16"/>
    </row>
    <row r="412" spans="4:13" ht="15.75" customHeight="1">
      <c r="D412" s="27"/>
      <c r="F412" s="16"/>
      <c r="L412" s="16"/>
      <c r="M412" s="16"/>
    </row>
    <row r="413" spans="4:13" ht="15.75" customHeight="1">
      <c r="D413" s="27"/>
      <c r="F413" s="16"/>
      <c r="L413" s="16"/>
      <c r="M413" s="16"/>
    </row>
    <row r="414" spans="4:13" ht="15.75" customHeight="1">
      <c r="D414" s="27"/>
      <c r="F414" s="16"/>
      <c r="L414" s="16"/>
      <c r="M414" s="16"/>
    </row>
    <row r="415" spans="4:13" ht="15.75" customHeight="1">
      <c r="D415" s="27"/>
      <c r="F415" s="16"/>
      <c r="L415" s="16"/>
      <c r="M415" s="16"/>
    </row>
    <row r="416" spans="4:13" ht="15.75" customHeight="1">
      <c r="D416" s="27"/>
      <c r="F416" s="16"/>
      <c r="L416" s="16"/>
      <c r="M416" s="16"/>
    </row>
    <row r="417" spans="4:13" ht="15.75" customHeight="1">
      <c r="D417" s="27"/>
      <c r="F417" s="16"/>
      <c r="L417" s="16"/>
      <c r="M417" s="16"/>
    </row>
    <row r="418" spans="4:13" ht="15.75" customHeight="1">
      <c r="D418" s="27"/>
      <c r="F418" s="16"/>
      <c r="L418" s="16"/>
      <c r="M418" s="16"/>
    </row>
    <row r="419" spans="4:13" ht="15.75" customHeight="1">
      <c r="D419" s="27"/>
      <c r="F419" s="16"/>
      <c r="L419" s="16"/>
      <c r="M419" s="16"/>
    </row>
    <row r="420" spans="4:13" ht="15.75" customHeight="1">
      <c r="D420" s="27"/>
      <c r="F420" s="16"/>
      <c r="L420" s="16"/>
      <c r="M420" s="16"/>
    </row>
    <row r="421" spans="4:13" ht="15.75" customHeight="1">
      <c r="D421" s="27"/>
      <c r="F421" s="16"/>
      <c r="L421" s="16"/>
      <c r="M421" s="16"/>
    </row>
    <row r="422" spans="4:13" ht="15.75" customHeight="1">
      <c r="D422" s="27"/>
      <c r="F422" s="16"/>
      <c r="L422" s="16"/>
      <c r="M422" s="16"/>
    </row>
    <row r="423" spans="4:13" ht="15.75" customHeight="1">
      <c r="D423" s="27"/>
      <c r="F423" s="16"/>
      <c r="L423" s="16"/>
      <c r="M423" s="16"/>
    </row>
    <row r="424" spans="4:13" ht="15.75" customHeight="1">
      <c r="D424" s="27"/>
      <c r="F424" s="16"/>
      <c r="L424" s="16"/>
      <c r="M424" s="16"/>
    </row>
    <row r="425" spans="4:13" ht="15.75" customHeight="1">
      <c r="D425" s="27"/>
      <c r="F425" s="16"/>
      <c r="L425" s="16"/>
      <c r="M425" s="16"/>
    </row>
    <row r="426" spans="4:13" ht="15.75" customHeight="1">
      <c r="D426" s="27"/>
      <c r="F426" s="16"/>
      <c r="L426" s="16"/>
      <c r="M426" s="16"/>
    </row>
    <row r="427" spans="4:13" ht="15.75" customHeight="1">
      <c r="D427" s="27"/>
      <c r="F427" s="16"/>
      <c r="L427" s="16"/>
      <c r="M427" s="16"/>
    </row>
    <row r="428" spans="4:13" ht="15.75" customHeight="1">
      <c r="D428" s="27"/>
      <c r="F428" s="16"/>
      <c r="L428" s="16"/>
      <c r="M428" s="16"/>
    </row>
    <row r="429" spans="4:13" ht="15.75" customHeight="1">
      <c r="D429" s="27"/>
      <c r="F429" s="16"/>
      <c r="L429" s="16"/>
      <c r="M429" s="16"/>
    </row>
    <row r="430" spans="4:13" ht="15.75" customHeight="1">
      <c r="D430" s="27"/>
      <c r="F430" s="16"/>
      <c r="L430" s="16"/>
      <c r="M430" s="16"/>
    </row>
    <row r="431" spans="4:13" ht="15.75" customHeight="1">
      <c r="D431" s="27"/>
      <c r="F431" s="16"/>
      <c r="L431" s="16"/>
      <c r="M431" s="16"/>
    </row>
    <row r="432" spans="4:13" ht="15.75" customHeight="1">
      <c r="D432" s="27"/>
      <c r="F432" s="16"/>
      <c r="L432" s="16"/>
      <c r="M432" s="16"/>
    </row>
    <row r="433" spans="4:13" ht="15.75" customHeight="1">
      <c r="D433" s="27"/>
      <c r="F433" s="16"/>
      <c r="L433" s="16"/>
      <c r="M433" s="16"/>
    </row>
    <row r="434" spans="4:13" ht="15.75" customHeight="1">
      <c r="D434" s="27"/>
      <c r="F434" s="16"/>
      <c r="L434" s="16"/>
      <c r="M434" s="16"/>
    </row>
    <row r="435" spans="4:13" ht="15.75" customHeight="1">
      <c r="D435" s="27"/>
      <c r="F435" s="16"/>
      <c r="L435" s="16"/>
      <c r="M435" s="16"/>
    </row>
    <row r="436" spans="4:13" ht="15.75" customHeight="1">
      <c r="D436" s="27"/>
      <c r="F436" s="16"/>
      <c r="L436" s="16"/>
      <c r="M436" s="16"/>
    </row>
    <row r="437" spans="4:13" ht="15.75" customHeight="1">
      <c r="D437" s="27"/>
      <c r="F437" s="16"/>
      <c r="L437" s="16"/>
      <c r="M437" s="16"/>
    </row>
    <row r="438" spans="4:13" ht="15.75" customHeight="1">
      <c r="D438" s="27"/>
      <c r="F438" s="16"/>
      <c r="L438" s="16"/>
      <c r="M438" s="16"/>
    </row>
    <row r="439" spans="4:13" ht="15.75" customHeight="1">
      <c r="D439" s="27"/>
      <c r="F439" s="16"/>
      <c r="L439" s="16"/>
      <c r="M439" s="16"/>
    </row>
    <row r="440" spans="4:13" ht="15.75" customHeight="1">
      <c r="D440" s="27"/>
      <c r="F440" s="16"/>
      <c r="L440" s="16"/>
      <c r="M440" s="16"/>
    </row>
    <row r="441" spans="4:13" ht="15.75" customHeight="1">
      <c r="D441" s="27"/>
      <c r="F441" s="16"/>
      <c r="L441" s="16"/>
      <c r="M441" s="16"/>
    </row>
    <row r="442" spans="4:13" ht="15.75" customHeight="1">
      <c r="D442" s="27"/>
      <c r="F442" s="16"/>
      <c r="L442" s="16"/>
      <c r="M442" s="16"/>
    </row>
    <row r="443" spans="4:13" ht="15.75" customHeight="1">
      <c r="D443" s="27"/>
      <c r="F443" s="16"/>
      <c r="L443" s="16"/>
      <c r="M443" s="16"/>
    </row>
    <row r="444" spans="4:13" ht="15.75" customHeight="1">
      <c r="D444" s="27"/>
      <c r="F444" s="16"/>
      <c r="L444" s="16"/>
      <c r="M444" s="16"/>
    </row>
    <row r="445" spans="4:13" ht="15.75" customHeight="1">
      <c r="D445" s="27"/>
      <c r="F445" s="16"/>
      <c r="L445" s="16"/>
      <c r="M445" s="16"/>
    </row>
    <row r="446" spans="4:13" ht="15.75" customHeight="1">
      <c r="D446" s="27"/>
      <c r="F446" s="16"/>
      <c r="L446" s="16"/>
      <c r="M446" s="16"/>
    </row>
    <row r="447" spans="4:13" ht="15.75" customHeight="1">
      <c r="D447" s="27"/>
      <c r="F447" s="16"/>
      <c r="L447" s="16"/>
      <c r="M447" s="16"/>
    </row>
    <row r="448" spans="4:13" ht="15.75" customHeight="1">
      <c r="D448" s="27"/>
      <c r="F448" s="16"/>
      <c r="L448" s="16"/>
      <c r="M448" s="16"/>
    </row>
    <row r="449" spans="4:13" ht="15.75" customHeight="1">
      <c r="D449" s="27"/>
      <c r="F449" s="16"/>
      <c r="L449" s="16"/>
      <c r="M449" s="16"/>
    </row>
    <row r="450" spans="4:13" ht="15.75" customHeight="1">
      <c r="D450" s="27"/>
      <c r="F450" s="16"/>
      <c r="L450" s="16"/>
      <c r="M450" s="16"/>
    </row>
    <row r="451" spans="4:13" ht="15.75" customHeight="1">
      <c r="D451" s="27"/>
      <c r="F451" s="16"/>
      <c r="L451" s="16"/>
      <c r="M451" s="16"/>
    </row>
    <row r="452" spans="4:13" ht="15.75" customHeight="1">
      <c r="D452" s="27"/>
      <c r="F452" s="16"/>
      <c r="L452" s="16"/>
      <c r="M452" s="16"/>
    </row>
    <row r="453" spans="4:13" ht="15.75" customHeight="1">
      <c r="D453" s="27"/>
      <c r="F453" s="16"/>
      <c r="L453" s="16"/>
      <c r="M453" s="16"/>
    </row>
    <row r="454" spans="4:13" ht="15.75" customHeight="1">
      <c r="D454" s="27"/>
      <c r="F454" s="16"/>
      <c r="L454" s="16"/>
      <c r="M454" s="16"/>
    </row>
    <row r="455" spans="4:13" ht="15.75" customHeight="1">
      <c r="D455" s="27"/>
      <c r="F455" s="16"/>
      <c r="L455" s="16"/>
      <c r="M455" s="16"/>
    </row>
    <row r="456" spans="4:13" ht="15.75" customHeight="1">
      <c r="D456" s="27"/>
      <c r="F456" s="16"/>
      <c r="L456" s="16"/>
      <c r="M456" s="16"/>
    </row>
    <row r="457" spans="4:13" ht="15.75" customHeight="1">
      <c r="D457" s="27"/>
      <c r="F457" s="16"/>
      <c r="L457" s="16"/>
      <c r="M457" s="16"/>
    </row>
    <row r="458" spans="4:13" ht="15.75" customHeight="1">
      <c r="D458" s="27"/>
      <c r="F458" s="16"/>
      <c r="L458" s="16"/>
      <c r="M458" s="16"/>
    </row>
    <row r="459" spans="4:13" ht="15.75" customHeight="1">
      <c r="D459" s="27"/>
      <c r="F459" s="16"/>
      <c r="L459" s="16"/>
      <c r="M459" s="16"/>
    </row>
    <row r="460" spans="4:13" ht="15.75" customHeight="1">
      <c r="D460" s="27"/>
      <c r="F460" s="16"/>
      <c r="L460" s="16"/>
      <c r="M460" s="16"/>
    </row>
    <row r="461" spans="4:13" ht="15.75" customHeight="1">
      <c r="D461" s="27"/>
      <c r="F461" s="16"/>
      <c r="L461" s="16"/>
      <c r="M461" s="16"/>
    </row>
    <row r="462" spans="4:13" ht="15.75" customHeight="1">
      <c r="D462" s="27"/>
      <c r="F462" s="16"/>
      <c r="L462" s="16"/>
      <c r="M462" s="16"/>
    </row>
    <row r="463" spans="4:13" ht="15.75" customHeight="1">
      <c r="D463" s="27"/>
      <c r="F463" s="16"/>
      <c r="L463" s="16"/>
      <c r="M463" s="16"/>
    </row>
    <row r="464" spans="4:13" ht="15.75" customHeight="1">
      <c r="D464" s="27"/>
      <c r="F464" s="16"/>
      <c r="L464" s="16"/>
      <c r="M464" s="16"/>
    </row>
    <row r="465" spans="4:13" ht="15.75" customHeight="1">
      <c r="D465" s="27"/>
      <c r="F465" s="16"/>
      <c r="L465" s="16"/>
      <c r="M465" s="16"/>
    </row>
    <row r="466" spans="4:13" ht="15.75" customHeight="1">
      <c r="D466" s="27"/>
      <c r="F466" s="16"/>
      <c r="L466" s="16"/>
      <c r="M466" s="16"/>
    </row>
    <row r="467" spans="4:13" ht="15.75" customHeight="1">
      <c r="D467" s="27"/>
      <c r="F467" s="16"/>
      <c r="L467" s="16"/>
      <c r="M467" s="16"/>
    </row>
    <row r="468" spans="4:13" ht="15.75" customHeight="1">
      <c r="D468" s="27"/>
      <c r="F468" s="16"/>
      <c r="L468" s="16"/>
      <c r="M468" s="16"/>
    </row>
    <row r="469" spans="4:13" ht="15.75" customHeight="1">
      <c r="D469" s="27"/>
      <c r="F469" s="16"/>
      <c r="L469" s="16"/>
      <c r="M469" s="16"/>
    </row>
    <row r="470" spans="4:13" ht="15.75" customHeight="1">
      <c r="D470" s="27"/>
      <c r="F470" s="16"/>
      <c r="L470" s="16"/>
      <c r="M470" s="16"/>
    </row>
    <row r="471" spans="4:13" ht="15.75" customHeight="1">
      <c r="D471" s="27"/>
      <c r="F471" s="16"/>
      <c r="L471" s="16"/>
      <c r="M471" s="16"/>
    </row>
    <row r="472" spans="4:13" ht="15.75" customHeight="1">
      <c r="D472" s="27"/>
      <c r="F472" s="16"/>
      <c r="L472" s="16"/>
      <c r="M472" s="16"/>
    </row>
    <row r="473" spans="4:13" ht="15.75" customHeight="1">
      <c r="D473" s="27"/>
      <c r="F473" s="16"/>
      <c r="L473" s="16"/>
      <c r="M473" s="16"/>
    </row>
    <row r="474" spans="4:13" ht="15.75" customHeight="1">
      <c r="D474" s="27"/>
      <c r="F474" s="16"/>
      <c r="L474" s="16"/>
      <c r="M474" s="16"/>
    </row>
    <row r="475" spans="4:13" ht="15.75" customHeight="1">
      <c r="D475" s="27"/>
      <c r="F475" s="16"/>
      <c r="L475" s="16"/>
      <c r="M475" s="16"/>
    </row>
    <row r="476" spans="4:13" ht="15.75" customHeight="1">
      <c r="D476" s="27"/>
      <c r="F476" s="16"/>
      <c r="L476" s="16"/>
      <c r="M476" s="16"/>
    </row>
    <row r="477" spans="4:13" ht="15.75" customHeight="1">
      <c r="D477" s="27"/>
      <c r="F477" s="16"/>
      <c r="L477" s="16"/>
      <c r="M477" s="16"/>
    </row>
    <row r="478" spans="4:13" ht="15.75" customHeight="1">
      <c r="D478" s="27"/>
      <c r="F478" s="16"/>
      <c r="L478" s="16"/>
      <c r="M478" s="16"/>
    </row>
    <row r="479" spans="4:13" ht="15.75" customHeight="1">
      <c r="D479" s="27"/>
      <c r="F479" s="16"/>
      <c r="L479" s="16"/>
      <c r="M479" s="16"/>
    </row>
    <row r="480" spans="4:13" ht="15.75" customHeight="1">
      <c r="D480" s="27"/>
      <c r="F480" s="16"/>
      <c r="L480" s="16"/>
      <c r="M480" s="16"/>
    </row>
    <row r="481" spans="4:13" ht="15.75" customHeight="1">
      <c r="D481" s="27"/>
      <c r="F481" s="16"/>
      <c r="L481" s="16"/>
      <c r="M481" s="16"/>
    </row>
    <row r="482" spans="4:13" ht="15.75" customHeight="1">
      <c r="D482" s="27"/>
      <c r="F482" s="16"/>
      <c r="L482" s="16"/>
      <c r="M482" s="16"/>
    </row>
    <row r="483" spans="4:13" ht="15.75" customHeight="1">
      <c r="D483" s="27"/>
      <c r="F483" s="16"/>
      <c r="L483" s="16"/>
      <c r="M483" s="16"/>
    </row>
    <row r="484" spans="4:13" ht="15.75" customHeight="1">
      <c r="D484" s="27"/>
      <c r="F484" s="16"/>
      <c r="L484" s="16"/>
      <c r="M484" s="16"/>
    </row>
    <row r="485" spans="4:13" ht="15.75" customHeight="1">
      <c r="D485" s="27"/>
      <c r="F485" s="16"/>
      <c r="L485" s="16"/>
      <c r="M485" s="16"/>
    </row>
    <row r="486" spans="4:13" ht="15.75" customHeight="1">
      <c r="D486" s="27"/>
      <c r="F486" s="16"/>
      <c r="L486" s="16"/>
      <c r="M486" s="16"/>
    </row>
    <row r="487" spans="4:13" ht="15.75" customHeight="1">
      <c r="D487" s="27"/>
      <c r="F487" s="16"/>
      <c r="L487" s="16"/>
      <c r="M487" s="16"/>
    </row>
    <row r="488" spans="4:13" ht="15.75" customHeight="1">
      <c r="D488" s="27"/>
      <c r="F488" s="16"/>
      <c r="L488" s="16"/>
      <c r="M488" s="16"/>
    </row>
    <row r="489" spans="4:13" ht="15.75" customHeight="1">
      <c r="D489" s="27"/>
      <c r="F489" s="16"/>
      <c r="L489" s="16"/>
      <c r="M489" s="16"/>
    </row>
    <row r="490" spans="4:13" ht="15.75" customHeight="1">
      <c r="D490" s="27"/>
      <c r="F490" s="16"/>
      <c r="L490" s="16"/>
      <c r="M490" s="16"/>
    </row>
    <row r="491" spans="4:13" ht="15.75" customHeight="1">
      <c r="D491" s="27"/>
      <c r="F491" s="16"/>
      <c r="L491" s="16"/>
      <c r="M491" s="16"/>
    </row>
    <row r="492" spans="4:13" ht="15.75" customHeight="1">
      <c r="D492" s="27"/>
      <c r="F492" s="16"/>
      <c r="L492" s="16"/>
      <c r="M492" s="16"/>
    </row>
    <row r="493" spans="4:13" ht="15.75" customHeight="1">
      <c r="D493" s="27"/>
      <c r="F493" s="16"/>
      <c r="L493" s="16"/>
      <c r="M493" s="16"/>
    </row>
    <row r="494" spans="4:13" ht="15.75" customHeight="1">
      <c r="D494" s="27"/>
      <c r="F494" s="16"/>
      <c r="L494" s="16"/>
      <c r="M494" s="16"/>
    </row>
    <row r="495" spans="4:13" ht="15.75" customHeight="1">
      <c r="D495" s="27"/>
      <c r="F495" s="16"/>
      <c r="L495" s="16"/>
      <c r="M495" s="16"/>
    </row>
    <row r="496" spans="4:13" ht="15.75" customHeight="1">
      <c r="D496" s="27"/>
      <c r="F496" s="16"/>
      <c r="L496" s="16"/>
      <c r="M496" s="16"/>
    </row>
    <row r="497" spans="4:13" ht="15.75" customHeight="1">
      <c r="D497" s="27"/>
      <c r="F497" s="16"/>
      <c r="L497" s="16"/>
      <c r="M497" s="16"/>
    </row>
    <row r="498" spans="4:13" ht="15.75" customHeight="1">
      <c r="D498" s="27"/>
      <c r="F498" s="16"/>
      <c r="L498" s="16"/>
      <c r="M498" s="16"/>
    </row>
    <row r="499" spans="4:13" ht="15.75" customHeight="1">
      <c r="D499" s="27"/>
      <c r="F499" s="16"/>
      <c r="L499" s="16"/>
      <c r="M499" s="16"/>
    </row>
    <row r="500" spans="4:13" ht="15.75" customHeight="1">
      <c r="D500" s="27"/>
      <c r="F500" s="16"/>
      <c r="L500" s="16"/>
      <c r="M500" s="16"/>
    </row>
    <row r="501" spans="4:13" ht="15.75" customHeight="1">
      <c r="D501" s="27"/>
      <c r="F501" s="16"/>
      <c r="L501" s="16"/>
      <c r="M501" s="16"/>
    </row>
    <row r="502" spans="4:13" ht="15.75" customHeight="1">
      <c r="D502" s="27"/>
      <c r="F502" s="16"/>
      <c r="L502" s="16"/>
      <c r="M502" s="16"/>
    </row>
    <row r="503" spans="4:13" ht="15.75" customHeight="1">
      <c r="D503" s="27"/>
      <c r="F503" s="16"/>
      <c r="L503" s="16"/>
      <c r="M503" s="16"/>
    </row>
    <row r="504" spans="4:13" ht="15.75" customHeight="1">
      <c r="D504" s="27"/>
      <c r="F504" s="16"/>
      <c r="L504" s="16"/>
      <c r="M504" s="16"/>
    </row>
    <row r="505" spans="4:13" ht="15.75" customHeight="1">
      <c r="D505" s="27"/>
      <c r="F505" s="16"/>
      <c r="L505" s="16"/>
      <c r="M505" s="16"/>
    </row>
    <row r="506" spans="4:13" ht="15.75" customHeight="1">
      <c r="D506" s="27"/>
      <c r="F506" s="16"/>
      <c r="L506" s="16"/>
      <c r="M506" s="16"/>
    </row>
    <row r="507" spans="4:13" ht="15.75" customHeight="1">
      <c r="D507" s="27"/>
      <c r="F507" s="16"/>
      <c r="L507" s="16"/>
      <c r="M507" s="16"/>
    </row>
    <row r="508" spans="4:13" ht="15.75" customHeight="1">
      <c r="D508" s="27"/>
      <c r="F508" s="16"/>
      <c r="L508" s="16"/>
      <c r="M508" s="16"/>
    </row>
    <row r="509" spans="4:13" ht="15.75" customHeight="1">
      <c r="D509" s="27"/>
      <c r="F509" s="16"/>
      <c r="L509" s="16"/>
      <c r="M509" s="16"/>
    </row>
    <row r="510" spans="4:13" ht="15.75" customHeight="1">
      <c r="D510" s="27"/>
      <c r="F510" s="16"/>
      <c r="L510" s="16"/>
      <c r="M510" s="16"/>
    </row>
    <row r="511" spans="4:13" ht="15.75" customHeight="1">
      <c r="D511" s="27"/>
      <c r="F511" s="16"/>
      <c r="L511" s="16"/>
      <c r="M511" s="16"/>
    </row>
    <row r="512" spans="4:13" ht="15.75" customHeight="1">
      <c r="D512" s="27"/>
      <c r="F512" s="16"/>
      <c r="L512" s="16"/>
      <c r="M512" s="16"/>
    </row>
    <row r="513" spans="4:13" ht="15.75" customHeight="1">
      <c r="D513" s="27"/>
      <c r="F513" s="16"/>
      <c r="L513" s="16"/>
      <c r="M513" s="16"/>
    </row>
    <row r="514" spans="4:13" ht="15.75" customHeight="1">
      <c r="D514" s="27"/>
      <c r="F514" s="16"/>
      <c r="L514" s="16"/>
      <c r="M514" s="16"/>
    </row>
    <row r="515" spans="4:13" ht="15.75" customHeight="1">
      <c r="D515" s="27"/>
      <c r="F515" s="16"/>
      <c r="L515" s="16"/>
      <c r="M515" s="16"/>
    </row>
    <row r="516" spans="4:13" ht="15.75" customHeight="1">
      <c r="D516" s="27"/>
      <c r="F516" s="16"/>
      <c r="L516" s="16"/>
      <c r="M516" s="16"/>
    </row>
    <row r="517" spans="4:13" ht="15.75" customHeight="1">
      <c r="D517" s="27"/>
      <c r="F517" s="16"/>
      <c r="L517" s="16"/>
      <c r="M517" s="16"/>
    </row>
    <row r="518" spans="4:13" ht="15.75" customHeight="1">
      <c r="D518" s="27"/>
      <c r="F518" s="16"/>
      <c r="L518" s="16"/>
      <c r="M518" s="16"/>
    </row>
    <row r="519" spans="4:13" ht="15.75" customHeight="1">
      <c r="D519" s="27"/>
      <c r="F519" s="16"/>
      <c r="L519" s="16"/>
      <c r="M519" s="16"/>
    </row>
    <row r="520" spans="4:13" ht="15.75" customHeight="1">
      <c r="D520" s="27"/>
      <c r="F520" s="16"/>
      <c r="L520" s="16"/>
      <c r="M520" s="16"/>
    </row>
    <row r="521" spans="4:13" ht="15.75" customHeight="1">
      <c r="D521" s="27"/>
      <c r="F521" s="16"/>
      <c r="L521" s="16"/>
      <c r="M521" s="16"/>
    </row>
    <row r="522" spans="4:13" ht="15.75" customHeight="1">
      <c r="D522" s="27"/>
      <c r="F522" s="16"/>
      <c r="L522" s="16"/>
      <c r="M522" s="16"/>
    </row>
    <row r="523" spans="4:13" ht="15.75" customHeight="1">
      <c r="D523" s="27"/>
      <c r="F523" s="16"/>
      <c r="L523" s="16"/>
      <c r="M523" s="16"/>
    </row>
    <row r="524" spans="4:13" ht="15.75" customHeight="1">
      <c r="D524" s="27"/>
      <c r="F524" s="16"/>
      <c r="L524" s="16"/>
      <c r="M524" s="16"/>
    </row>
    <row r="525" spans="4:13" ht="15.75" customHeight="1">
      <c r="D525" s="27"/>
      <c r="F525" s="16"/>
      <c r="L525" s="16"/>
      <c r="M525" s="16"/>
    </row>
    <row r="526" spans="4:13" ht="15.75" customHeight="1">
      <c r="D526" s="27"/>
      <c r="F526" s="16"/>
      <c r="L526" s="16"/>
      <c r="M526" s="16"/>
    </row>
    <row r="527" spans="4:13" ht="15.75" customHeight="1">
      <c r="D527" s="27"/>
      <c r="F527" s="16"/>
      <c r="L527" s="16"/>
      <c r="M527" s="16"/>
    </row>
    <row r="528" spans="4:13" ht="15.75" customHeight="1">
      <c r="D528" s="27"/>
      <c r="F528" s="16"/>
      <c r="L528" s="16"/>
      <c r="M528" s="16"/>
    </row>
    <row r="529" spans="4:13" ht="15.75" customHeight="1">
      <c r="D529" s="27"/>
      <c r="F529" s="16"/>
      <c r="L529" s="16"/>
      <c r="M529" s="16"/>
    </row>
    <row r="530" spans="4:13" ht="15.75" customHeight="1">
      <c r="D530" s="27"/>
      <c r="F530" s="16"/>
      <c r="L530" s="16"/>
      <c r="M530" s="16"/>
    </row>
    <row r="531" spans="4:13" ht="15.75" customHeight="1">
      <c r="D531" s="27"/>
      <c r="F531" s="16"/>
      <c r="L531" s="16"/>
      <c r="M531" s="16"/>
    </row>
    <row r="532" spans="4:13" ht="15.75" customHeight="1">
      <c r="D532" s="27"/>
      <c r="F532" s="16"/>
      <c r="L532" s="16"/>
      <c r="M532" s="16"/>
    </row>
    <row r="533" spans="4:13" ht="15.75" customHeight="1">
      <c r="D533" s="27"/>
      <c r="F533" s="16"/>
      <c r="L533" s="16"/>
      <c r="M533" s="16"/>
    </row>
    <row r="534" spans="4:13" ht="15.75" customHeight="1">
      <c r="D534" s="27"/>
      <c r="F534" s="16"/>
      <c r="L534" s="16"/>
      <c r="M534" s="16"/>
    </row>
    <row r="535" spans="4:13" ht="15.75" customHeight="1">
      <c r="D535" s="27"/>
      <c r="F535" s="16"/>
      <c r="L535" s="16"/>
      <c r="M535" s="16"/>
    </row>
    <row r="536" spans="4:13" ht="15.75" customHeight="1">
      <c r="D536" s="27"/>
      <c r="F536" s="16"/>
      <c r="L536" s="16"/>
      <c r="M536" s="16"/>
    </row>
    <row r="537" spans="4:13" ht="15.75" customHeight="1">
      <c r="D537" s="27"/>
      <c r="F537" s="16"/>
      <c r="L537" s="16"/>
      <c r="M537" s="16"/>
    </row>
    <row r="538" spans="4:13" ht="15.75" customHeight="1">
      <c r="D538" s="27"/>
      <c r="F538" s="16"/>
      <c r="L538" s="16"/>
      <c r="M538" s="16"/>
    </row>
    <row r="539" spans="4:13" ht="15.75" customHeight="1">
      <c r="D539" s="27"/>
      <c r="F539" s="16"/>
      <c r="L539" s="16"/>
      <c r="M539" s="16"/>
    </row>
    <row r="540" spans="4:13" ht="15.75" customHeight="1">
      <c r="D540" s="27"/>
      <c r="F540" s="16"/>
      <c r="L540" s="16"/>
      <c r="M540" s="16"/>
    </row>
    <row r="541" spans="4:13" ht="15.75" customHeight="1">
      <c r="D541" s="27"/>
      <c r="F541" s="16"/>
      <c r="L541" s="16"/>
      <c r="M541" s="16"/>
    </row>
    <row r="542" spans="4:13" ht="15.75" customHeight="1">
      <c r="D542" s="27"/>
      <c r="F542" s="16"/>
      <c r="L542" s="16"/>
      <c r="M542" s="16"/>
    </row>
    <row r="543" spans="4:13" ht="15.75" customHeight="1">
      <c r="D543" s="27"/>
      <c r="F543" s="16"/>
      <c r="L543" s="16"/>
      <c r="M543" s="16"/>
    </row>
    <row r="544" spans="4:13" ht="15.75" customHeight="1">
      <c r="D544" s="27"/>
      <c r="F544" s="16"/>
      <c r="L544" s="16"/>
      <c r="M544" s="16"/>
    </row>
    <row r="545" spans="4:13" ht="15.75" customHeight="1">
      <c r="D545" s="27"/>
      <c r="F545" s="16"/>
      <c r="L545" s="16"/>
      <c r="M545" s="16"/>
    </row>
    <row r="546" spans="4:13" ht="15.75" customHeight="1">
      <c r="D546" s="27"/>
      <c r="F546" s="16"/>
      <c r="L546" s="16"/>
      <c r="M546" s="16"/>
    </row>
    <row r="547" spans="4:13" ht="15.75" customHeight="1">
      <c r="D547" s="27"/>
      <c r="F547" s="16"/>
      <c r="L547" s="16"/>
      <c r="M547" s="16"/>
    </row>
    <row r="548" spans="4:13" ht="15.75" customHeight="1">
      <c r="D548" s="27"/>
      <c r="F548" s="16"/>
      <c r="L548" s="16"/>
      <c r="M548" s="16"/>
    </row>
    <row r="549" spans="4:13" ht="15.75" customHeight="1">
      <c r="D549" s="27"/>
      <c r="F549" s="16"/>
      <c r="L549" s="16"/>
      <c r="M549" s="16"/>
    </row>
    <row r="550" spans="4:13" ht="15.75" customHeight="1">
      <c r="D550" s="27"/>
      <c r="F550" s="16"/>
      <c r="L550" s="16"/>
      <c r="M550" s="16"/>
    </row>
    <row r="551" spans="4:13" ht="15.75" customHeight="1">
      <c r="D551" s="27"/>
      <c r="F551" s="16"/>
      <c r="L551" s="16"/>
      <c r="M551" s="16"/>
    </row>
    <row r="552" spans="4:13" ht="15.75" customHeight="1">
      <c r="D552" s="27"/>
      <c r="F552" s="16"/>
      <c r="L552" s="16"/>
      <c r="M552" s="16"/>
    </row>
    <row r="553" spans="4:13" ht="15.75" customHeight="1">
      <c r="D553" s="27"/>
      <c r="F553" s="16"/>
      <c r="L553" s="16"/>
      <c r="M553" s="16"/>
    </row>
    <row r="554" spans="4:13" ht="15.75" customHeight="1">
      <c r="D554" s="27"/>
      <c r="F554" s="16"/>
      <c r="L554" s="16"/>
      <c r="M554" s="16"/>
    </row>
    <row r="555" spans="4:13" ht="15.75" customHeight="1">
      <c r="D555" s="27"/>
      <c r="F555" s="16"/>
      <c r="L555" s="16"/>
      <c r="M555" s="16"/>
    </row>
    <row r="556" spans="4:13" ht="15.75" customHeight="1">
      <c r="D556" s="27"/>
      <c r="F556" s="16"/>
      <c r="L556" s="16"/>
      <c r="M556" s="16"/>
    </row>
    <row r="557" spans="4:13" ht="15.75" customHeight="1">
      <c r="D557" s="27"/>
      <c r="F557" s="16"/>
      <c r="L557" s="16"/>
      <c r="M557" s="16"/>
    </row>
    <row r="558" spans="4:13" ht="15.75" customHeight="1">
      <c r="D558" s="27"/>
      <c r="F558" s="16"/>
      <c r="L558" s="16"/>
      <c r="M558" s="16"/>
    </row>
    <row r="559" spans="4:13" ht="15.75" customHeight="1">
      <c r="D559" s="27"/>
      <c r="F559" s="16"/>
      <c r="L559" s="16"/>
      <c r="M559" s="16"/>
    </row>
    <row r="560" spans="4:13" ht="15.75" customHeight="1">
      <c r="D560" s="27"/>
      <c r="F560" s="16"/>
      <c r="L560" s="16"/>
      <c r="M560" s="16"/>
    </row>
    <row r="561" spans="4:13" ht="15.75" customHeight="1">
      <c r="D561" s="27"/>
      <c r="F561" s="16"/>
      <c r="L561" s="16"/>
      <c r="M561" s="16"/>
    </row>
    <row r="562" spans="4:13" ht="15.75" customHeight="1">
      <c r="D562" s="27"/>
      <c r="F562" s="16"/>
      <c r="L562" s="16"/>
      <c r="M562" s="16"/>
    </row>
    <row r="563" spans="4:13" ht="15.75" customHeight="1">
      <c r="D563" s="27"/>
      <c r="F563" s="16"/>
      <c r="L563" s="16"/>
      <c r="M563" s="16"/>
    </row>
    <row r="564" spans="4:13" ht="15.75" customHeight="1">
      <c r="D564" s="27"/>
      <c r="F564" s="16"/>
      <c r="L564" s="16"/>
      <c r="M564" s="16"/>
    </row>
    <row r="565" spans="4:13" ht="15.75" customHeight="1">
      <c r="D565" s="27"/>
      <c r="F565" s="16"/>
      <c r="L565" s="16"/>
      <c r="M565" s="16"/>
    </row>
    <row r="566" spans="4:13" ht="15.75" customHeight="1">
      <c r="D566" s="27"/>
      <c r="F566" s="16"/>
      <c r="L566" s="16"/>
      <c r="M566" s="16"/>
    </row>
    <row r="567" spans="4:13" ht="15.75" customHeight="1">
      <c r="D567" s="27"/>
      <c r="F567" s="16"/>
      <c r="L567" s="16"/>
      <c r="M567" s="16"/>
    </row>
    <row r="568" spans="4:13" ht="15.75" customHeight="1">
      <c r="D568" s="27"/>
      <c r="F568" s="16"/>
      <c r="L568" s="16"/>
      <c r="M568" s="16"/>
    </row>
    <row r="569" spans="4:13" ht="15.75" customHeight="1">
      <c r="D569" s="27"/>
      <c r="F569" s="16"/>
      <c r="L569" s="16"/>
      <c r="M569" s="16"/>
    </row>
    <row r="570" spans="4:13" ht="15.75" customHeight="1">
      <c r="D570" s="27"/>
      <c r="F570" s="16"/>
      <c r="L570" s="16"/>
      <c r="M570" s="16"/>
    </row>
    <row r="571" spans="4:13" ht="15.75" customHeight="1">
      <c r="D571" s="27"/>
      <c r="F571" s="16"/>
      <c r="L571" s="16"/>
      <c r="M571" s="16"/>
    </row>
    <row r="572" spans="4:13" ht="15.75" customHeight="1">
      <c r="D572" s="27"/>
      <c r="F572" s="16"/>
      <c r="L572" s="16"/>
      <c r="M572" s="16"/>
    </row>
    <row r="573" spans="4:13" ht="15.75" customHeight="1">
      <c r="D573" s="27"/>
      <c r="F573" s="16"/>
      <c r="L573" s="16"/>
      <c r="M573" s="16"/>
    </row>
    <row r="574" spans="4:13" ht="15.75" customHeight="1">
      <c r="D574" s="27"/>
      <c r="F574" s="16"/>
      <c r="L574" s="16"/>
      <c r="M574" s="16"/>
    </row>
    <row r="575" spans="4:13" ht="15.75" customHeight="1">
      <c r="D575" s="27"/>
      <c r="F575" s="16"/>
      <c r="L575" s="16"/>
      <c r="M575" s="16"/>
    </row>
    <row r="576" spans="4:13" ht="15.75" customHeight="1">
      <c r="D576" s="27"/>
      <c r="F576" s="16"/>
      <c r="L576" s="16"/>
      <c r="M576" s="16"/>
    </row>
    <row r="577" spans="4:13" ht="15.75" customHeight="1">
      <c r="D577" s="27"/>
      <c r="F577" s="16"/>
      <c r="L577" s="16"/>
      <c r="M577" s="16"/>
    </row>
    <row r="578" spans="4:13" ht="15.75" customHeight="1">
      <c r="D578" s="27"/>
      <c r="F578" s="16"/>
      <c r="L578" s="16"/>
      <c r="M578" s="16"/>
    </row>
    <row r="579" spans="4:13" ht="15.75" customHeight="1">
      <c r="D579" s="27"/>
      <c r="F579" s="16"/>
      <c r="L579" s="16"/>
      <c r="M579" s="16"/>
    </row>
    <row r="580" spans="4:13" ht="15.75" customHeight="1">
      <c r="D580" s="27"/>
      <c r="F580" s="16"/>
      <c r="L580" s="16"/>
      <c r="M580" s="16"/>
    </row>
    <row r="581" spans="4:13" ht="15.75" customHeight="1">
      <c r="D581" s="27"/>
      <c r="F581" s="16"/>
      <c r="L581" s="16"/>
      <c r="M581" s="16"/>
    </row>
    <row r="582" spans="4:13" ht="15.75" customHeight="1">
      <c r="D582" s="27"/>
      <c r="F582" s="16"/>
      <c r="L582" s="16"/>
      <c r="M582" s="16"/>
    </row>
    <row r="583" spans="4:13" ht="15.75" customHeight="1">
      <c r="D583" s="27"/>
      <c r="F583" s="16"/>
      <c r="L583" s="16"/>
      <c r="M583" s="16"/>
    </row>
    <row r="584" spans="4:13" ht="15.75" customHeight="1">
      <c r="D584" s="27"/>
      <c r="F584" s="16"/>
      <c r="L584" s="16"/>
      <c r="M584" s="16"/>
    </row>
    <row r="585" spans="4:13" ht="15.75" customHeight="1">
      <c r="D585" s="27"/>
      <c r="F585" s="16"/>
      <c r="L585" s="16"/>
      <c r="M585" s="16"/>
    </row>
    <row r="586" spans="4:13" ht="15.75" customHeight="1">
      <c r="D586" s="27"/>
      <c r="F586" s="16"/>
      <c r="L586" s="16"/>
      <c r="M586" s="16"/>
    </row>
    <row r="587" spans="4:13" ht="15.75" customHeight="1">
      <c r="D587" s="27"/>
      <c r="F587" s="16"/>
      <c r="L587" s="16"/>
      <c r="M587" s="16"/>
    </row>
    <row r="588" spans="4:13" ht="15.75" customHeight="1">
      <c r="D588" s="27"/>
      <c r="F588" s="16"/>
      <c r="L588" s="16"/>
      <c r="M588" s="16"/>
    </row>
    <row r="589" spans="4:13" ht="15.75" customHeight="1">
      <c r="D589" s="27"/>
      <c r="F589" s="16"/>
      <c r="L589" s="16"/>
      <c r="M589" s="16"/>
    </row>
    <row r="590" spans="4:13" ht="15.75" customHeight="1">
      <c r="D590" s="27"/>
      <c r="F590" s="16"/>
      <c r="L590" s="16"/>
      <c r="M590" s="16"/>
    </row>
    <row r="591" spans="4:13" ht="15.75" customHeight="1">
      <c r="D591" s="27"/>
      <c r="F591" s="16"/>
      <c r="L591" s="16"/>
      <c r="M591" s="16"/>
    </row>
    <row r="592" spans="4:13" ht="15.75" customHeight="1">
      <c r="D592" s="27"/>
      <c r="F592" s="16"/>
      <c r="L592" s="16"/>
      <c r="M592" s="16"/>
    </row>
    <row r="593" spans="4:13" ht="15.75" customHeight="1">
      <c r="D593" s="27"/>
      <c r="F593" s="16"/>
      <c r="L593" s="16"/>
      <c r="M593" s="16"/>
    </row>
    <row r="594" spans="4:13" ht="15.75" customHeight="1">
      <c r="D594" s="27"/>
      <c r="F594" s="16"/>
      <c r="L594" s="16"/>
      <c r="M594" s="16"/>
    </row>
    <row r="595" spans="4:13" ht="15.75" customHeight="1">
      <c r="D595" s="27"/>
      <c r="F595" s="16"/>
      <c r="L595" s="16"/>
      <c r="M595" s="16"/>
    </row>
    <row r="596" spans="4:13" ht="15.75" customHeight="1">
      <c r="D596" s="27"/>
      <c r="F596" s="16"/>
      <c r="L596" s="16"/>
      <c r="M596" s="16"/>
    </row>
    <row r="597" spans="4:13" ht="15.75" customHeight="1">
      <c r="D597" s="27"/>
      <c r="F597" s="16"/>
      <c r="L597" s="16"/>
      <c r="M597" s="16"/>
    </row>
    <row r="598" spans="4:13" ht="15.75" customHeight="1">
      <c r="D598" s="27"/>
      <c r="F598" s="16"/>
      <c r="L598" s="16"/>
      <c r="M598" s="16"/>
    </row>
    <row r="599" spans="4:13" ht="15.75" customHeight="1">
      <c r="D599" s="27"/>
      <c r="F599" s="16"/>
      <c r="L599" s="16"/>
      <c r="M599" s="16"/>
    </row>
    <row r="600" spans="4:13" ht="15.75" customHeight="1">
      <c r="D600" s="27"/>
      <c r="F600" s="16"/>
      <c r="L600" s="16"/>
      <c r="M600" s="16"/>
    </row>
    <row r="601" spans="4:13" ht="15.75" customHeight="1">
      <c r="D601" s="27"/>
      <c r="F601" s="16"/>
      <c r="L601" s="16"/>
      <c r="M601" s="16"/>
    </row>
    <row r="602" spans="4:13" ht="15.75" customHeight="1">
      <c r="D602" s="27"/>
      <c r="F602" s="16"/>
      <c r="L602" s="16"/>
      <c r="M602" s="16"/>
    </row>
    <row r="603" spans="4:13" ht="15.75" customHeight="1">
      <c r="D603" s="27"/>
      <c r="F603" s="16"/>
      <c r="L603" s="16"/>
      <c r="M603" s="16"/>
    </row>
    <row r="604" spans="4:13" ht="15.75" customHeight="1">
      <c r="D604" s="27"/>
      <c r="F604" s="16"/>
      <c r="L604" s="16"/>
      <c r="M604" s="16"/>
    </row>
    <row r="605" spans="4:13" ht="15.75" customHeight="1">
      <c r="D605" s="27"/>
      <c r="F605" s="16"/>
      <c r="L605" s="16"/>
      <c r="M605" s="16"/>
    </row>
    <row r="606" spans="4:13" ht="15.75" customHeight="1">
      <c r="D606" s="27"/>
      <c r="F606" s="16"/>
      <c r="L606" s="16"/>
      <c r="M606" s="16"/>
    </row>
    <row r="607" spans="4:13" ht="15.75" customHeight="1">
      <c r="D607" s="27"/>
      <c r="F607" s="16"/>
      <c r="L607" s="16"/>
      <c r="M607" s="16"/>
    </row>
    <row r="608" spans="4:13" ht="15.75" customHeight="1">
      <c r="D608" s="27"/>
      <c r="F608" s="16"/>
      <c r="L608" s="16"/>
      <c r="M608" s="16"/>
    </row>
    <row r="609" spans="4:13" ht="15.75" customHeight="1">
      <c r="D609" s="27"/>
      <c r="F609" s="16"/>
      <c r="L609" s="16"/>
      <c r="M609" s="16"/>
    </row>
    <row r="610" spans="4:13" ht="15.75" customHeight="1">
      <c r="D610" s="27"/>
      <c r="F610" s="16"/>
      <c r="L610" s="16"/>
      <c r="M610" s="16"/>
    </row>
    <row r="611" spans="4:13" ht="15.75" customHeight="1">
      <c r="D611" s="27"/>
      <c r="F611" s="16"/>
      <c r="L611" s="16"/>
      <c r="M611" s="16"/>
    </row>
    <row r="612" spans="4:13" ht="15.75" customHeight="1">
      <c r="D612" s="27"/>
      <c r="F612" s="16"/>
      <c r="L612" s="16"/>
      <c r="M612" s="16"/>
    </row>
    <row r="613" spans="4:13" ht="15.75" customHeight="1">
      <c r="D613" s="27"/>
      <c r="F613" s="16"/>
      <c r="L613" s="16"/>
      <c r="M613" s="16"/>
    </row>
    <row r="614" spans="4:13" ht="15.75" customHeight="1">
      <c r="D614" s="27"/>
      <c r="F614" s="16"/>
      <c r="L614" s="16"/>
      <c r="M614" s="16"/>
    </row>
    <row r="615" spans="4:13" ht="15.75" customHeight="1">
      <c r="D615" s="27"/>
      <c r="F615" s="16"/>
      <c r="L615" s="16"/>
      <c r="M615" s="16"/>
    </row>
    <row r="616" spans="4:13" ht="15.75" customHeight="1">
      <c r="D616" s="27"/>
      <c r="F616" s="16"/>
      <c r="L616" s="16"/>
      <c r="M616" s="16"/>
    </row>
    <row r="617" spans="4:13" ht="15.75" customHeight="1">
      <c r="D617" s="27"/>
      <c r="F617" s="16"/>
      <c r="L617" s="16"/>
      <c r="M617" s="16"/>
    </row>
    <row r="618" spans="4:13" ht="15.75" customHeight="1">
      <c r="D618" s="27"/>
      <c r="F618" s="16"/>
      <c r="L618" s="16"/>
      <c r="M618" s="16"/>
    </row>
    <row r="619" spans="4:13" ht="15.75" customHeight="1">
      <c r="D619" s="27"/>
      <c r="F619" s="16"/>
      <c r="L619" s="16"/>
      <c r="M619" s="16"/>
    </row>
    <row r="620" spans="4:13" ht="15.75" customHeight="1">
      <c r="D620" s="27"/>
      <c r="F620" s="16"/>
      <c r="L620" s="16"/>
      <c r="M620" s="16"/>
    </row>
    <row r="621" spans="4:13" ht="15.75" customHeight="1">
      <c r="D621" s="27"/>
      <c r="F621" s="16"/>
      <c r="L621" s="16"/>
      <c r="M621" s="16"/>
    </row>
    <row r="622" spans="4:13" ht="15.75" customHeight="1">
      <c r="D622" s="27"/>
      <c r="F622" s="16"/>
      <c r="L622" s="16"/>
      <c r="M622" s="16"/>
    </row>
    <row r="623" spans="4:13" ht="15.75" customHeight="1">
      <c r="D623" s="27"/>
      <c r="F623" s="16"/>
      <c r="L623" s="16"/>
      <c r="M623" s="16"/>
    </row>
    <row r="624" spans="4:13" ht="15.75" customHeight="1">
      <c r="D624" s="27"/>
      <c r="F624" s="16"/>
      <c r="L624" s="16"/>
      <c r="M624" s="16"/>
    </row>
    <row r="625" spans="4:13" ht="15.75" customHeight="1">
      <c r="D625" s="27"/>
      <c r="F625" s="16"/>
      <c r="L625" s="16"/>
      <c r="M625" s="16"/>
    </row>
    <row r="626" spans="4:13" ht="15.75" customHeight="1">
      <c r="D626" s="27"/>
      <c r="F626" s="16"/>
      <c r="L626" s="16"/>
      <c r="M626" s="16"/>
    </row>
    <row r="627" spans="4:13" ht="15.75" customHeight="1">
      <c r="D627" s="27"/>
      <c r="F627" s="16"/>
      <c r="L627" s="16"/>
      <c r="M627" s="16"/>
    </row>
    <row r="628" spans="4:13" ht="15.75" customHeight="1">
      <c r="D628" s="27"/>
      <c r="F628" s="16"/>
      <c r="L628" s="16"/>
      <c r="M628" s="16"/>
    </row>
    <row r="629" spans="4:13" ht="15.75" customHeight="1">
      <c r="D629" s="27"/>
      <c r="F629" s="16"/>
      <c r="L629" s="16"/>
      <c r="M629" s="16"/>
    </row>
    <row r="630" spans="4:13" ht="15.75" customHeight="1">
      <c r="D630" s="27"/>
      <c r="F630" s="16"/>
      <c r="L630" s="16"/>
      <c r="M630" s="16"/>
    </row>
    <row r="631" spans="4:13" ht="15.75" customHeight="1">
      <c r="D631" s="27"/>
      <c r="F631" s="16"/>
      <c r="L631" s="16"/>
      <c r="M631" s="16"/>
    </row>
    <row r="632" spans="4:13" ht="15.75" customHeight="1">
      <c r="D632" s="27"/>
      <c r="F632" s="16"/>
      <c r="L632" s="16"/>
      <c r="M632" s="16"/>
    </row>
    <row r="633" spans="4:13" ht="15.75" customHeight="1">
      <c r="D633" s="27"/>
      <c r="F633" s="16"/>
      <c r="L633" s="16"/>
      <c r="M633" s="16"/>
    </row>
    <row r="634" spans="4:13" ht="15.75" customHeight="1">
      <c r="D634" s="27"/>
      <c r="F634" s="16"/>
      <c r="L634" s="16"/>
      <c r="M634" s="16"/>
    </row>
    <row r="635" spans="4:13" ht="15.75" customHeight="1">
      <c r="D635" s="27"/>
      <c r="F635" s="16"/>
      <c r="L635" s="16"/>
      <c r="M635" s="16"/>
    </row>
    <row r="636" spans="4:13" ht="15.75" customHeight="1">
      <c r="D636" s="27"/>
      <c r="F636" s="16"/>
      <c r="L636" s="16"/>
      <c r="M636" s="16"/>
    </row>
    <row r="637" spans="4:13" ht="15.75" customHeight="1">
      <c r="D637" s="27"/>
      <c r="F637" s="16"/>
      <c r="L637" s="16"/>
      <c r="M637" s="16"/>
    </row>
    <row r="638" spans="4:13" ht="15.75" customHeight="1">
      <c r="D638" s="27"/>
      <c r="F638" s="16"/>
      <c r="L638" s="16"/>
      <c r="M638" s="16"/>
    </row>
    <row r="639" spans="4:13" ht="15.75" customHeight="1">
      <c r="D639" s="27"/>
      <c r="F639" s="16"/>
      <c r="L639" s="16"/>
      <c r="M639" s="16"/>
    </row>
    <row r="640" spans="4:13" ht="15.75" customHeight="1">
      <c r="D640" s="27"/>
      <c r="F640" s="16"/>
      <c r="L640" s="16"/>
      <c r="M640" s="16"/>
    </row>
    <row r="641" spans="4:13" ht="15.75" customHeight="1">
      <c r="D641" s="27"/>
      <c r="F641" s="16"/>
      <c r="L641" s="16"/>
      <c r="M641" s="16"/>
    </row>
    <row r="642" spans="4:13" ht="15.75" customHeight="1">
      <c r="D642" s="27"/>
      <c r="F642" s="16"/>
      <c r="L642" s="16"/>
      <c r="M642" s="16"/>
    </row>
    <row r="643" spans="4:13" ht="15.75" customHeight="1">
      <c r="D643" s="27"/>
      <c r="F643" s="16"/>
      <c r="L643" s="16"/>
      <c r="M643" s="16"/>
    </row>
    <row r="644" spans="4:13" ht="15.75" customHeight="1">
      <c r="D644" s="27"/>
      <c r="F644" s="16"/>
      <c r="L644" s="16"/>
      <c r="M644" s="16"/>
    </row>
    <row r="645" spans="4:13" ht="15.75" customHeight="1">
      <c r="D645" s="27"/>
      <c r="F645" s="16"/>
      <c r="L645" s="16"/>
      <c r="M645" s="16"/>
    </row>
    <row r="646" spans="4:13" ht="15.75" customHeight="1">
      <c r="D646" s="27"/>
      <c r="F646" s="16"/>
      <c r="L646" s="16"/>
      <c r="M646" s="16"/>
    </row>
    <row r="647" spans="4:13" ht="15.75" customHeight="1">
      <c r="D647" s="27"/>
      <c r="F647" s="16"/>
      <c r="L647" s="16"/>
      <c r="M647" s="16"/>
    </row>
    <row r="648" spans="4:13" ht="15.75" customHeight="1">
      <c r="D648" s="27"/>
      <c r="F648" s="16"/>
      <c r="L648" s="16"/>
      <c r="M648" s="16"/>
    </row>
    <row r="649" spans="4:13" ht="15.75" customHeight="1">
      <c r="D649" s="27"/>
      <c r="F649" s="16"/>
      <c r="L649" s="16"/>
      <c r="M649" s="16"/>
    </row>
    <row r="650" spans="4:13" ht="15.75" customHeight="1">
      <c r="D650" s="27"/>
      <c r="F650" s="16"/>
      <c r="L650" s="16"/>
      <c r="M650" s="16"/>
    </row>
    <row r="651" spans="4:13" ht="15.75" customHeight="1">
      <c r="D651" s="27"/>
      <c r="F651" s="16"/>
      <c r="L651" s="16"/>
      <c r="M651" s="16"/>
    </row>
    <row r="652" spans="4:13" ht="15.75" customHeight="1">
      <c r="D652" s="27"/>
      <c r="F652" s="16"/>
      <c r="L652" s="16"/>
      <c r="M652" s="16"/>
    </row>
    <row r="653" spans="4:13" ht="15.75" customHeight="1">
      <c r="D653" s="27"/>
      <c r="F653" s="16"/>
      <c r="L653" s="16"/>
      <c r="M653" s="16"/>
    </row>
    <row r="654" spans="4:13" ht="15.75" customHeight="1">
      <c r="D654" s="27"/>
      <c r="F654" s="16"/>
      <c r="L654" s="16"/>
      <c r="M654" s="16"/>
    </row>
    <row r="655" spans="4:13" ht="15.75" customHeight="1">
      <c r="D655" s="27"/>
      <c r="F655" s="16"/>
      <c r="L655" s="16"/>
      <c r="M655" s="16"/>
    </row>
    <row r="656" spans="4:13" ht="15.75" customHeight="1">
      <c r="D656" s="27"/>
      <c r="F656" s="16"/>
      <c r="L656" s="16"/>
      <c r="M656" s="16"/>
    </row>
    <row r="657" spans="4:13" ht="15.75" customHeight="1">
      <c r="D657" s="27"/>
      <c r="F657" s="16"/>
      <c r="L657" s="16"/>
      <c r="M657" s="16"/>
    </row>
    <row r="658" spans="4:13" ht="15.75" customHeight="1">
      <c r="D658" s="27"/>
      <c r="F658" s="16"/>
      <c r="L658" s="16"/>
      <c r="M658" s="16"/>
    </row>
    <row r="659" spans="4:13" ht="15.75" customHeight="1">
      <c r="D659" s="27"/>
      <c r="F659" s="16"/>
      <c r="L659" s="16"/>
      <c r="M659" s="16"/>
    </row>
    <row r="660" spans="4:13" ht="15.75" customHeight="1">
      <c r="D660" s="27"/>
      <c r="F660" s="16"/>
      <c r="L660" s="16"/>
      <c r="M660" s="16"/>
    </row>
    <row r="661" spans="4:13" ht="15.75" customHeight="1">
      <c r="D661" s="27"/>
      <c r="F661" s="16"/>
      <c r="L661" s="16"/>
      <c r="M661" s="16"/>
    </row>
    <row r="662" spans="4:13" ht="15.75" customHeight="1">
      <c r="D662" s="27"/>
      <c r="F662" s="16"/>
      <c r="L662" s="16"/>
      <c r="M662" s="16"/>
    </row>
    <row r="663" spans="4:13" ht="15.75" customHeight="1">
      <c r="D663" s="27"/>
      <c r="F663" s="16"/>
      <c r="L663" s="16"/>
      <c r="M663" s="16"/>
    </row>
    <row r="664" spans="4:13" ht="15.75" customHeight="1">
      <c r="D664" s="27"/>
      <c r="F664" s="16"/>
      <c r="L664" s="16"/>
      <c r="M664" s="16"/>
    </row>
    <row r="665" spans="4:13" ht="15.75" customHeight="1">
      <c r="D665" s="27"/>
      <c r="F665" s="16"/>
      <c r="L665" s="16"/>
      <c r="M665" s="16"/>
    </row>
    <row r="666" spans="4:13" ht="15.75" customHeight="1">
      <c r="D666" s="27"/>
      <c r="F666" s="16"/>
      <c r="L666" s="16"/>
      <c r="M666" s="16"/>
    </row>
    <row r="667" spans="4:13" ht="15.75" customHeight="1">
      <c r="D667" s="27"/>
      <c r="F667" s="16"/>
      <c r="L667" s="16"/>
      <c r="M667" s="16"/>
    </row>
    <row r="668" spans="4:13" ht="15.75" customHeight="1">
      <c r="D668" s="27"/>
      <c r="F668" s="16"/>
      <c r="L668" s="16"/>
      <c r="M668" s="16"/>
    </row>
    <row r="669" spans="4:13" ht="15.75" customHeight="1">
      <c r="D669" s="27"/>
      <c r="F669" s="16"/>
      <c r="L669" s="16"/>
      <c r="M669" s="16"/>
    </row>
    <row r="670" spans="4:13" ht="15.75" customHeight="1">
      <c r="D670" s="27"/>
      <c r="F670" s="16"/>
      <c r="L670" s="16"/>
      <c r="M670" s="16"/>
    </row>
    <row r="671" spans="4:13" ht="15.75" customHeight="1">
      <c r="D671" s="27"/>
      <c r="F671" s="16"/>
      <c r="L671" s="16"/>
      <c r="M671" s="16"/>
    </row>
    <row r="672" spans="4:13" ht="15.75" customHeight="1">
      <c r="D672" s="27"/>
      <c r="F672" s="16"/>
      <c r="L672" s="16"/>
      <c r="M672" s="16"/>
    </row>
    <row r="673" spans="4:13" ht="15.75" customHeight="1">
      <c r="D673" s="27"/>
      <c r="F673" s="16"/>
      <c r="L673" s="16"/>
      <c r="M673" s="16"/>
    </row>
    <row r="674" spans="4:13" ht="15.75" customHeight="1">
      <c r="D674" s="27"/>
      <c r="F674" s="16"/>
      <c r="L674" s="16"/>
      <c r="M674" s="16"/>
    </row>
    <row r="675" spans="4:13" ht="15.75" customHeight="1">
      <c r="D675" s="27"/>
      <c r="F675" s="16"/>
      <c r="L675" s="16"/>
      <c r="M675" s="16"/>
    </row>
    <row r="676" spans="4:13" ht="15.75" customHeight="1">
      <c r="D676" s="27"/>
      <c r="F676" s="16"/>
      <c r="L676" s="16"/>
      <c r="M676" s="16"/>
    </row>
    <row r="677" spans="4:13" ht="15.75" customHeight="1">
      <c r="D677" s="27"/>
      <c r="F677" s="16"/>
      <c r="L677" s="16"/>
      <c r="M677" s="16"/>
    </row>
    <row r="678" spans="4:13" ht="15.75" customHeight="1">
      <c r="D678" s="27"/>
      <c r="F678" s="16"/>
      <c r="L678" s="16"/>
      <c r="M678" s="16"/>
    </row>
    <row r="679" spans="4:13" ht="15.75" customHeight="1">
      <c r="D679" s="27"/>
      <c r="F679" s="16"/>
      <c r="L679" s="16"/>
      <c r="M679" s="16"/>
    </row>
    <row r="680" spans="4:13" ht="15.75" customHeight="1">
      <c r="D680" s="27"/>
      <c r="F680" s="16"/>
      <c r="L680" s="16"/>
      <c r="M680" s="16"/>
    </row>
    <row r="681" spans="4:13" ht="15.75" customHeight="1">
      <c r="D681" s="27"/>
      <c r="F681" s="16"/>
      <c r="L681" s="16"/>
      <c r="M681" s="16"/>
    </row>
    <row r="682" spans="4:13" ht="15.75" customHeight="1">
      <c r="D682" s="27"/>
      <c r="F682" s="16"/>
      <c r="L682" s="16"/>
      <c r="M682" s="16"/>
    </row>
    <row r="683" spans="4:13" ht="15.75" customHeight="1">
      <c r="D683" s="27"/>
      <c r="F683" s="16"/>
      <c r="L683" s="16"/>
      <c r="M683" s="16"/>
    </row>
    <row r="684" spans="4:13" ht="15.75" customHeight="1">
      <c r="D684" s="27"/>
      <c r="F684" s="16"/>
      <c r="L684" s="16"/>
      <c r="M684" s="16"/>
    </row>
    <row r="685" spans="4:13" ht="15.75" customHeight="1">
      <c r="D685" s="27"/>
      <c r="F685" s="16"/>
      <c r="L685" s="16"/>
      <c r="M685" s="16"/>
    </row>
    <row r="686" spans="4:13" ht="15.75" customHeight="1">
      <c r="D686" s="27"/>
      <c r="F686" s="16"/>
      <c r="L686" s="16"/>
      <c r="M686" s="16"/>
    </row>
    <row r="687" spans="4:13" ht="15.75" customHeight="1">
      <c r="D687" s="27"/>
      <c r="F687" s="16"/>
      <c r="L687" s="16"/>
      <c r="M687" s="16"/>
    </row>
    <row r="688" spans="4:13" ht="15.75" customHeight="1">
      <c r="D688" s="27"/>
      <c r="F688" s="16"/>
      <c r="L688" s="16"/>
      <c r="M688" s="16"/>
    </row>
    <row r="689" spans="4:13" ht="15.75" customHeight="1">
      <c r="D689" s="27"/>
      <c r="F689" s="16"/>
      <c r="L689" s="16"/>
      <c r="M689" s="16"/>
    </row>
    <row r="690" spans="4:13" ht="15.75" customHeight="1">
      <c r="D690" s="27"/>
      <c r="F690" s="16"/>
      <c r="L690" s="16"/>
      <c r="M690" s="16"/>
    </row>
    <row r="691" spans="4:13" ht="15.75" customHeight="1">
      <c r="D691" s="27"/>
      <c r="F691" s="16"/>
      <c r="L691" s="16"/>
      <c r="M691" s="16"/>
    </row>
    <row r="692" spans="4:13" ht="15.75" customHeight="1">
      <c r="D692" s="27"/>
      <c r="F692" s="16"/>
      <c r="L692" s="16"/>
      <c r="M692" s="16"/>
    </row>
    <row r="693" spans="4:13" ht="15.75" customHeight="1">
      <c r="D693" s="27"/>
      <c r="F693" s="16"/>
      <c r="L693" s="16"/>
      <c r="M693" s="16"/>
    </row>
    <row r="694" spans="4:13" ht="15.75" customHeight="1">
      <c r="D694" s="27"/>
      <c r="F694" s="16"/>
      <c r="L694" s="16"/>
      <c r="M694" s="16"/>
    </row>
    <row r="695" spans="4:13" ht="15.75" customHeight="1">
      <c r="D695" s="27"/>
      <c r="F695" s="16"/>
      <c r="L695" s="16"/>
      <c r="M695" s="16"/>
    </row>
    <row r="696" spans="4:13" ht="15.75" customHeight="1">
      <c r="D696" s="27"/>
      <c r="F696" s="16"/>
      <c r="L696" s="16"/>
      <c r="M696" s="16"/>
    </row>
    <row r="697" spans="4:13" ht="15.75" customHeight="1">
      <c r="D697" s="27"/>
      <c r="F697" s="16"/>
      <c r="L697" s="16"/>
      <c r="M697" s="16"/>
    </row>
    <row r="698" spans="4:13" ht="15.75" customHeight="1">
      <c r="D698" s="27"/>
      <c r="F698" s="16"/>
      <c r="L698" s="16"/>
      <c r="M698" s="16"/>
    </row>
    <row r="699" spans="4:13" ht="15.75" customHeight="1">
      <c r="D699" s="27"/>
      <c r="F699" s="16"/>
      <c r="L699" s="16"/>
      <c r="M699" s="16"/>
    </row>
    <row r="700" spans="4:13" ht="15.75" customHeight="1">
      <c r="D700" s="27"/>
      <c r="F700" s="16"/>
      <c r="L700" s="16"/>
      <c r="M700" s="16"/>
    </row>
    <row r="701" spans="4:13" ht="15.75" customHeight="1">
      <c r="D701" s="27"/>
      <c r="F701" s="16"/>
      <c r="L701" s="16"/>
      <c r="M701" s="16"/>
    </row>
    <row r="702" spans="4:13" ht="15.75" customHeight="1">
      <c r="D702" s="27"/>
      <c r="F702" s="16"/>
      <c r="L702" s="16"/>
      <c r="M702" s="16"/>
    </row>
    <row r="703" spans="4:13" ht="15.75" customHeight="1">
      <c r="D703" s="27"/>
      <c r="F703" s="16"/>
      <c r="L703" s="16"/>
      <c r="M703" s="16"/>
    </row>
    <row r="704" spans="4:13" ht="15.75" customHeight="1">
      <c r="D704" s="27"/>
      <c r="F704" s="16"/>
      <c r="L704" s="16"/>
      <c r="M704" s="16"/>
    </row>
    <row r="705" spans="4:13" ht="15.75" customHeight="1">
      <c r="D705" s="27"/>
      <c r="F705" s="16"/>
      <c r="L705" s="16"/>
      <c r="M705" s="16"/>
    </row>
    <row r="706" spans="4:13" ht="15.75" customHeight="1">
      <c r="D706" s="27"/>
      <c r="F706" s="16"/>
      <c r="L706" s="16"/>
      <c r="M706" s="16"/>
    </row>
    <row r="707" spans="4:13" ht="15.75" customHeight="1">
      <c r="D707" s="27"/>
      <c r="F707" s="16"/>
      <c r="L707" s="16"/>
      <c r="M707" s="16"/>
    </row>
    <row r="708" spans="4:13" ht="15.75" customHeight="1">
      <c r="D708" s="27"/>
      <c r="F708" s="16"/>
      <c r="L708" s="16"/>
      <c r="M708" s="16"/>
    </row>
    <row r="709" spans="4:13" ht="15.75" customHeight="1">
      <c r="D709" s="27"/>
      <c r="F709" s="16"/>
      <c r="L709" s="16"/>
      <c r="M709" s="16"/>
    </row>
    <row r="710" spans="4:13" ht="15.75" customHeight="1">
      <c r="D710" s="27"/>
      <c r="F710" s="16"/>
      <c r="L710" s="16"/>
      <c r="M710" s="16"/>
    </row>
    <row r="711" spans="4:13" ht="15.75" customHeight="1">
      <c r="D711" s="27"/>
      <c r="F711" s="16"/>
      <c r="L711" s="16"/>
      <c r="M711" s="16"/>
    </row>
    <row r="712" spans="4:13" ht="15.75" customHeight="1">
      <c r="D712" s="27"/>
      <c r="F712" s="16"/>
      <c r="L712" s="16"/>
      <c r="M712" s="16"/>
    </row>
    <row r="713" spans="4:13" ht="15.75" customHeight="1">
      <c r="D713" s="27"/>
      <c r="F713" s="16"/>
      <c r="L713" s="16"/>
      <c r="M713" s="16"/>
    </row>
    <row r="714" spans="4:13" ht="15.75" customHeight="1">
      <c r="D714" s="27"/>
      <c r="F714" s="16"/>
      <c r="L714" s="16"/>
      <c r="M714" s="16"/>
    </row>
    <row r="715" spans="4:13" ht="15.75" customHeight="1">
      <c r="D715" s="27"/>
      <c r="F715" s="16"/>
      <c r="L715" s="16"/>
      <c r="M715" s="16"/>
    </row>
    <row r="716" spans="4:13" ht="15.75" customHeight="1">
      <c r="D716" s="27"/>
      <c r="F716" s="16"/>
      <c r="L716" s="16"/>
      <c r="M716" s="16"/>
    </row>
    <row r="717" spans="4:13" ht="15.75" customHeight="1">
      <c r="D717" s="27"/>
      <c r="F717" s="16"/>
      <c r="L717" s="16"/>
      <c r="M717" s="16"/>
    </row>
    <row r="718" spans="4:13" ht="15.75" customHeight="1">
      <c r="D718" s="27"/>
      <c r="F718" s="16"/>
      <c r="L718" s="16"/>
      <c r="M718" s="16"/>
    </row>
    <row r="719" spans="4:13" ht="15.75" customHeight="1">
      <c r="D719" s="27"/>
      <c r="F719" s="16"/>
      <c r="L719" s="16"/>
      <c r="M719" s="16"/>
    </row>
    <row r="720" spans="4:13" ht="15.75" customHeight="1">
      <c r="D720" s="27"/>
      <c r="F720" s="16"/>
      <c r="L720" s="16"/>
      <c r="M720" s="16"/>
    </row>
    <row r="721" spans="4:13" ht="15.75" customHeight="1">
      <c r="D721" s="27"/>
      <c r="F721" s="16"/>
      <c r="L721" s="16"/>
      <c r="M721" s="16"/>
    </row>
    <row r="722" spans="4:13" ht="15.75" customHeight="1">
      <c r="D722" s="27"/>
      <c r="F722" s="16"/>
      <c r="L722" s="16"/>
      <c r="M722" s="16"/>
    </row>
    <row r="723" spans="4:13" ht="15.75" customHeight="1">
      <c r="D723" s="27"/>
      <c r="F723" s="16"/>
      <c r="L723" s="16"/>
      <c r="M723" s="16"/>
    </row>
    <row r="724" spans="4:13" ht="15.75" customHeight="1">
      <c r="D724" s="27"/>
      <c r="F724" s="16"/>
      <c r="L724" s="16"/>
      <c r="M724" s="16"/>
    </row>
    <row r="725" spans="4:13" ht="15.75" customHeight="1">
      <c r="D725" s="27"/>
      <c r="F725" s="16"/>
      <c r="L725" s="16"/>
      <c r="M725" s="16"/>
    </row>
    <row r="726" spans="4:13" ht="15.75" customHeight="1">
      <c r="D726" s="27"/>
      <c r="F726" s="16"/>
      <c r="L726" s="16"/>
      <c r="M726" s="16"/>
    </row>
    <row r="727" spans="4:13" ht="15.75" customHeight="1">
      <c r="D727" s="27"/>
      <c r="F727" s="16"/>
      <c r="L727" s="16"/>
      <c r="M727" s="16"/>
    </row>
    <row r="728" spans="4:13" ht="15.75" customHeight="1">
      <c r="D728" s="27"/>
      <c r="F728" s="16"/>
      <c r="L728" s="16"/>
      <c r="M728" s="16"/>
    </row>
    <row r="729" spans="4:13" ht="15.75" customHeight="1">
      <c r="D729" s="27"/>
      <c r="F729" s="16"/>
      <c r="L729" s="16"/>
      <c r="M729" s="16"/>
    </row>
    <row r="730" spans="4:13" ht="15.75" customHeight="1">
      <c r="D730" s="27"/>
      <c r="F730" s="16"/>
      <c r="L730" s="16"/>
      <c r="M730" s="16"/>
    </row>
    <row r="731" spans="4:13" ht="15.75" customHeight="1">
      <c r="D731" s="27"/>
      <c r="F731" s="16"/>
      <c r="L731" s="16"/>
      <c r="M731" s="16"/>
    </row>
    <row r="732" spans="4:13" ht="15.75" customHeight="1">
      <c r="D732" s="27"/>
      <c r="F732" s="16"/>
      <c r="L732" s="16"/>
      <c r="M732" s="16"/>
    </row>
    <row r="733" spans="4:13" ht="15.75" customHeight="1">
      <c r="D733" s="27"/>
      <c r="F733" s="16"/>
      <c r="L733" s="16"/>
      <c r="M733" s="16"/>
    </row>
    <row r="734" spans="4:13" ht="15.75" customHeight="1">
      <c r="D734" s="27"/>
      <c r="F734" s="16"/>
      <c r="L734" s="16"/>
      <c r="M734" s="16"/>
    </row>
    <row r="735" spans="4:13" ht="15.75" customHeight="1">
      <c r="D735" s="27"/>
      <c r="F735" s="16"/>
      <c r="L735" s="16"/>
      <c r="M735" s="16"/>
    </row>
    <row r="736" spans="4:13" ht="15.75" customHeight="1">
      <c r="D736" s="27"/>
      <c r="F736" s="16"/>
      <c r="L736" s="16"/>
      <c r="M736" s="16"/>
    </row>
    <row r="737" spans="4:13" ht="15.75" customHeight="1">
      <c r="D737" s="27"/>
      <c r="F737" s="16"/>
      <c r="L737" s="16"/>
      <c r="M737" s="16"/>
    </row>
    <row r="738" spans="4:13" ht="15.75" customHeight="1">
      <c r="D738" s="27"/>
      <c r="F738" s="16"/>
      <c r="L738" s="16"/>
      <c r="M738" s="16"/>
    </row>
    <row r="739" spans="4:13" ht="15.75" customHeight="1">
      <c r="D739" s="27"/>
      <c r="F739" s="16"/>
      <c r="L739" s="16"/>
      <c r="M739" s="16"/>
    </row>
    <row r="740" spans="4:13" ht="15.75" customHeight="1">
      <c r="D740" s="27"/>
      <c r="F740" s="16"/>
      <c r="L740" s="16"/>
      <c r="M740" s="16"/>
    </row>
    <row r="741" spans="4:13" ht="15.75" customHeight="1">
      <c r="D741" s="27"/>
      <c r="F741" s="16"/>
      <c r="L741" s="16"/>
      <c r="M741" s="16"/>
    </row>
    <row r="742" spans="4:13" ht="15.75" customHeight="1">
      <c r="D742" s="27"/>
      <c r="F742" s="16"/>
      <c r="L742" s="16"/>
      <c r="M742" s="16"/>
    </row>
    <row r="743" spans="4:13" ht="15.75" customHeight="1">
      <c r="D743" s="27"/>
      <c r="F743" s="16"/>
      <c r="L743" s="16"/>
      <c r="M743" s="16"/>
    </row>
    <row r="744" spans="4:13" ht="15.75" customHeight="1">
      <c r="D744" s="27"/>
      <c r="F744" s="16"/>
      <c r="L744" s="16"/>
      <c r="M744" s="16"/>
    </row>
    <row r="745" spans="4:13" ht="15.75" customHeight="1">
      <c r="D745" s="27"/>
      <c r="F745" s="16"/>
      <c r="L745" s="16"/>
      <c r="M745" s="16"/>
    </row>
    <row r="746" spans="4:13" ht="15.75" customHeight="1">
      <c r="D746" s="27"/>
      <c r="F746" s="16"/>
      <c r="L746" s="16"/>
      <c r="M746" s="16"/>
    </row>
    <row r="747" spans="4:13" ht="15.75" customHeight="1">
      <c r="D747" s="27"/>
      <c r="F747" s="16"/>
      <c r="L747" s="16"/>
      <c r="M747" s="16"/>
    </row>
    <row r="748" spans="4:13" ht="15.75" customHeight="1">
      <c r="D748" s="27"/>
      <c r="F748" s="16"/>
      <c r="L748" s="16"/>
      <c r="M748" s="16"/>
    </row>
    <row r="749" spans="4:13" ht="15.75" customHeight="1">
      <c r="D749" s="27"/>
      <c r="F749" s="16"/>
      <c r="L749" s="16"/>
      <c r="M749" s="16"/>
    </row>
    <row r="750" spans="4:13" ht="15.75" customHeight="1">
      <c r="D750" s="27"/>
      <c r="F750" s="16"/>
      <c r="L750" s="16"/>
      <c r="M750" s="16"/>
    </row>
    <row r="751" spans="4:13" ht="15.75" customHeight="1">
      <c r="D751" s="27"/>
      <c r="F751" s="16"/>
      <c r="L751" s="16"/>
      <c r="M751" s="16"/>
    </row>
    <row r="752" spans="4:13" ht="15.75" customHeight="1">
      <c r="D752" s="27"/>
      <c r="F752" s="16"/>
      <c r="L752" s="16"/>
      <c r="M752" s="16"/>
    </row>
    <row r="753" spans="4:13" ht="15.75" customHeight="1">
      <c r="D753" s="27"/>
      <c r="F753" s="16"/>
      <c r="L753" s="16"/>
      <c r="M753" s="16"/>
    </row>
    <row r="754" spans="4:13" ht="15.75" customHeight="1">
      <c r="D754" s="27"/>
      <c r="F754" s="16"/>
      <c r="L754" s="16"/>
      <c r="M754" s="16"/>
    </row>
    <row r="755" spans="4:13" ht="15.75" customHeight="1">
      <c r="D755" s="27"/>
      <c r="F755" s="16"/>
      <c r="L755" s="16"/>
      <c r="M755" s="16"/>
    </row>
    <row r="756" spans="4:13" ht="15.75" customHeight="1">
      <c r="D756" s="27"/>
      <c r="F756" s="16"/>
      <c r="L756" s="16"/>
      <c r="M756" s="16"/>
    </row>
    <row r="757" spans="4:13" ht="15.75" customHeight="1">
      <c r="D757" s="27"/>
      <c r="F757" s="16"/>
      <c r="L757" s="16"/>
      <c r="M757" s="16"/>
    </row>
    <row r="758" spans="4:13" ht="15.75" customHeight="1">
      <c r="D758" s="27"/>
      <c r="F758" s="16"/>
      <c r="L758" s="16"/>
      <c r="M758" s="16"/>
    </row>
    <row r="759" spans="4:13" ht="15.75" customHeight="1">
      <c r="D759" s="27"/>
      <c r="F759" s="16"/>
      <c r="L759" s="16"/>
      <c r="M759" s="16"/>
    </row>
    <row r="760" spans="4:13" ht="15.75" customHeight="1">
      <c r="D760" s="27"/>
      <c r="F760" s="16"/>
      <c r="L760" s="16"/>
      <c r="M760" s="16"/>
    </row>
    <row r="761" spans="4:13" ht="15.75" customHeight="1">
      <c r="D761" s="27"/>
      <c r="F761" s="16"/>
      <c r="L761" s="16"/>
      <c r="M761" s="16"/>
    </row>
    <row r="762" spans="4:13" ht="15.75" customHeight="1">
      <c r="D762" s="27"/>
      <c r="F762" s="16"/>
      <c r="L762" s="16"/>
      <c r="M762" s="16"/>
    </row>
    <row r="763" spans="4:13" ht="15.75" customHeight="1">
      <c r="D763" s="27"/>
      <c r="F763" s="16"/>
      <c r="L763" s="16"/>
      <c r="M763" s="16"/>
    </row>
    <row r="764" spans="4:13" ht="15.75" customHeight="1">
      <c r="D764" s="27"/>
      <c r="F764" s="16"/>
      <c r="L764" s="16"/>
      <c r="M764" s="16"/>
    </row>
    <row r="765" spans="4:13" ht="15.75" customHeight="1">
      <c r="D765" s="27"/>
      <c r="F765" s="16"/>
      <c r="L765" s="16"/>
      <c r="M765" s="16"/>
    </row>
    <row r="766" spans="4:13" ht="15.75" customHeight="1">
      <c r="D766" s="27"/>
      <c r="F766" s="16"/>
      <c r="L766" s="16"/>
      <c r="M766" s="16"/>
    </row>
    <row r="767" spans="4:13" ht="15.75" customHeight="1">
      <c r="D767" s="27"/>
      <c r="F767" s="16"/>
      <c r="L767" s="16"/>
      <c r="M767" s="16"/>
    </row>
    <row r="768" spans="4:13" ht="15.75" customHeight="1">
      <c r="D768" s="27"/>
      <c r="F768" s="16"/>
      <c r="L768" s="16"/>
      <c r="M768" s="16"/>
    </row>
    <row r="769" spans="4:13" ht="15.75" customHeight="1">
      <c r="D769" s="27"/>
      <c r="F769" s="16"/>
      <c r="L769" s="16"/>
      <c r="M769" s="16"/>
    </row>
    <row r="770" spans="4:13" ht="15.75" customHeight="1">
      <c r="D770" s="27"/>
      <c r="F770" s="16"/>
      <c r="L770" s="16"/>
      <c r="M770" s="16"/>
    </row>
    <row r="771" spans="4:13" ht="15.75" customHeight="1">
      <c r="D771" s="27"/>
      <c r="F771" s="16"/>
      <c r="L771" s="16"/>
      <c r="M771" s="16"/>
    </row>
    <row r="772" spans="4:13" ht="15.75" customHeight="1">
      <c r="D772" s="27"/>
      <c r="F772" s="16"/>
      <c r="L772" s="16"/>
      <c r="M772" s="16"/>
    </row>
    <row r="773" spans="4:13" ht="15.75" customHeight="1">
      <c r="D773" s="27"/>
      <c r="F773" s="16"/>
      <c r="L773" s="16"/>
      <c r="M773" s="16"/>
    </row>
    <row r="774" spans="4:13" ht="15.75" customHeight="1">
      <c r="D774" s="27"/>
      <c r="F774" s="16"/>
      <c r="L774" s="16"/>
      <c r="M774" s="16"/>
    </row>
    <row r="775" spans="4:13" ht="15.75" customHeight="1">
      <c r="D775" s="27"/>
      <c r="F775" s="16"/>
      <c r="L775" s="16"/>
      <c r="M775" s="16"/>
    </row>
    <row r="776" spans="4:13" ht="15.75" customHeight="1">
      <c r="D776" s="27"/>
      <c r="F776" s="16"/>
      <c r="L776" s="16"/>
      <c r="M776" s="16"/>
    </row>
    <row r="777" spans="4:13" ht="15.75" customHeight="1">
      <c r="D777" s="27"/>
      <c r="F777" s="16"/>
      <c r="L777" s="16"/>
      <c r="M777" s="16"/>
    </row>
    <row r="778" spans="4:13" ht="15.75" customHeight="1">
      <c r="D778" s="27"/>
      <c r="F778" s="16"/>
      <c r="L778" s="16"/>
      <c r="M778" s="16"/>
    </row>
    <row r="779" spans="4:13" ht="15.75" customHeight="1">
      <c r="D779" s="27"/>
      <c r="F779" s="16"/>
      <c r="L779" s="16"/>
      <c r="M779" s="16"/>
    </row>
    <row r="780" spans="4:13" ht="15.75" customHeight="1">
      <c r="D780" s="27"/>
      <c r="F780" s="16"/>
      <c r="L780" s="16"/>
      <c r="M780" s="16"/>
    </row>
    <row r="781" spans="4:13" ht="15.75" customHeight="1">
      <c r="D781" s="27"/>
      <c r="F781" s="16"/>
      <c r="L781" s="16"/>
      <c r="M781" s="16"/>
    </row>
    <row r="782" spans="4:13" ht="15.75" customHeight="1">
      <c r="D782" s="27"/>
      <c r="F782" s="16"/>
      <c r="L782" s="16"/>
      <c r="M782" s="16"/>
    </row>
    <row r="783" spans="4:13" ht="15.75" customHeight="1">
      <c r="D783" s="27"/>
      <c r="F783" s="16"/>
      <c r="L783" s="16"/>
      <c r="M783" s="16"/>
    </row>
    <row r="784" spans="4:13" ht="15.75" customHeight="1">
      <c r="D784" s="27"/>
      <c r="F784" s="16"/>
      <c r="L784" s="16"/>
      <c r="M784" s="16"/>
    </row>
    <row r="785" spans="4:13" ht="15.75" customHeight="1">
      <c r="D785" s="27"/>
      <c r="F785" s="16"/>
      <c r="L785" s="16"/>
      <c r="M785" s="16"/>
    </row>
    <row r="786" spans="4:13" ht="15.75" customHeight="1">
      <c r="D786" s="27"/>
      <c r="F786" s="16"/>
      <c r="L786" s="16"/>
      <c r="M786" s="16"/>
    </row>
    <row r="787" spans="4:13" ht="15.75" customHeight="1">
      <c r="D787" s="27"/>
      <c r="F787" s="16"/>
      <c r="L787" s="16"/>
      <c r="M787" s="16"/>
    </row>
    <row r="788" spans="4:13" ht="15.75" customHeight="1">
      <c r="D788" s="27"/>
      <c r="F788" s="16"/>
      <c r="L788" s="16"/>
      <c r="M788" s="16"/>
    </row>
    <row r="789" spans="4:13" ht="15.75" customHeight="1">
      <c r="D789" s="27"/>
      <c r="F789" s="16"/>
      <c r="L789" s="16"/>
      <c r="M789" s="16"/>
    </row>
    <row r="790" spans="4:13" ht="15.75" customHeight="1">
      <c r="D790" s="27"/>
      <c r="F790" s="16"/>
      <c r="L790" s="16"/>
      <c r="M790" s="16"/>
    </row>
    <row r="791" spans="4:13" ht="15.75" customHeight="1">
      <c r="D791" s="27"/>
      <c r="F791" s="16"/>
      <c r="L791" s="16"/>
      <c r="M791" s="16"/>
    </row>
    <row r="792" spans="4:13" ht="15.75" customHeight="1">
      <c r="D792" s="27"/>
      <c r="F792" s="16"/>
      <c r="L792" s="16"/>
      <c r="M792" s="16"/>
    </row>
    <row r="793" spans="4:13" ht="15.75" customHeight="1">
      <c r="D793" s="27"/>
      <c r="F793" s="16"/>
      <c r="L793" s="16"/>
      <c r="M793" s="16"/>
    </row>
    <row r="794" spans="4:13" ht="15.75" customHeight="1">
      <c r="D794" s="27"/>
      <c r="F794" s="16"/>
      <c r="L794" s="16"/>
      <c r="M794" s="16"/>
    </row>
    <row r="795" spans="4:13" ht="15.75" customHeight="1">
      <c r="D795" s="27"/>
      <c r="F795" s="16"/>
      <c r="L795" s="16"/>
      <c r="M795" s="16"/>
    </row>
    <row r="796" spans="4:13" ht="15.75" customHeight="1">
      <c r="D796" s="27"/>
      <c r="F796" s="16"/>
      <c r="L796" s="16"/>
      <c r="M796" s="16"/>
    </row>
    <row r="797" spans="4:13" ht="15.75" customHeight="1">
      <c r="D797" s="27"/>
      <c r="F797" s="16"/>
      <c r="L797" s="16"/>
      <c r="M797" s="16"/>
    </row>
    <row r="798" spans="4:13" ht="15.75" customHeight="1">
      <c r="D798" s="27"/>
      <c r="F798" s="16"/>
      <c r="L798" s="16"/>
      <c r="M798" s="16"/>
    </row>
    <row r="799" spans="4:13" ht="15.75" customHeight="1">
      <c r="D799" s="27"/>
      <c r="F799" s="16"/>
      <c r="L799" s="16"/>
      <c r="M799" s="16"/>
    </row>
    <row r="800" spans="4:13" ht="15.75" customHeight="1">
      <c r="D800" s="27"/>
      <c r="F800" s="16"/>
      <c r="L800" s="16"/>
      <c r="M800" s="16"/>
    </row>
    <row r="801" spans="4:13" ht="15.75" customHeight="1">
      <c r="D801" s="27"/>
      <c r="F801" s="16"/>
      <c r="L801" s="16"/>
      <c r="M801" s="16"/>
    </row>
    <row r="802" spans="4:13" ht="15.75" customHeight="1">
      <c r="D802" s="27"/>
      <c r="F802" s="16"/>
      <c r="L802" s="16"/>
      <c r="M802" s="16"/>
    </row>
    <row r="803" spans="4:13" ht="15.75" customHeight="1">
      <c r="D803" s="27"/>
      <c r="F803" s="16"/>
      <c r="L803" s="16"/>
      <c r="M803" s="16"/>
    </row>
    <row r="804" spans="4:13" ht="15.75" customHeight="1">
      <c r="D804" s="27"/>
      <c r="F804" s="16"/>
      <c r="L804" s="16"/>
      <c r="M804" s="16"/>
    </row>
    <row r="805" spans="4:13" ht="15.75" customHeight="1">
      <c r="D805" s="27"/>
      <c r="F805" s="16"/>
      <c r="L805" s="16"/>
      <c r="M805" s="16"/>
    </row>
    <row r="806" spans="4:13" ht="15.75" customHeight="1">
      <c r="D806" s="27"/>
      <c r="F806" s="16"/>
      <c r="L806" s="16"/>
      <c r="M806" s="16"/>
    </row>
    <row r="807" spans="4:13" ht="15.75" customHeight="1">
      <c r="D807" s="27"/>
      <c r="F807" s="16"/>
      <c r="L807" s="16"/>
      <c r="M807" s="16"/>
    </row>
    <row r="808" spans="4:13" ht="15.75" customHeight="1">
      <c r="D808" s="27"/>
      <c r="F808" s="16"/>
      <c r="L808" s="16"/>
      <c r="M808" s="16"/>
    </row>
    <row r="809" spans="4:13" ht="15.75" customHeight="1">
      <c r="D809" s="27"/>
      <c r="F809" s="16"/>
      <c r="L809" s="16"/>
      <c r="M809" s="16"/>
    </row>
    <row r="810" spans="4:13" ht="15.75" customHeight="1">
      <c r="D810" s="27"/>
      <c r="F810" s="16"/>
      <c r="L810" s="16"/>
      <c r="M810" s="16"/>
    </row>
    <row r="811" spans="4:13" ht="15.75" customHeight="1">
      <c r="D811" s="27"/>
      <c r="F811" s="16"/>
      <c r="L811" s="16"/>
      <c r="M811" s="16"/>
    </row>
    <row r="812" spans="4:13" ht="15.75" customHeight="1">
      <c r="D812" s="27"/>
      <c r="F812" s="16"/>
      <c r="L812" s="16"/>
      <c r="M812" s="16"/>
    </row>
    <row r="813" spans="4:13" ht="15.75" customHeight="1">
      <c r="D813" s="27"/>
      <c r="F813" s="16"/>
      <c r="L813" s="16"/>
      <c r="M813" s="16"/>
    </row>
    <row r="814" spans="4:13" ht="15.75" customHeight="1">
      <c r="D814" s="27"/>
      <c r="F814" s="16"/>
      <c r="L814" s="16"/>
      <c r="M814" s="16"/>
    </row>
    <row r="815" spans="4:13" ht="15.75" customHeight="1">
      <c r="D815" s="27"/>
      <c r="F815" s="16"/>
      <c r="L815" s="16"/>
      <c r="M815" s="16"/>
    </row>
    <row r="816" spans="4:13" ht="15.75" customHeight="1">
      <c r="D816" s="27"/>
      <c r="F816" s="16"/>
      <c r="L816" s="16"/>
      <c r="M816" s="16"/>
    </row>
    <row r="817" spans="4:13" ht="15.75" customHeight="1">
      <c r="D817" s="27"/>
      <c r="F817" s="16"/>
      <c r="L817" s="16"/>
      <c r="M817" s="16"/>
    </row>
    <row r="818" spans="4:13" ht="15.75" customHeight="1">
      <c r="D818" s="27"/>
      <c r="F818" s="16"/>
      <c r="L818" s="16"/>
      <c r="M818" s="16"/>
    </row>
    <row r="819" spans="4:13" ht="15.75" customHeight="1">
      <c r="D819" s="27"/>
      <c r="F819" s="16"/>
      <c r="L819" s="16"/>
      <c r="M819" s="16"/>
    </row>
    <row r="820" spans="4:13" ht="15.75" customHeight="1">
      <c r="D820" s="27"/>
      <c r="F820" s="16"/>
      <c r="L820" s="16"/>
      <c r="M820" s="16"/>
    </row>
    <row r="821" spans="4:13" ht="15.75" customHeight="1">
      <c r="D821" s="27"/>
      <c r="F821" s="16"/>
      <c r="L821" s="16"/>
      <c r="M821" s="16"/>
    </row>
    <row r="822" spans="4:13" ht="15.75" customHeight="1">
      <c r="D822" s="27"/>
      <c r="F822" s="16"/>
      <c r="L822" s="16"/>
      <c r="M822" s="16"/>
    </row>
    <row r="823" spans="4:13" ht="15.75" customHeight="1">
      <c r="D823" s="27"/>
      <c r="F823" s="16"/>
      <c r="L823" s="16"/>
      <c r="M823" s="16"/>
    </row>
    <row r="824" spans="4:13" ht="15.75" customHeight="1">
      <c r="D824" s="27"/>
      <c r="F824" s="16"/>
      <c r="L824" s="16"/>
      <c r="M824" s="16"/>
    </row>
    <row r="825" spans="4:13" ht="15.75" customHeight="1">
      <c r="D825" s="27"/>
      <c r="F825" s="16"/>
      <c r="L825" s="16"/>
      <c r="M825" s="16"/>
    </row>
    <row r="826" spans="4:13" ht="15.75" customHeight="1">
      <c r="D826" s="27"/>
      <c r="F826" s="16"/>
      <c r="L826" s="16"/>
      <c r="M826" s="16"/>
    </row>
    <row r="827" spans="4:13" ht="15.75" customHeight="1">
      <c r="D827" s="27"/>
      <c r="F827" s="16"/>
      <c r="L827" s="16"/>
      <c r="M827" s="16"/>
    </row>
    <row r="828" spans="4:13" ht="15.75" customHeight="1">
      <c r="D828" s="27"/>
      <c r="F828" s="16"/>
      <c r="L828" s="16"/>
      <c r="M828" s="16"/>
    </row>
    <row r="829" spans="4:13" ht="15.75" customHeight="1">
      <c r="D829" s="27"/>
      <c r="F829" s="16"/>
      <c r="L829" s="16"/>
      <c r="M829" s="16"/>
    </row>
    <row r="830" spans="4:13" ht="15.75" customHeight="1">
      <c r="D830" s="27"/>
      <c r="F830" s="16"/>
      <c r="L830" s="16"/>
      <c r="M830" s="16"/>
    </row>
    <row r="831" spans="4:13" ht="15.75" customHeight="1">
      <c r="D831" s="27"/>
      <c r="F831" s="16"/>
      <c r="L831" s="16"/>
      <c r="M831" s="16"/>
    </row>
    <row r="832" spans="4:13" ht="15.75" customHeight="1">
      <c r="D832" s="27"/>
      <c r="F832" s="16"/>
      <c r="L832" s="16"/>
      <c r="M832" s="16"/>
    </row>
    <row r="833" spans="4:13" ht="15.75" customHeight="1">
      <c r="D833" s="27"/>
      <c r="F833" s="16"/>
      <c r="L833" s="16"/>
      <c r="M833" s="16"/>
    </row>
    <row r="834" spans="4:13" ht="15.75" customHeight="1">
      <c r="D834" s="27"/>
      <c r="F834" s="16"/>
      <c r="L834" s="16"/>
      <c r="M834" s="16"/>
    </row>
    <row r="835" spans="4:13" ht="15.75" customHeight="1">
      <c r="D835" s="27"/>
      <c r="F835" s="16"/>
      <c r="L835" s="16"/>
      <c r="M835" s="16"/>
    </row>
    <row r="836" spans="4:13" ht="15.75" customHeight="1">
      <c r="D836" s="27"/>
      <c r="F836" s="16"/>
      <c r="L836" s="16"/>
      <c r="M836" s="16"/>
    </row>
    <row r="837" spans="4:13" ht="15.75" customHeight="1">
      <c r="D837" s="27"/>
      <c r="F837" s="16"/>
      <c r="L837" s="16"/>
      <c r="M837" s="16"/>
    </row>
    <row r="838" spans="4:13" ht="15.75" customHeight="1">
      <c r="D838" s="27"/>
      <c r="F838" s="16"/>
      <c r="L838" s="16"/>
      <c r="M838" s="16"/>
    </row>
    <row r="839" spans="4:13" ht="15.75" customHeight="1">
      <c r="D839" s="27"/>
      <c r="F839" s="16"/>
      <c r="L839" s="16"/>
      <c r="M839" s="16"/>
    </row>
    <row r="840" spans="4:13" ht="15.75" customHeight="1">
      <c r="D840" s="27"/>
      <c r="F840" s="16"/>
      <c r="L840" s="16"/>
      <c r="M840" s="16"/>
    </row>
    <row r="841" spans="4:13" ht="15.75" customHeight="1">
      <c r="D841" s="27"/>
      <c r="F841" s="16"/>
      <c r="L841" s="16"/>
      <c r="M841" s="16"/>
    </row>
    <row r="842" spans="4:13" ht="15.75" customHeight="1">
      <c r="D842" s="27"/>
      <c r="F842" s="16"/>
      <c r="L842" s="16"/>
      <c r="M842" s="16"/>
    </row>
    <row r="843" spans="4:13" ht="15.75" customHeight="1">
      <c r="D843" s="27"/>
      <c r="F843" s="16"/>
      <c r="L843" s="16"/>
      <c r="M843" s="16"/>
    </row>
    <row r="844" spans="4:13" ht="15.75" customHeight="1">
      <c r="D844" s="27"/>
      <c r="F844" s="16"/>
      <c r="L844" s="16"/>
      <c r="M844" s="16"/>
    </row>
    <row r="845" spans="4:13" ht="15.75" customHeight="1">
      <c r="D845" s="27"/>
      <c r="F845" s="16"/>
      <c r="L845" s="16"/>
      <c r="M845" s="16"/>
    </row>
    <row r="846" spans="4:13" ht="15.75" customHeight="1">
      <c r="D846" s="27"/>
      <c r="F846" s="16"/>
      <c r="L846" s="16"/>
      <c r="M846" s="16"/>
    </row>
    <row r="847" spans="4:13" ht="15.75" customHeight="1">
      <c r="D847" s="27"/>
      <c r="F847" s="16"/>
      <c r="L847" s="16"/>
      <c r="M847" s="16"/>
    </row>
    <row r="848" spans="4:13" ht="15.75" customHeight="1">
      <c r="D848" s="27"/>
      <c r="F848" s="16"/>
      <c r="L848" s="16"/>
      <c r="M848" s="16"/>
    </row>
    <row r="849" spans="4:13" ht="15.75" customHeight="1">
      <c r="D849" s="27"/>
      <c r="F849" s="16"/>
      <c r="L849" s="16"/>
      <c r="M849" s="16"/>
    </row>
    <row r="850" spans="4:13" ht="15.75" customHeight="1">
      <c r="D850" s="27"/>
      <c r="F850" s="16"/>
      <c r="L850" s="16"/>
      <c r="M850" s="16"/>
    </row>
    <row r="851" spans="4:13" ht="15.75" customHeight="1">
      <c r="D851" s="27"/>
      <c r="F851" s="16"/>
      <c r="L851" s="16"/>
      <c r="M851" s="16"/>
    </row>
    <row r="852" spans="4:13" ht="15.75" customHeight="1">
      <c r="D852" s="27"/>
      <c r="F852" s="16"/>
      <c r="L852" s="16"/>
      <c r="M852" s="16"/>
    </row>
    <row r="853" spans="4:13" ht="15.75" customHeight="1">
      <c r="D853" s="27"/>
      <c r="F853" s="16"/>
      <c r="L853" s="16"/>
      <c r="M853" s="16"/>
    </row>
    <row r="854" spans="4:13" ht="15.75" customHeight="1">
      <c r="D854" s="27"/>
      <c r="F854" s="16"/>
      <c r="L854" s="16"/>
      <c r="M854" s="16"/>
    </row>
    <row r="855" spans="4:13" ht="15.75" customHeight="1">
      <c r="D855" s="27"/>
      <c r="F855" s="16"/>
      <c r="L855" s="16"/>
      <c r="M855" s="16"/>
    </row>
    <row r="856" spans="4:13" ht="15.75" customHeight="1">
      <c r="D856" s="27"/>
      <c r="F856" s="16"/>
      <c r="L856" s="16"/>
      <c r="M856" s="16"/>
    </row>
    <row r="857" spans="4:13" ht="15.75" customHeight="1">
      <c r="D857" s="27"/>
      <c r="F857" s="16"/>
      <c r="L857" s="16"/>
      <c r="M857" s="16"/>
    </row>
    <row r="858" spans="4:13" ht="15.75" customHeight="1">
      <c r="D858" s="27"/>
      <c r="F858" s="16"/>
      <c r="L858" s="16"/>
      <c r="M858" s="16"/>
    </row>
    <row r="859" spans="4:13" ht="15.75" customHeight="1">
      <c r="D859" s="27"/>
      <c r="F859" s="16"/>
      <c r="L859" s="16"/>
      <c r="M859" s="16"/>
    </row>
    <row r="860" spans="4:13" ht="15.75" customHeight="1">
      <c r="D860" s="27"/>
      <c r="F860" s="16"/>
      <c r="L860" s="16"/>
      <c r="M860" s="16"/>
    </row>
    <row r="861" spans="4:13" ht="15.75" customHeight="1">
      <c r="D861" s="27"/>
      <c r="F861" s="16"/>
      <c r="L861" s="16"/>
      <c r="M861" s="16"/>
    </row>
    <row r="862" spans="4:13" ht="15.75" customHeight="1">
      <c r="D862" s="27"/>
      <c r="F862" s="16"/>
      <c r="L862" s="16"/>
      <c r="M862" s="16"/>
    </row>
    <row r="863" spans="4:13" ht="15.75" customHeight="1">
      <c r="D863" s="27"/>
      <c r="F863" s="16"/>
      <c r="L863" s="16"/>
      <c r="M863" s="16"/>
    </row>
    <row r="864" spans="4:13" ht="15.75" customHeight="1">
      <c r="D864" s="27"/>
      <c r="F864" s="16"/>
      <c r="L864" s="16"/>
      <c r="M864" s="16"/>
    </row>
    <row r="865" spans="4:13" ht="15.75" customHeight="1">
      <c r="D865" s="27"/>
      <c r="F865" s="16"/>
      <c r="L865" s="16"/>
      <c r="M865" s="16"/>
    </row>
    <row r="866" spans="4:13" ht="15.75" customHeight="1">
      <c r="D866" s="27"/>
      <c r="F866" s="16"/>
      <c r="L866" s="16"/>
      <c r="M866" s="16"/>
    </row>
    <row r="867" spans="4:13" ht="15.75" customHeight="1">
      <c r="D867" s="27"/>
      <c r="F867" s="16"/>
      <c r="L867" s="16"/>
      <c r="M867" s="16"/>
    </row>
    <row r="868" spans="4:13" ht="15.75" customHeight="1">
      <c r="D868" s="27"/>
      <c r="F868" s="16"/>
      <c r="L868" s="16"/>
      <c r="M868" s="16"/>
    </row>
    <row r="869" spans="4:13" ht="15.75" customHeight="1">
      <c r="D869" s="27"/>
      <c r="F869" s="16"/>
      <c r="L869" s="16"/>
      <c r="M869" s="16"/>
    </row>
    <row r="870" spans="4:13" ht="15.75" customHeight="1">
      <c r="D870" s="27"/>
      <c r="F870" s="16"/>
      <c r="L870" s="16"/>
      <c r="M870" s="16"/>
    </row>
    <row r="871" spans="4:13" ht="15.75" customHeight="1">
      <c r="D871" s="27"/>
      <c r="F871" s="16"/>
      <c r="L871" s="16"/>
      <c r="M871" s="16"/>
    </row>
    <row r="872" spans="4:13" ht="15.75" customHeight="1">
      <c r="D872" s="27"/>
      <c r="F872" s="16"/>
      <c r="L872" s="16"/>
      <c r="M872" s="16"/>
    </row>
    <row r="873" spans="4:13" ht="15.75" customHeight="1">
      <c r="D873" s="27"/>
      <c r="F873" s="16"/>
      <c r="L873" s="16"/>
      <c r="M873" s="16"/>
    </row>
    <row r="874" spans="4:13" ht="15.75" customHeight="1">
      <c r="D874" s="27"/>
      <c r="F874" s="16"/>
      <c r="L874" s="16"/>
      <c r="M874" s="16"/>
    </row>
    <row r="875" spans="4:13" ht="15.75" customHeight="1">
      <c r="D875" s="27"/>
      <c r="F875" s="16"/>
      <c r="L875" s="16"/>
      <c r="M875" s="16"/>
    </row>
    <row r="876" spans="4:13" ht="15.75" customHeight="1">
      <c r="D876" s="27"/>
      <c r="F876" s="16"/>
      <c r="L876" s="16"/>
      <c r="M876" s="16"/>
    </row>
    <row r="877" spans="4:13" ht="15.75" customHeight="1">
      <c r="D877" s="27"/>
      <c r="F877" s="16"/>
      <c r="L877" s="16"/>
      <c r="M877" s="16"/>
    </row>
    <row r="878" spans="4:13" ht="15.75" customHeight="1">
      <c r="D878" s="27"/>
      <c r="F878" s="16"/>
      <c r="L878" s="16"/>
      <c r="M878" s="16"/>
    </row>
    <row r="879" spans="4:13" ht="15.75" customHeight="1">
      <c r="D879" s="27"/>
      <c r="F879" s="16"/>
      <c r="L879" s="16"/>
      <c r="M879" s="16"/>
    </row>
    <row r="880" spans="4:13" ht="15.75" customHeight="1">
      <c r="D880" s="27"/>
      <c r="F880" s="16"/>
      <c r="L880" s="16"/>
      <c r="M880" s="16"/>
    </row>
    <row r="881" spans="4:13" ht="15.75" customHeight="1">
      <c r="D881" s="27"/>
      <c r="F881" s="16"/>
      <c r="L881" s="16"/>
      <c r="M881" s="16"/>
    </row>
    <row r="882" spans="4:13" ht="15.75" customHeight="1">
      <c r="D882" s="27"/>
      <c r="F882" s="16"/>
      <c r="L882" s="16"/>
      <c r="M882" s="16"/>
    </row>
    <row r="883" spans="4:13" ht="15.75" customHeight="1">
      <c r="D883" s="27"/>
      <c r="F883" s="16"/>
      <c r="L883" s="16"/>
      <c r="M883" s="16"/>
    </row>
    <row r="884" spans="4:13" ht="15.75" customHeight="1">
      <c r="D884" s="27"/>
      <c r="F884" s="16"/>
      <c r="L884" s="16"/>
      <c r="M884" s="16"/>
    </row>
    <row r="885" spans="4:13" ht="15.75" customHeight="1">
      <c r="D885" s="27"/>
      <c r="F885" s="16"/>
      <c r="L885" s="16"/>
      <c r="M885" s="16"/>
    </row>
    <row r="886" spans="4:13" ht="15.75" customHeight="1">
      <c r="D886" s="27"/>
      <c r="F886" s="16"/>
      <c r="L886" s="16"/>
      <c r="M886" s="16"/>
    </row>
    <row r="887" spans="4:13" ht="15.75" customHeight="1">
      <c r="D887" s="27"/>
      <c r="F887" s="16"/>
      <c r="L887" s="16"/>
      <c r="M887" s="16"/>
    </row>
    <row r="888" spans="4:13" ht="15.75" customHeight="1">
      <c r="D888" s="27"/>
      <c r="F888" s="16"/>
      <c r="L888" s="16"/>
      <c r="M888" s="16"/>
    </row>
    <row r="889" spans="4:13" ht="15.75" customHeight="1">
      <c r="D889" s="27"/>
      <c r="F889" s="16"/>
      <c r="L889" s="16"/>
      <c r="M889" s="16"/>
    </row>
    <row r="890" spans="4:13" ht="15.75" customHeight="1">
      <c r="D890" s="27"/>
      <c r="F890" s="16"/>
      <c r="L890" s="16"/>
      <c r="M890" s="16"/>
    </row>
    <row r="891" spans="4:13" ht="15.75" customHeight="1">
      <c r="D891" s="27"/>
      <c r="F891" s="16"/>
      <c r="L891" s="16"/>
      <c r="M891" s="16"/>
    </row>
    <row r="892" spans="4:13" ht="15.75" customHeight="1">
      <c r="D892" s="27"/>
      <c r="F892" s="16"/>
      <c r="L892" s="16"/>
      <c r="M892" s="16"/>
    </row>
    <row r="893" spans="4:13" ht="15.75" customHeight="1">
      <c r="D893" s="27"/>
      <c r="F893" s="16"/>
      <c r="L893" s="16"/>
      <c r="M893" s="16"/>
    </row>
    <row r="894" spans="4:13" ht="15.75" customHeight="1">
      <c r="D894" s="27"/>
      <c r="F894" s="16"/>
      <c r="L894" s="16"/>
      <c r="M894" s="16"/>
    </row>
    <row r="895" spans="4:13" ht="15.75" customHeight="1">
      <c r="D895" s="27"/>
      <c r="F895" s="16"/>
      <c r="L895" s="16"/>
      <c r="M895" s="16"/>
    </row>
    <row r="896" spans="4:13" ht="15.75" customHeight="1">
      <c r="D896" s="27"/>
      <c r="F896" s="16"/>
      <c r="L896" s="16"/>
      <c r="M896" s="16"/>
    </row>
    <row r="897" spans="4:13" ht="15.75" customHeight="1">
      <c r="D897" s="27"/>
      <c r="F897" s="16"/>
      <c r="L897" s="16"/>
      <c r="M897" s="16"/>
    </row>
    <row r="898" spans="4:13" ht="15.75" customHeight="1">
      <c r="D898" s="27"/>
      <c r="F898" s="16"/>
      <c r="L898" s="16"/>
      <c r="M898" s="16"/>
    </row>
    <row r="899" spans="4:13" ht="15.75" customHeight="1">
      <c r="D899" s="27"/>
      <c r="F899" s="16"/>
      <c r="L899" s="16"/>
      <c r="M899" s="16"/>
    </row>
    <row r="900" spans="4:13" ht="15.75" customHeight="1">
      <c r="D900" s="27"/>
      <c r="F900" s="16"/>
      <c r="L900" s="16"/>
      <c r="M900" s="16"/>
    </row>
    <row r="901" spans="4:13" ht="15.75" customHeight="1">
      <c r="D901" s="27"/>
      <c r="F901" s="16"/>
      <c r="L901" s="16"/>
      <c r="M901" s="16"/>
    </row>
    <row r="902" spans="4:13" ht="15.75" customHeight="1">
      <c r="D902" s="27"/>
      <c r="F902" s="16"/>
      <c r="L902" s="16"/>
      <c r="M902" s="16"/>
    </row>
    <row r="903" spans="4:13" ht="15.75" customHeight="1">
      <c r="D903" s="27"/>
      <c r="F903" s="16"/>
      <c r="L903" s="16"/>
      <c r="M903" s="16"/>
    </row>
    <row r="904" spans="4:13" ht="15.75" customHeight="1">
      <c r="D904" s="27"/>
      <c r="F904" s="16"/>
      <c r="L904" s="16"/>
      <c r="M904" s="16"/>
    </row>
    <row r="905" spans="4:13" ht="15.75" customHeight="1">
      <c r="D905" s="27"/>
      <c r="F905" s="16"/>
      <c r="L905" s="16"/>
      <c r="M905" s="16"/>
    </row>
    <row r="906" spans="4:13" ht="15.75" customHeight="1">
      <c r="D906" s="27"/>
      <c r="F906" s="16"/>
      <c r="L906" s="16"/>
      <c r="M906" s="16"/>
    </row>
    <row r="907" spans="4:13" ht="15.75" customHeight="1">
      <c r="D907" s="27"/>
      <c r="F907" s="16"/>
      <c r="L907" s="16"/>
      <c r="M907" s="16"/>
    </row>
    <row r="908" spans="4:13" ht="15.75" customHeight="1">
      <c r="D908" s="27"/>
      <c r="F908" s="16"/>
      <c r="L908" s="16"/>
      <c r="M908" s="16"/>
    </row>
    <row r="909" spans="4:13" ht="15.75" customHeight="1">
      <c r="D909" s="27"/>
      <c r="F909" s="16"/>
      <c r="L909" s="16"/>
      <c r="M909" s="16"/>
    </row>
    <row r="910" spans="4:13" ht="15.75" customHeight="1">
      <c r="D910" s="27"/>
      <c r="F910" s="16"/>
      <c r="L910" s="16"/>
      <c r="M910" s="16"/>
    </row>
    <row r="911" spans="4:13" ht="15.75" customHeight="1">
      <c r="D911" s="27"/>
      <c r="F911" s="16"/>
      <c r="L911" s="16"/>
      <c r="M911" s="16"/>
    </row>
    <row r="912" spans="4:13" ht="15.75" customHeight="1">
      <c r="D912" s="27"/>
      <c r="F912" s="16"/>
      <c r="L912" s="16"/>
      <c r="M912" s="16"/>
    </row>
    <row r="913" spans="4:13" ht="15.75" customHeight="1">
      <c r="D913" s="27"/>
      <c r="F913" s="16"/>
      <c r="L913" s="16"/>
      <c r="M913" s="16"/>
    </row>
    <row r="914" spans="4:13" ht="15.75" customHeight="1">
      <c r="D914" s="27"/>
      <c r="F914" s="16"/>
      <c r="L914" s="16"/>
      <c r="M914" s="16"/>
    </row>
    <row r="915" spans="4:13" ht="15.75" customHeight="1">
      <c r="D915" s="27"/>
      <c r="F915" s="16"/>
      <c r="L915" s="16"/>
      <c r="M915" s="16"/>
    </row>
    <row r="916" spans="4:13" ht="15.75" customHeight="1">
      <c r="D916" s="27"/>
      <c r="F916" s="16"/>
      <c r="L916" s="16"/>
      <c r="M916" s="16"/>
    </row>
    <row r="917" spans="4:13" ht="15.75" customHeight="1">
      <c r="D917" s="27"/>
      <c r="F917" s="16"/>
      <c r="L917" s="16"/>
      <c r="M917" s="16"/>
    </row>
    <row r="918" spans="4:13" ht="15.75" customHeight="1">
      <c r="D918" s="27"/>
      <c r="F918" s="16"/>
      <c r="L918" s="16"/>
      <c r="M918" s="16"/>
    </row>
    <row r="919" spans="4:13" ht="15.75" customHeight="1">
      <c r="D919" s="27"/>
      <c r="F919" s="16"/>
      <c r="L919" s="16"/>
      <c r="M919" s="16"/>
    </row>
    <row r="920" spans="4:13" ht="15.75" customHeight="1">
      <c r="D920" s="27"/>
      <c r="F920" s="16"/>
      <c r="L920" s="16"/>
      <c r="M920" s="16"/>
    </row>
    <row r="921" spans="4:13" ht="15.75" customHeight="1">
      <c r="D921" s="27"/>
      <c r="F921" s="16"/>
      <c r="L921" s="16"/>
      <c r="M921" s="16"/>
    </row>
    <row r="922" spans="4:13" ht="15.75" customHeight="1">
      <c r="D922" s="27"/>
      <c r="F922" s="16"/>
      <c r="L922" s="16"/>
      <c r="M922" s="16"/>
    </row>
    <row r="923" spans="4:13" ht="15.75" customHeight="1">
      <c r="D923" s="27"/>
      <c r="F923" s="16"/>
      <c r="L923" s="16"/>
      <c r="M923" s="16"/>
    </row>
    <row r="924" spans="4:13" ht="15.75" customHeight="1">
      <c r="D924" s="27"/>
      <c r="F924" s="16"/>
      <c r="L924" s="16"/>
      <c r="M924" s="16"/>
    </row>
    <row r="925" spans="4:13" ht="15.75" customHeight="1">
      <c r="D925" s="27"/>
      <c r="F925" s="16"/>
      <c r="L925" s="16"/>
      <c r="M925" s="16"/>
    </row>
    <row r="926" spans="4:13" ht="15.75" customHeight="1">
      <c r="D926" s="27"/>
      <c r="F926" s="16"/>
      <c r="L926" s="16"/>
      <c r="M926" s="16"/>
    </row>
    <row r="927" spans="4:13" ht="15.75" customHeight="1">
      <c r="D927" s="27"/>
      <c r="F927" s="16"/>
      <c r="L927" s="16"/>
      <c r="M927" s="16"/>
    </row>
    <row r="928" spans="4:13" ht="15.75" customHeight="1">
      <c r="D928" s="27"/>
      <c r="F928" s="16"/>
      <c r="L928" s="16"/>
      <c r="M928" s="16"/>
    </row>
    <row r="929" spans="4:13" ht="15.75" customHeight="1">
      <c r="D929" s="27"/>
      <c r="F929" s="16"/>
      <c r="L929" s="16"/>
      <c r="M929" s="16"/>
    </row>
    <row r="930" spans="4:13" ht="15.75" customHeight="1">
      <c r="D930" s="27"/>
      <c r="F930" s="16"/>
      <c r="L930" s="16"/>
      <c r="M930" s="16"/>
    </row>
    <row r="931" spans="4:13" ht="15.75" customHeight="1">
      <c r="D931" s="27"/>
      <c r="F931" s="16"/>
      <c r="L931" s="16"/>
      <c r="M931" s="16"/>
    </row>
    <row r="932" spans="4:13" ht="15.75" customHeight="1">
      <c r="D932" s="27"/>
      <c r="F932" s="16"/>
      <c r="L932" s="16"/>
      <c r="M932" s="16"/>
    </row>
    <row r="933" spans="4:13" ht="15.75" customHeight="1">
      <c r="D933" s="27"/>
      <c r="F933" s="16"/>
      <c r="L933" s="16"/>
      <c r="M933" s="16"/>
    </row>
    <row r="934" spans="4:13" ht="15.75" customHeight="1">
      <c r="D934" s="27"/>
      <c r="F934" s="16"/>
      <c r="L934" s="16"/>
      <c r="M934" s="16"/>
    </row>
    <row r="935" spans="4:13" ht="15.75" customHeight="1">
      <c r="D935" s="27"/>
      <c r="F935" s="16"/>
      <c r="L935" s="16"/>
      <c r="M935" s="16"/>
    </row>
    <row r="936" spans="4:13" ht="15.75" customHeight="1">
      <c r="D936" s="27"/>
      <c r="F936" s="16"/>
      <c r="L936" s="16"/>
      <c r="M936" s="16"/>
    </row>
    <row r="937" spans="4:13" ht="15.75" customHeight="1">
      <c r="D937" s="27"/>
      <c r="F937" s="16"/>
      <c r="L937" s="16"/>
      <c r="M937" s="16"/>
    </row>
    <row r="938" spans="4:13" ht="15.75" customHeight="1">
      <c r="D938" s="27"/>
      <c r="F938" s="16"/>
      <c r="L938" s="16"/>
      <c r="M938" s="16"/>
    </row>
    <row r="939" spans="4:13" ht="15.75" customHeight="1">
      <c r="D939" s="27"/>
      <c r="F939" s="16"/>
      <c r="L939" s="16"/>
      <c r="M939" s="16"/>
    </row>
    <row r="940" spans="4:13" ht="15.75" customHeight="1">
      <c r="D940" s="27"/>
      <c r="F940" s="16"/>
      <c r="L940" s="16"/>
      <c r="M940" s="16"/>
    </row>
    <row r="941" spans="4:13" ht="15.75" customHeight="1">
      <c r="D941" s="27"/>
      <c r="F941" s="16"/>
      <c r="L941" s="16"/>
      <c r="M941" s="16"/>
    </row>
    <row r="942" spans="4:13" ht="15.75" customHeight="1">
      <c r="D942" s="27"/>
      <c r="F942" s="16"/>
      <c r="L942" s="16"/>
      <c r="M942" s="16"/>
    </row>
    <row r="943" spans="4:13" ht="15.75" customHeight="1">
      <c r="D943" s="27"/>
      <c r="F943" s="16"/>
      <c r="L943" s="16"/>
      <c r="M943" s="16"/>
    </row>
    <row r="944" spans="4:13" ht="15.75" customHeight="1">
      <c r="D944" s="27"/>
      <c r="F944" s="16"/>
      <c r="L944" s="16"/>
      <c r="M944" s="16"/>
    </row>
    <row r="945" spans="4:13" ht="15.75" customHeight="1">
      <c r="D945" s="27"/>
      <c r="F945" s="16"/>
      <c r="L945" s="16"/>
      <c r="M945" s="16"/>
    </row>
    <row r="946" spans="4:13" ht="15.75" customHeight="1">
      <c r="D946" s="27"/>
      <c r="F946" s="16"/>
      <c r="L946" s="16"/>
      <c r="M946" s="16"/>
    </row>
    <row r="947" spans="4:13" ht="15.75" customHeight="1">
      <c r="D947" s="27"/>
      <c r="F947" s="16"/>
      <c r="L947" s="16"/>
      <c r="M947" s="16"/>
    </row>
    <row r="948" spans="4:13" ht="15.75" customHeight="1">
      <c r="D948" s="27"/>
      <c r="F948" s="16"/>
      <c r="L948" s="16"/>
      <c r="M948" s="16"/>
    </row>
    <row r="949" spans="4:13" ht="15.75" customHeight="1">
      <c r="D949" s="27"/>
      <c r="F949" s="16"/>
      <c r="L949" s="16"/>
      <c r="M949" s="16"/>
    </row>
    <row r="950" spans="4:13" ht="15.75" customHeight="1">
      <c r="D950" s="27"/>
      <c r="F950" s="16"/>
      <c r="L950" s="16"/>
      <c r="M950" s="16"/>
    </row>
    <row r="951" spans="4:13" ht="15.75" customHeight="1">
      <c r="D951" s="27"/>
      <c r="F951" s="16"/>
      <c r="L951" s="16"/>
      <c r="M951" s="16"/>
    </row>
    <row r="952" spans="4:13" ht="15.75" customHeight="1">
      <c r="D952" s="27"/>
      <c r="F952" s="16"/>
      <c r="L952" s="16"/>
      <c r="M952" s="16"/>
    </row>
    <row r="953" spans="4:13" ht="15.75" customHeight="1">
      <c r="D953" s="27"/>
      <c r="F953" s="16"/>
      <c r="L953" s="16"/>
      <c r="M953" s="16"/>
    </row>
    <row r="954" spans="4:13" ht="15.75" customHeight="1">
      <c r="D954" s="27"/>
      <c r="F954" s="16"/>
      <c r="L954" s="16"/>
      <c r="M954" s="16"/>
    </row>
    <row r="955" spans="4:13" ht="15.75" customHeight="1">
      <c r="D955" s="27"/>
      <c r="F955" s="16"/>
      <c r="L955" s="16"/>
      <c r="M955" s="16"/>
    </row>
    <row r="956" spans="4:13" ht="15.75" customHeight="1">
      <c r="D956" s="27"/>
      <c r="F956" s="16"/>
      <c r="L956" s="16"/>
      <c r="M956" s="16"/>
    </row>
    <row r="957" spans="4:13" ht="15.75" customHeight="1">
      <c r="D957" s="27"/>
      <c r="F957" s="16"/>
      <c r="L957" s="16"/>
      <c r="M957" s="16"/>
    </row>
    <row r="958" spans="4:13" ht="15.75" customHeight="1">
      <c r="D958" s="27"/>
      <c r="F958" s="16"/>
      <c r="L958" s="16"/>
      <c r="M958" s="16"/>
    </row>
    <row r="959" spans="4:13" ht="15.75" customHeight="1">
      <c r="D959" s="27"/>
      <c r="F959" s="16"/>
      <c r="L959" s="16"/>
      <c r="M959" s="16"/>
    </row>
    <row r="960" spans="4:13" ht="15.75" customHeight="1">
      <c r="D960" s="27"/>
      <c r="F960" s="16"/>
      <c r="L960" s="16"/>
      <c r="M960" s="16"/>
    </row>
    <row r="961" spans="4:13" ht="15.75" customHeight="1">
      <c r="D961" s="27"/>
      <c r="F961" s="16"/>
      <c r="L961" s="16"/>
      <c r="M961" s="16"/>
    </row>
    <row r="962" spans="4:13" ht="15.75" customHeight="1">
      <c r="D962" s="27"/>
      <c r="F962" s="16"/>
      <c r="L962" s="16"/>
      <c r="M962" s="16"/>
    </row>
    <row r="963" spans="4:13" ht="15.75" customHeight="1">
      <c r="D963" s="27"/>
      <c r="F963" s="16"/>
      <c r="L963" s="16"/>
      <c r="M963" s="16"/>
    </row>
    <row r="964" spans="4:13" ht="15.75" customHeight="1">
      <c r="D964" s="27"/>
      <c r="F964" s="16"/>
      <c r="L964" s="16"/>
      <c r="M964" s="16"/>
    </row>
    <row r="965" spans="4:13" ht="15.75" customHeight="1">
      <c r="D965" s="27"/>
      <c r="F965" s="16"/>
      <c r="L965" s="16"/>
      <c r="M965" s="16"/>
    </row>
    <row r="966" spans="4:13" ht="15.75" customHeight="1">
      <c r="D966" s="27"/>
      <c r="F966" s="16"/>
      <c r="L966" s="16"/>
      <c r="M966" s="16"/>
    </row>
    <row r="967" spans="4:13" ht="15.75" customHeight="1">
      <c r="D967" s="27"/>
      <c r="F967" s="16"/>
      <c r="L967" s="16"/>
      <c r="M967" s="16"/>
    </row>
    <row r="968" spans="4:13" ht="15.75" customHeight="1">
      <c r="D968" s="27"/>
      <c r="F968" s="16"/>
      <c r="L968" s="16"/>
      <c r="M968" s="16"/>
    </row>
    <row r="969" spans="4:13" ht="15.75" customHeight="1">
      <c r="D969" s="27"/>
      <c r="F969" s="16"/>
      <c r="L969" s="16"/>
      <c r="M969" s="16"/>
    </row>
    <row r="970" spans="4:13" ht="15.75" customHeight="1">
      <c r="D970" s="27"/>
      <c r="F970" s="16"/>
      <c r="L970" s="16"/>
      <c r="M970" s="16"/>
    </row>
    <row r="971" spans="4:13" ht="15.75" customHeight="1">
      <c r="D971" s="27"/>
      <c r="F971" s="16"/>
      <c r="L971" s="16"/>
      <c r="M971" s="16"/>
    </row>
    <row r="972" spans="4:13" ht="15.75" customHeight="1">
      <c r="D972" s="27"/>
      <c r="F972" s="16"/>
      <c r="L972" s="16"/>
      <c r="M972" s="16"/>
    </row>
    <row r="973" spans="4:13" ht="15.75" customHeight="1">
      <c r="D973" s="27"/>
      <c r="F973" s="16"/>
      <c r="L973" s="16"/>
      <c r="M973" s="16"/>
    </row>
    <row r="974" spans="4:13" ht="15.75" customHeight="1">
      <c r="D974" s="27"/>
      <c r="F974" s="16"/>
      <c r="L974" s="16"/>
      <c r="M974" s="16"/>
    </row>
    <row r="975" spans="4:13" ht="15.75" customHeight="1">
      <c r="D975" s="27"/>
      <c r="F975" s="16"/>
      <c r="L975" s="16"/>
      <c r="M975" s="16"/>
    </row>
    <row r="976" spans="4:13" ht="15.75" customHeight="1">
      <c r="D976" s="27"/>
      <c r="F976" s="16"/>
      <c r="L976" s="16"/>
      <c r="M976" s="16"/>
    </row>
    <row r="977" spans="4:13" ht="15.75" customHeight="1">
      <c r="D977" s="27"/>
      <c r="F977" s="16"/>
      <c r="L977" s="16"/>
      <c r="M977" s="16"/>
    </row>
    <row r="978" spans="4:13" ht="15.75" customHeight="1">
      <c r="D978" s="27"/>
      <c r="F978" s="16"/>
      <c r="L978" s="16"/>
      <c r="M978" s="16"/>
    </row>
    <row r="979" spans="4:13" ht="15.75" customHeight="1">
      <c r="D979" s="27"/>
      <c r="F979" s="16"/>
      <c r="L979" s="16"/>
      <c r="M979" s="16"/>
    </row>
    <row r="980" spans="4:13" ht="15.75" customHeight="1">
      <c r="D980" s="27"/>
      <c r="F980" s="16"/>
      <c r="L980" s="16"/>
      <c r="M980" s="16"/>
    </row>
    <row r="981" spans="4:13" ht="15.75" customHeight="1">
      <c r="D981" s="27"/>
      <c r="F981" s="16"/>
      <c r="L981" s="16"/>
      <c r="M981" s="16"/>
    </row>
    <row r="982" spans="4:13" ht="15.75" customHeight="1">
      <c r="D982" s="27"/>
      <c r="F982" s="16"/>
      <c r="L982" s="16"/>
      <c r="M982" s="16"/>
    </row>
    <row r="983" spans="4:13" ht="15.75" customHeight="1">
      <c r="D983" s="27"/>
      <c r="F983" s="16"/>
      <c r="L983" s="16"/>
      <c r="M983" s="16"/>
    </row>
    <row r="984" spans="4:13" ht="15.75" customHeight="1">
      <c r="D984" s="27"/>
      <c r="F984" s="16"/>
      <c r="L984" s="16"/>
      <c r="M984" s="16"/>
    </row>
    <row r="985" spans="4:13" ht="15.75" customHeight="1">
      <c r="D985" s="27"/>
      <c r="F985" s="16"/>
      <c r="L985" s="16"/>
      <c r="M985" s="16"/>
    </row>
    <row r="986" spans="4:13" ht="15.75" customHeight="1">
      <c r="D986" s="27"/>
      <c r="F986" s="16"/>
      <c r="L986" s="16"/>
      <c r="M986" s="16"/>
    </row>
    <row r="987" spans="4:13" ht="15.75" customHeight="1">
      <c r="D987" s="27"/>
      <c r="F987" s="16"/>
      <c r="L987" s="16"/>
      <c r="M987" s="16"/>
    </row>
    <row r="988" spans="4:13" ht="15.75" customHeight="1">
      <c r="D988" s="27"/>
      <c r="F988" s="16"/>
      <c r="L988" s="16"/>
      <c r="M988" s="16"/>
    </row>
    <row r="989" spans="4:13" ht="15.75" customHeight="1">
      <c r="D989" s="27"/>
      <c r="F989" s="16"/>
      <c r="L989" s="16"/>
      <c r="M989" s="16"/>
    </row>
    <row r="990" spans="4:13" ht="15.75" customHeight="1">
      <c r="D990" s="27"/>
      <c r="F990" s="16"/>
      <c r="L990" s="16"/>
      <c r="M990" s="16"/>
    </row>
    <row r="991" spans="4:13" ht="15.75" customHeight="1">
      <c r="D991" s="27"/>
      <c r="F991" s="16"/>
      <c r="L991" s="16"/>
      <c r="M991" s="16"/>
    </row>
    <row r="992" spans="4:13" ht="15.75" customHeight="1">
      <c r="D992" s="27"/>
      <c r="F992" s="16"/>
      <c r="L992" s="16"/>
      <c r="M992" s="16"/>
    </row>
    <row r="993" spans="4:13" ht="15.75" customHeight="1">
      <c r="D993" s="27"/>
      <c r="F993" s="16"/>
      <c r="L993" s="16"/>
      <c r="M993" s="16"/>
    </row>
    <row r="994" spans="4:13" ht="15.75" customHeight="1">
      <c r="D994" s="27"/>
      <c r="F994" s="16"/>
      <c r="L994" s="16"/>
      <c r="M994" s="16"/>
    </row>
    <row r="995" spans="4:13" ht="15.75" customHeight="1">
      <c r="D995" s="27"/>
      <c r="F995" s="16"/>
      <c r="L995" s="16"/>
      <c r="M995" s="16"/>
    </row>
    <row r="996" spans="4:13" ht="15.75" customHeight="1">
      <c r="D996" s="27"/>
      <c r="F996" s="16"/>
      <c r="L996" s="16"/>
      <c r="M996" s="16"/>
    </row>
    <row r="997" spans="4:13" ht="15.75" customHeight="1">
      <c r="D997" s="27"/>
      <c r="F997" s="16"/>
      <c r="L997" s="16"/>
      <c r="M997" s="16"/>
    </row>
    <row r="998" spans="4:13" ht="15.75" customHeight="1">
      <c r="D998" s="27"/>
      <c r="F998" s="16"/>
      <c r="L998" s="16"/>
      <c r="M998" s="16"/>
    </row>
    <row r="999" spans="4:13" ht="15.75" customHeight="1">
      <c r="D999" s="27"/>
      <c r="F999" s="16"/>
      <c r="L999" s="16"/>
      <c r="M999" s="16"/>
    </row>
    <row r="1000" spans="4:13" ht="15.75" customHeight="1">
      <c r="D1000" s="27"/>
      <c r="F1000" s="16"/>
      <c r="L1000" s="16"/>
      <c r="M1000" s="16"/>
    </row>
  </sheetData>
  <mergeCells count="7">
    <mergeCell ref="I8:L8"/>
    <mergeCell ref="B8:B9"/>
    <mergeCell ref="C8:C9"/>
    <mergeCell ref="D8:D9"/>
    <mergeCell ref="E8:F9"/>
    <mergeCell ref="G8:G9"/>
    <mergeCell ref="H8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Concept</vt:lpstr>
      <vt:lpstr>Rubrik PA Dept-Blank</vt:lpstr>
      <vt:lpstr>Contoh Rubrik PA Dept</vt:lpstr>
      <vt:lpstr>ICT</vt:lpstr>
      <vt:lpstr>HCM</vt:lpstr>
      <vt:lpstr>MNA</vt:lpstr>
      <vt:lpstr>LIB</vt:lpstr>
      <vt:lpstr>FA</vt:lpstr>
      <vt:lpstr>PM</vt:lpstr>
      <vt:lpstr>APS</vt:lpstr>
      <vt:lpstr>PA DEPT Prodi</vt:lpstr>
      <vt:lpstr>Score PA Dept Prodi</vt:lpstr>
      <vt:lpstr>FA!Print_Area</vt:lpstr>
      <vt:lpstr>'Rubrik PA Dept-Blank'!Print_Titles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HCM2</dc:creator>
  <cp:lastModifiedBy>Netha Eliana Calysta</cp:lastModifiedBy>
  <cp:lastPrinted>2021-07-30T10:09:31Z</cp:lastPrinted>
  <dcterms:created xsi:type="dcterms:W3CDTF">2018-07-18T02:07:02Z</dcterms:created>
  <dcterms:modified xsi:type="dcterms:W3CDTF">2023-08-21T01:11:50Z</dcterms:modified>
</cp:coreProperties>
</file>