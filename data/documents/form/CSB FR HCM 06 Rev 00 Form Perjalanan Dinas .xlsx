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811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Netha Eliana Calysta\Downloads\"/>
    </mc:Choice>
  </mc:AlternateContent>
  <xr:revisionPtr revIDLastSave="0" documentId="13_ncr:1_{410E4577-1BC1-4940-A0DE-7F08B4CF81F3}" xr6:coauthVersionLast="47" xr6:coauthVersionMax="47" xr10:uidLastSave="{00000000-0000-0000-0000-000000000000}"/>
  <bookViews>
    <workbookView xWindow="-120" yWindow="-120" windowWidth="20730" windowHeight="11310" tabRatio="500" activeTab="2" xr2:uid="{00000000-000D-0000-FFFF-FFFF00000000}"/>
  </bookViews>
  <sheets>
    <sheet name="Rincian PerDin" sheetId="3" r:id="rId1"/>
    <sheet name="PJK PerDin DN IDR" sheetId="7" r:id="rId2"/>
    <sheet name="PJK PerDin LN" sheetId="8" r:id="rId3"/>
  </sheets>
  <definedNames>
    <definedName name="_xlnm.Print_Area" localSheetId="0">'Rincian PerDin'!$A$1:$I$38</definedName>
  </definedNames>
  <calcPr calcId="191029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D24" i="8" l="1"/>
  <c r="E24" i="8"/>
  <c r="G24" i="8"/>
  <c r="J24" i="8"/>
  <c r="D25" i="8"/>
  <c r="K35" i="8"/>
  <c r="D38" i="8"/>
  <c r="D40" i="8"/>
  <c r="D39" i="8"/>
  <c r="H24" i="8"/>
  <c r="D10" i="8"/>
  <c r="D9" i="8"/>
  <c r="C11" i="8"/>
  <c r="F10" i="8"/>
  <c r="F9" i="8"/>
  <c r="C8" i="8"/>
  <c r="C7" i="8"/>
  <c r="G6" i="8"/>
  <c r="C6" i="8"/>
  <c r="G5" i="8"/>
  <c r="C5" i="8"/>
  <c r="D23" i="7"/>
  <c r="E23" i="7"/>
  <c r="G23" i="7"/>
  <c r="I23" i="7"/>
  <c r="D24" i="7"/>
  <c r="J34" i="7"/>
  <c r="D37" i="7"/>
  <c r="D39" i="7"/>
  <c r="D38" i="7"/>
  <c r="D9" i="7"/>
  <c r="D8" i="7"/>
  <c r="C10" i="7"/>
  <c r="F9" i="7"/>
  <c r="F8" i="7"/>
  <c r="C7" i="7"/>
  <c r="C6" i="7"/>
  <c r="G5" i="7"/>
  <c r="C5" i="7"/>
  <c r="G4" i="7"/>
  <c r="C4" i="7"/>
  <c r="E18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Lenny Rosita</author>
  </authors>
  <commentList>
    <comment ref="E21" authorId="0" shapeId="0" xr:uid="{00000000-0006-0000-0000-000001000000}">
      <text>
        <r>
          <rPr>
            <b/>
            <sz val="9"/>
            <color indexed="81"/>
            <rFont val="Calibri"/>
            <family val="2"/>
          </rPr>
          <t>Hitung Allowance sesuai ketentuan perjalanan dinas</t>
        </r>
      </text>
    </comment>
  </commentList>
</comments>
</file>

<file path=xl/sharedStrings.xml><?xml version="1.0" encoding="utf-8"?>
<sst xmlns="http://schemas.openxmlformats.org/spreadsheetml/2006/main" count="251" uniqueCount="94">
  <si>
    <t>Dibuat oleh,</t>
  </si>
  <si>
    <t>Jabatan</t>
  </si>
  <si>
    <t>Disetujui oleh,</t>
  </si>
  <si>
    <t>Nama</t>
  </si>
  <si>
    <t>Departemen</t>
  </si>
  <si>
    <t>Hari</t>
  </si>
  <si>
    <t>Tanggal</t>
  </si>
  <si>
    <t>Kota Tujuan</t>
  </si>
  <si>
    <t>Berangkat</t>
  </si>
  <si>
    <t>Keterangan</t>
  </si>
  <si>
    <t>Nota….</t>
  </si>
  <si>
    <t>Transport</t>
  </si>
  <si>
    <t>Others</t>
  </si>
  <si>
    <t>Total</t>
  </si>
  <si>
    <t>Tuliskan nomor RF</t>
  </si>
  <si>
    <t>Nama Tamu</t>
  </si>
  <si>
    <t>Jabatan Tamu</t>
  </si>
  <si>
    <t>Durasi</t>
  </si>
  <si>
    <t>Biaya</t>
  </si>
  <si>
    <t>Selisih</t>
  </si>
  <si>
    <t>Nama Karyawan yang Perjalanan Dinas</t>
  </si>
  <si>
    <t>NIK</t>
  </si>
  <si>
    <t>Kembali</t>
  </si>
  <si>
    <t>Tugas</t>
  </si>
  <si>
    <t>:</t>
  </si>
  <si>
    <t>Media Transportasi</t>
  </si>
  <si>
    <t xml:space="preserve">Tuliskan tujuan penugasan </t>
  </si>
  <si>
    <t>Pukul</t>
  </si>
  <si>
    <t>Jakarta, Indonesia</t>
  </si>
  <si>
    <t>Pesawat/Mobil/Kereta api/dll *)</t>
  </si>
  <si>
    <t xml:space="preserve">Tembusan: </t>
  </si>
  <si>
    <t>Note:</t>
  </si>
  <si>
    <t>Food Allowance (Uang Makan)</t>
  </si>
  <si>
    <t>hari</t>
  </si>
  <si>
    <t>Jenis Biaya</t>
  </si>
  <si>
    <t>Biaya Entertainment</t>
  </si>
  <si>
    <t xml:space="preserve">Biaya Perjalanan Dinas </t>
  </si>
  <si>
    <t>Airport tax</t>
  </si>
  <si>
    <t>Senin</t>
  </si>
  <si>
    <t>Selasa</t>
  </si>
  <si>
    <t>Rabu</t>
  </si>
  <si>
    <t>Kamis</t>
  </si>
  <si>
    <t>Jumat</t>
  </si>
  <si>
    <t>Living Allowance (Uang Saku)</t>
  </si>
  <si>
    <t>-</t>
  </si>
  <si>
    <t>Makan malam</t>
  </si>
  <si>
    <t>Prof. Mustijab</t>
  </si>
  <si>
    <t>Kepala Dinas Pendidikan Jakarta</t>
  </si>
  <si>
    <t>Taxi &amp; tol Hotel ke Lokasi Seminar</t>
  </si>
  <si>
    <t>Taxi &amp; tol Lokasi Seminar ke Hotel</t>
  </si>
  <si>
    <t>Uang Muka</t>
  </si>
  <si>
    <t>Realisasi Biaya</t>
  </si>
  <si>
    <t>Sewa mobil</t>
  </si>
  <si>
    <t>Insentif Driver</t>
  </si>
  <si>
    <t>Berikut rincian perjalanan dinas</t>
  </si>
  <si>
    <t>Nama penerima tugas</t>
  </si>
  <si>
    <t>Nama Penerima Tugas</t>
  </si>
  <si>
    <t>Nomor Induk Karyawan</t>
  </si>
  <si>
    <t>Nama Jabatan penerima tugas</t>
  </si>
  <si>
    <t>Nama Departemen</t>
  </si>
  <si>
    <t>Food Allowance  (Uang Makan) per hari</t>
  </si>
  <si>
    <t>Living Allowance (Uang Saku) per hari</t>
  </si>
  <si>
    <t>Total Allowance (selama perjalanan dinas)</t>
  </si>
  <si>
    <t>Jenis Entertainment</t>
  </si>
  <si>
    <t>Bingkisan</t>
  </si>
  <si>
    <t xml:space="preserve">Sub Total </t>
  </si>
  <si>
    <t>Nama Atasan 1 (minimal HOD level)</t>
  </si>
  <si>
    <t>Diketahui oleh,</t>
  </si>
  <si>
    <t>1. Departemen/Prodi</t>
  </si>
  <si>
    <t>3. Finance</t>
  </si>
  <si>
    <t>"Laporan Pertanggungjawaban Perjalanan Dinas" selanjutnya disebut "PJK PerDin"</t>
  </si>
  <si>
    <t>No. RF.:</t>
  </si>
  <si>
    <t xml:space="preserve">Perjalanan dinas adalah perjalanan ke luar kota dengan jarak ≥90 km dari home base (basis awal lokasi kerja) yang dilakukan </t>
  </si>
  <si>
    <t>untuk kepentingan Universitas atas perintah pejabat yang berwenang</t>
  </si>
  <si>
    <t>RINCIAN PERJALANAN DINAS</t>
  </si>
  <si>
    <t>"Rincian Perjalanan Dinas", selanjutnya disebut "Rincian PerDin"</t>
  </si>
  <si>
    <t>5.1 Surat Tugas</t>
  </si>
  <si>
    <t>5.2 Rincian PerDin</t>
  </si>
  <si>
    <t>Autolink dengan Rincian PerDin</t>
  </si>
  <si>
    <t>Rincian Perjalanan Dinas adalah dokumen yang berisi perincian perjalanan dinas perorangan beserta perhitungan food &amp; living allowance</t>
  </si>
  <si>
    <t>Perhitungan Food &amp; Living allowance mengacu pada ketentuan yang berlaku</t>
  </si>
  <si>
    <t>Dokumen pendukung pengajuan RF perjalanan dinas:</t>
  </si>
  <si>
    <t xml:space="preserve">Serahkan PJK PerDin yang telah mendapat persetujuan ke F&amp;A selambat-lambatnya 3 hari kerja setelah tanggal kembali </t>
  </si>
  <si>
    <t>PJK PerDin dibuat perorangan</t>
  </si>
  <si>
    <t>Untuk efisiensi proses verifikasi, bukti pendukung pengeluaran (nota/kuitansi) wajib dilampirkan dan diberi nomor</t>
  </si>
  <si>
    <t>Pihak yang menyetujui PJK PerDin minimal adalah HOD level</t>
  </si>
  <si>
    <t>LAPORAN BIAYA PERJALANAN DINAS</t>
  </si>
  <si>
    <t xml:space="preserve">Biaya </t>
  </si>
  <si>
    <t>Beri contoh 3 mata uang</t>
  </si>
  <si>
    <t>Makassar,…..</t>
  </si>
  <si>
    <t>Nama Terang HCM</t>
  </si>
  <si>
    <t>HCM</t>
  </si>
  <si>
    <t>2. HCM</t>
  </si>
  <si>
    <t>No. : XXX/UCM-DEPT/RPD/MM/YYYY contoh   001/UCM-MNA/RPD/III/2021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</si>
</sst>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[$Rp-421]* #,##0_);_([$Rp-421]* \(#,##0\);_([$Rp-421]* &quot;-&quot;_);_(@_)"/>
    <numFmt numFmtId="165" formatCode="[$-409]dd\-mmm\-yy;@"/>
    <numFmt numFmtId="166" formatCode="h:mm;@"/>
    <numFmt numFmtId="167" formatCode="_([$USD]\ * #,##0_);_([$USD]\ * \(#,##0\);_([$USD]\ * &quot;-&quot;_);_(@_)"/>
  </numFmts>
  <fonts count="28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rgb="FF0000FF"/>
      <name val="Calibri"/>
      <family val="2"/>
      <scheme val="minor"/>
    </font>
    <font>
      <sz val="24"/>
      <name val="Cambria"/>
      <family val="1"/>
    </font>
    <font>
      <sz val="12"/>
      <name val="Calibri"/>
      <family val="2"/>
      <scheme val="minor"/>
    </font>
    <font>
      <sz val="10"/>
      <name val="Cambria"/>
      <family val="1"/>
    </font>
    <font>
      <b/>
      <sz val="12"/>
      <name val="Calibri"/>
      <family val="2"/>
      <scheme val="minor"/>
    </font>
    <font>
      <sz val="10"/>
      <color theme="1"/>
      <name val="Cambria"/>
      <family val="1"/>
    </font>
    <font>
      <sz val="11"/>
      <name val="Tahoma"/>
      <family val="2"/>
    </font>
    <font>
      <sz val="14"/>
      <color rgb="FF0000FF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name val="Calibri"/>
      <family val="2"/>
      <scheme val="minor"/>
    </font>
    <font>
      <sz val="14"/>
      <color rgb="FF000000"/>
      <name val="Calibri"/>
      <family val="2"/>
    </font>
    <font>
      <b/>
      <sz val="9"/>
      <color indexed="81"/>
      <name val="Calibri"/>
      <family val="2"/>
    </font>
    <font>
      <sz val="12"/>
      <name val="Calibri (Body)"/>
    </font>
    <font>
      <b/>
      <sz val="13"/>
      <name val="Calibri"/>
      <family val="2"/>
      <scheme val="minor"/>
    </font>
    <font>
      <sz val="13"/>
      <name val="Calibri"/>
      <family val="2"/>
      <scheme val="minor"/>
    </font>
    <font>
      <sz val="13"/>
      <color rgb="FF0000FF"/>
      <name val="Calibri"/>
      <family val="2"/>
      <scheme val="minor"/>
    </font>
    <font>
      <b/>
      <sz val="13"/>
      <color rgb="FF0000FF"/>
      <name val="Calibri"/>
      <family val="2"/>
      <scheme val="minor"/>
    </font>
    <font>
      <b/>
      <sz val="13"/>
      <color theme="1"/>
      <name val="Calibri"/>
      <family val="2"/>
    </font>
    <font>
      <sz val="13"/>
      <color theme="1"/>
      <name val="Calibri"/>
      <family val="2"/>
    </font>
    <font>
      <sz val="13"/>
      <name val="Calibri"/>
      <family val="2"/>
    </font>
    <font>
      <sz val="12"/>
      <color rgb="FFFF0000"/>
      <name val="Calibri"/>
      <family val="2"/>
      <scheme val="minor"/>
    </font>
    <font>
      <sz val="13"/>
      <color rgb="FF0000FF"/>
      <name val="Calibri"/>
      <family val="2"/>
      <scheme val="minor"/>
    </font>
    <font>
      <sz val="14"/>
      <color rgb="FF0000FF"/>
      <name val="Calibri"/>
      <family val="2"/>
      <scheme val="minor"/>
    </font>
    <font>
      <sz val="1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6">
    <xf numFmtId="0" fontId="0" fillId="0" borderId="0" xfId="0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right" vertical="center"/>
    </xf>
    <xf numFmtId="0" fontId="6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vertical="center"/>
    </xf>
    <xf numFmtId="0" fontId="12" fillId="0" borderId="0" xfId="0" applyFont="1"/>
    <xf numFmtId="0" fontId="12" fillId="0" borderId="0" xfId="0" applyFont="1" applyAlignment="1">
      <alignment horizontal="right"/>
    </xf>
    <xf numFmtId="0" fontId="11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15" fontId="11" fillId="0" borderId="0" xfId="0" applyNumberFormat="1" applyFont="1" applyAlignment="1">
      <alignment horizontal="left"/>
    </xf>
    <xf numFmtId="166" fontId="11" fillId="0" borderId="0" xfId="0" applyNumberFormat="1" applyFont="1" applyAlignment="1">
      <alignment horizontal="left"/>
    </xf>
    <xf numFmtId="0" fontId="14" fillId="0" borderId="0" xfId="0" applyFont="1" applyAlignment="1">
      <alignment horizontal="left" vertical="center"/>
    </xf>
    <xf numFmtId="0" fontId="13" fillId="0" borderId="0" xfId="0" applyFont="1"/>
    <xf numFmtId="1" fontId="10" fillId="0" borderId="0" xfId="0" applyNumberFormat="1" applyFont="1" applyAlignment="1">
      <alignment horizontal="left" vertical="center"/>
    </xf>
    <xf numFmtId="0" fontId="16" fillId="0" borderId="0" xfId="0" applyFont="1" applyAlignment="1">
      <alignment vertical="center"/>
    </xf>
    <xf numFmtId="0" fontId="16" fillId="0" borderId="0" xfId="0" applyFont="1"/>
    <xf numFmtId="0" fontId="17" fillId="0" borderId="0" xfId="0" applyFont="1" applyAlignment="1">
      <alignment vertical="center"/>
    </xf>
    <xf numFmtId="0" fontId="18" fillId="2" borderId="0" xfId="0" applyFont="1" applyFill="1" applyAlignment="1">
      <alignment vertical="center"/>
    </xf>
    <xf numFmtId="0" fontId="18" fillId="0" borderId="0" xfId="0" applyFont="1" applyAlignment="1">
      <alignment vertical="center"/>
    </xf>
    <xf numFmtId="0" fontId="17" fillId="0" borderId="0" xfId="0" applyFont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/>
    </xf>
    <xf numFmtId="165" fontId="18" fillId="2" borderId="0" xfId="0" applyNumberFormat="1" applyFont="1" applyFill="1" applyAlignment="1">
      <alignment horizontal="center" vertical="center"/>
    </xf>
    <xf numFmtId="166" fontId="18" fillId="2" borderId="0" xfId="0" applyNumberFormat="1" applyFont="1" applyFill="1" applyAlignment="1">
      <alignment horizontal="center" vertical="center"/>
    </xf>
    <xf numFmtId="166" fontId="18" fillId="0" borderId="0" xfId="0" applyNumberFormat="1" applyFont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165" fontId="19" fillId="0" borderId="1" xfId="0" applyNumberFormat="1" applyFont="1" applyBorder="1" applyAlignment="1">
      <alignment horizontal="center" vertical="center"/>
    </xf>
    <xf numFmtId="164" fontId="19" fillId="0" borderId="1" xfId="0" applyNumberFormat="1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164" fontId="18" fillId="0" borderId="1" xfId="0" applyNumberFormat="1" applyFont="1" applyBorder="1" applyAlignment="1">
      <alignment vertical="center"/>
    </xf>
    <xf numFmtId="164" fontId="18" fillId="0" borderId="6" xfId="0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164" fontId="17" fillId="0" borderId="1" xfId="0" applyNumberFormat="1" applyFont="1" applyBorder="1" applyAlignment="1">
      <alignment vertical="center"/>
    </xf>
    <xf numFmtId="164" fontId="17" fillId="0" borderId="6" xfId="0" applyNumberFormat="1" applyFont="1" applyBorder="1" applyAlignment="1">
      <alignment vertical="center"/>
    </xf>
    <xf numFmtId="164" fontId="17" fillId="0" borderId="2" xfId="0" applyNumberFormat="1" applyFont="1" applyBorder="1" applyAlignment="1">
      <alignment vertical="center"/>
    </xf>
    <xf numFmtId="164" fontId="17" fillId="0" borderId="0" xfId="0" applyNumberFormat="1" applyFont="1" applyAlignment="1">
      <alignment vertical="center"/>
    </xf>
    <xf numFmtId="0" fontId="18" fillId="0" borderId="0" xfId="0" applyFont="1" applyAlignment="1">
      <alignment horizontal="left" vertical="center" indent="4"/>
    </xf>
    <xf numFmtId="0" fontId="22" fillId="0" borderId="0" xfId="0" applyFont="1"/>
    <xf numFmtId="0" fontId="21" fillId="0" borderId="0" xfId="0" applyFont="1" applyAlignment="1">
      <alignment horizontal="left" vertical="center"/>
    </xf>
    <xf numFmtId="0" fontId="22" fillId="0" borderId="0" xfId="0" applyFont="1" applyAlignment="1">
      <alignment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vertical="center"/>
    </xf>
    <xf numFmtId="0" fontId="22" fillId="0" borderId="0" xfId="0" applyFont="1" applyAlignment="1">
      <alignment horizontal="center" vertical="center"/>
    </xf>
    <xf numFmtId="0" fontId="21" fillId="0" borderId="0" xfId="0" applyFont="1" applyAlignment="1">
      <alignment vertical="center"/>
    </xf>
    <xf numFmtId="0" fontId="17" fillId="0" borderId="0" xfId="0" applyFont="1" applyAlignment="1">
      <alignment horizontal="left" vertical="center" indent="6"/>
    </xf>
    <xf numFmtId="0" fontId="19" fillId="0" borderId="4" xfId="0" applyFont="1" applyBorder="1" applyAlignment="1">
      <alignment horizontal="left" vertical="center"/>
    </xf>
    <xf numFmtId="0" fontId="18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left" vertical="center"/>
    </xf>
    <xf numFmtId="167" fontId="19" fillId="0" borderId="1" xfId="0" applyNumberFormat="1" applyFont="1" applyBorder="1" applyAlignment="1">
      <alignment vertical="center"/>
    </xf>
    <xf numFmtId="167" fontId="19" fillId="0" borderId="6" xfId="0" applyNumberFormat="1" applyFont="1" applyBorder="1" applyAlignment="1">
      <alignment vertical="center"/>
    </xf>
    <xf numFmtId="167" fontId="17" fillId="0" borderId="1" xfId="0" applyNumberFormat="1" applyFont="1" applyBorder="1" applyAlignment="1">
      <alignment vertical="center"/>
    </xf>
    <xf numFmtId="167" fontId="20" fillId="0" borderId="1" xfId="0" applyNumberFormat="1" applyFont="1" applyBorder="1" applyAlignment="1">
      <alignment vertical="center"/>
    </xf>
    <xf numFmtId="167" fontId="18" fillId="0" borderId="1" xfId="0" applyNumberFormat="1" applyFont="1" applyBorder="1" applyAlignment="1">
      <alignment vertical="center"/>
    </xf>
    <xf numFmtId="167" fontId="18" fillId="0" borderId="2" xfId="0" applyNumberFormat="1" applyFont="1" applyBorder="1" applyAlignment="1">
      <alignment vertical="center"/>
    </xf>
    <xf numFmtId="0" fontId="17" fillId="0" borderId="1" xfId="0" applyFont="1" applyBorder="1" applyAlignment="1">
      <alignment horizontal="center" vertical="center" wrapText="1"/>
    </xf>
    <xf numFmtId="0" fontId="24" fillId="0" borderId="0" xfId="0" applyFont="1"/>
    <xf numFmtId="0" fontId="17" fillId="0" borderId="4" xfId="0" applyFont="1" applyBorder="1" applyAlignment="1">
      <alignment horizontal="center" vertical="center"/>
    </xf>
    <xf numFmtId="0" fontId="18" fillId="2" borderId="0" xfId="0" applyFont="1" applyFill="1" applyAlignment="1">
      <alignment horizontal="left" vertical="center"/>
    </xf>
    <xf numFmtId="0" fontId="25" fillId="0" borderId="0" xfId="0" applyFont="1" applyAlignment="1">
      <alignment vertical="center"/>
    </xf>
    <xf numFmtId="0" fontId="27" fillId="0" borderId="0" xfId="0" applyFont="1" applyAlignment="1">
      <alignment vertical="center"/>
    </xf>
    <xf numFmtId="0" fontId="5" fillId="0" borderId="0" xfId="0" applyFont="1" applyAlignment="1">
      <alignment horizontal="left"/>
    </xf>
    <xf numFmtId="0" fontId="2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164" fontId="11" fillId="0" borderId="0" xfId="0" applyNumberFormat="1" applyFont="1" applyAlignment="1">
      <alignment horizontal="left"/>
    </xf>
    <xf numFmtId="0" fontId="11" fillId="0" borderId="0" xfId="0" applyFont="1" applyAlignment="1">
      <alignment horizontal="left"/>
    </xf>
    <xf numFmtId="0" fontId="18" fillId="2" borderId="0" xfId="0" applyFont="1" applyFill="1" applyAlignment="1">
      <alignment horizontal="left" vertical="center"/>
    </xf>
    <xf numFmtId="0" fontId="17" fillId="0" borderId="6" xfId="0" applyFont="1" applyBorder="1" applyAlignment="1">
      <alignment horizontal="center" vertical="center"/>
    </xf>
    <xf numFmtId="0" fontId="17" fillId="0" borderId="7" xfId="0" applyFont="1" applyBorder="1" applyAlignment="1">
      <alignment horizontal="center" vertical="center"/>
    </xf>
    <xf numFmtId="0" fontId="17" fillId="0" borderId="6" xfId="0" applyFont="1" applyBorder="1" applyAlignment="1">
      <alignment horizontal="center" vertical="center" wrapText="1"/>
    </xf>
    <xf numFmtId="0" fontId="17" fillId="0" borderId="7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left" vertical="center"/>
    </xf>
    <xf numFmtId="0" fontId="19" fillId="0" borderId="3" xfId="0" applyFont="1" applyBorder="1" applyAlignment="1">
      <alignment horizontal="left" vertical="center"/>
    </xf>
    <xf numFmtId="0" fontId="19" fillId="0" borderId="5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0" fontId="17" fillId="0" borderId="5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8" fillId="0" borderId="3" xfId="0" applyFont="1" applyBorder="1" applyAlignment="1">
      <alignment horizontal="left" vertical="center"/>
    </xf>
    <xf numFmtId="0" fontId="18" fillId="0" borderId="5" xfId="0" applyFont="1" applyBorder="1" applyAlignment="1">
      <alignment horizontal="left" vertical="center"/>
    </xf>
    <xf numFmtId="164" fontId="17" fillId="0" borderId="1" xfId="0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right" vertical="center"/>
    </xf>
    <xf numFmtId="0" fontId="17" fillId="0" borderId="4" xfId="0" applyFont="1" applyBorder="1" applyAlignment="1">
      <alignment horizontal="center" vertical="center"/>
    </xf>
    <xf numFmtId="164" fontId="20" fillId="0" borderId="1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center" vertical="center" wrapText="1"/>
    </xf>
    <xf numFmtId="0" fontId="17" fillId="0" borderId="5" xfId="0" applyFont="1" applyBorder="1" applyAlignment="1">
      <alignment horizontal="center" vertical="center" wrapText="1"/>
    </xf>
  </cellXfs>
  <cellStyles count="1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4:L51"/>
  <sheetViews>
    <sheetView view="pageLayout" topLeftCell="A52" zoomScale="64" zoomScaleNormal="61" zoomScalePageLayoutView="64" workbookViewId="0">
      <selection activeCell="D66" sqref="D66"/>
    </sheetView>
  </sheetViews>
  <sheetFormatPr defaultColWidth="11" defaultRowHeight="15.75"/>
  <cols>
    <col min="1" max="1" width="3.5" customWidth="1"/>
    <col min="2" max="2" width="36.5" customWidth="1"/>
    <col min="3" max="3" width="9.125" customWidth="1"/>
    <col min="4" max="4" width="2" customWidth="1"/>
    <col min="5" max="5" width="11.625" customWidth="1"/>
    <col min="6" max="6" width="18.625" customWidth="1"/>
    <col min="7" max="7" width="8" customWidth="1"/>
    <col min="8" max="8" width="16.625" customWidth="1"/>
    <col min="9" max="9" width="3.125" customWidth="1"/>
    <col min="13" max="13" width="4.375" customWidth="1"/>
  </cols>
  <sheetData>
    <row r="4" spans="2:12" ht="30">
      <c r="B4" s="69" t="s">
        <v>74</v>
      </c>
      <c r="C4" s="69"/>
      <c r="D4" s="69"/>
      <c r="E4" s="69"/>
      <c r="F4" s="69"/>
      <c r="G4" s="69"/>
      <c r="H4" s="69"/>
      <c r="L4" s="7"/>
    </row>
    <row r="5" spans="2:12" s="8" customFormat="1" ht="20.100000000000001" customHeight="1">
      <c r="B5" s="70" t="s">
        <v>93</v>
      </c>
      <c r="C5" s="71"/>
      <c r="D5" s="71"/>
      <c r="E5" s="71"/>
      <c r="F5" s="71"/>
      <c r="G5" s="71"/>
      <c r="H5" s="71"/>
      <c r="L5" s="7"/>
    </row>
    <row r="6" spans="2:12" ht="18.75">
      <c r="B6" s="10"/>
      <c r="C6" s="10"/>
      <c r="D6" s="10"/>
      <c r="E6" s="10"/>
      <c r="F6" s="10"/>
      <c r="G6" s="11"/>
      <c r="H6" s="10"/>
    </row>
    <row r="7" spans="2:12" ht="18.75">
      <c r="B7" s="12"/>
      <c r="C7" s="12"/>
      <c r="D7" s="12"/>
      <c r="E7" s="12"/>
      <c r="F7" s="12"/>
      <c r="G7" s="12"/>
      <c r="H7" s="12"/>
    </row>
    <row r="8" spans="2:12" ht="20.100000000000001" customHeight="1">
      <c r="B8" s="18" t="s">
        <v>54</v>
      </c>
      <c r="C8" s="12"/>
      <c r="D8" s="12"/>
      <c r="E8" s="12"/>
      <c r="F8" s="12"/>
      <c r="G8" s="12"/>
      <c r="H8" s="12"/>
    </row>
    <row r="9" spans="2:12" ht="20.100000000000001" customHeight="1">
      <c r="B9" s="17" t="s">
        <v>3</v>
      </c>
      <c r="C9" s="10"/>
      <c r="D9" s="13" t="s">
        <v>24</v>
      </c>
      <c r="E9" s="73" t="s">
        <v>55</v>
      </c>
      <c r="F9" s="73"/>
      <c r="G9" s="73"/>
      <c r="H9" s="73"/>
    </row>
    <row r="10" spans="2:12" ht="20.100000000000001" customHeight="1">
      <c r="B10" s="14" t="s">
        <v>21</v>
      </c>
      <c r="C10" s="10"/>
      <c r="D10" s="13" t="s">
        <v>24</v>
      </c>
      <c r="E10" s="73" t="s">
        <v>57</v>
      </c>
      <c r="F10" s="73"/>
      <c r="G10" s="73"/>
      <c r="H10" s="73"/>
    </row>
    <row r="11" spans="2:12" ht="20.100000000000001" customHeight="1">
      <c r="B11" s="14" t="s">
        <v>1</v>
      </c>
      <c r="C11" s="10"/>
      <c r="D11" s="13" t="s">
        <v>24</v>
      </c>
      <c r="E11" s="73" t="s">
        <v>58</v>
      </c>
      <c r="F11" s="73"/>
      <c r="G11" s="73"/>
      <c r="H11" s="73"/>
    </row>
    <row r="12" spans="2:12" ht="20.100000000000001" customHeight="1">
      <c r="B12" s="14" t="s">
        <v>4</v>
      </c>
      <c r="C12" s="10"/>
      <c r="D12" s="13" t="s">
        <v>24</v>
      </c>
      <c r="E12" s="73" t="s">
        <v>59</v>
      </c>
      <c r="F12" s="73"/>
      <c r="G12" s="73"/>
      <c r="H12" s="73"/>
    </row>
    <row r="13" spans="2:12" ht="20.100000000000001" customHeight="1">
      <c r="B13" s="17" t="s">
        <v>23</v>
      </c>
      <c r="C13" s="10"/>
      <c r="D13" s="13" t="s">
        <v>24</v>
      </c>
      <c r="E13" s="73" t="s">
        <v>26</v>
      </c>
      <c r="F13" s="73"/>
      <c r="G13" s="73"/>
      <c r="H13" s="73"/>
    </row>
    <row r="14" spans="2:12" ht="20.100000000000001" customHeight="1">
      <c r="B14" s="14" t="s">
        <v>7</v>
      </c>
      <c r="C14" s="10"/>
      <c r="D14" s="13" t="s">
        <v>24</v>
      </c>
      <c r="E14" s="73" t="s">
        <v>28</v>
      </c>
      <c r="F14" s="73"/>
      <c r="G14" s="73"/>
      <c r="H14" s="73"/>
    </row>
    <row r="15" spans="2:12" ht="20.100000000000001" customHeight="1">
      <c r="B15" s="14" t="s">
        <v>25</v>
      </c>
      <c r="C15" s="10"/>
      <c r="D15" s="13" t="s">
        <v>24</v>
      </c>
      <c r="E15" s="73" t="s">
        <v>29</v>
      </c>
      <c r="F15" s="73"/>
      <c r="G15" s="73"/>
      <c r="H15" s="73"/>
    </row>
    <row r="16" spans="2:12" ht="20.100000000000001" customHeight="1">
      <c r="B16" s="14" t="s">
        <v>8</v>
      </c>
      <c r="C16" s="10"/>
      <c r="D16" s="13" t="s">
        <v>24</v>
      </c>
      <c r="E16" s="14" t="s">
        <v>6</v>
      </c>
      <c r="F16" s="15">
        <v>41712</v>
      </c>
      <c r="G16" s="10" t="s">
        <v>27</v>
      </c>
      <c r="H16" s="16">
        <v>0.33333333333333331</v>
      </c>
    </row>
    <row r="17" spans="2:9" ht="20.100000000000001" customHeight="1">
      <c r="B17" s="14" t="s">
        <v>22</v>
      </c>
      <c r="C17" s="10"/>
      <c r="D17" s="13" t="s">
        <v>24</v>
      </c>
      <c r="E17" s="14" t="s">
        <v>6</v>
      </c>
      <c r="F17" s="15">
        <v>41716</v>
      </c>
      <c r="G17" s="10" t="s">
        <v>27</v>
      </c>
      <c r="H17" s="16">
        <v>0.6875</v>
      </c>
    </row>
    <row r="18" spans="2:9" ht="20.100000000000001" customHeight="1">
      <c r="B18" s="14" t="s">
        <v>17</v>
      </c>
      <c r="C18" s="10"/>
      <c r="D18" s="13" t="s">
        <v>24</v>
      </c>
      <c r="E18" s="14">
        <f>F17-F16+1</f>
        <v>5</v>
      </c>
      <c r="F18" s="15" t="s">
        <v>33</v>
      </c>
      <c r="G18" s="10"/>
      <c r="H18" s="16"/>
    </row>
    <row r="19" spans="2:9" ht="20.100000000000001" customHeight="1">
      <c r="B19" s="14" t="s">
        <v>60</v>
      </c>
      <c r="C19" s="10"/>
      <c r="D19" s="13" t="s">
        <v>24</v>
      </c>
      <c r="E19" s="72">
        <v>55000</v>
      </c>
      <c r="F19" s="72"/>
      <c r="G19" s="10"/>
      <c r="H19" s="16"/>
    </row>
    <row r="20" spans="2:9" ht="20.100000000000001" customHeight="1">
      <c r="B20" s="14" t="s">
        <v>61</v>
      </c>
      <c r="C20" s="10"/>
      <c r="D20" s="13" t="s">
        <v>24</v>
      </c>
      <c r="E20" s="72">
        <v>60000</v>
      </c>
      <c r="F20" s="72"/>
      <c r="G20" s="10"/>
      <c r="H20" s="16"/>
    </row>
    <row r="21" spans="2:9" ht="20.100000000000001" customHeight="1">
      <c r="B21" s="10" t="s">
        <v>62</v>
      </c>
      <c r="C21" s="10"/>
      <c r="D21" s="13" t="s">
        <v>24</v>
      </c>
      <c r="E21" s="72"/>
      <c r="F21" s="72"/>
      <c r="G21" s="10"/>
      <c r="H21" s="10"/>
    </row>
    <row r="22" spans="2:9" ht="20.100000000000001" customHeight="1">
      <c r="B22" s="10"/>
      <c r="C22" s="10"/>
      <c r="D22" s="10"/>
      <c r="E22" s="10"/>
      <c r="F22" s="10"/>
      <c r="G22" s="10"/>
      <c r="H22" s="10"/>
    </row>
    <row r="23" spans="2:9" ht="20.100000000000001" customHeight="1">
      <c r="B23" s="10"/>
      <c r="C23" s="10"/>
      <c r="D23" s="10"/>
      <c r="E23" s="10"/>
      <c r="F23" s="10"/>
      <c r="G23" s="10"/>
      <c r="H23" s="10"/>
    </row>
    <row r="24" spans="2:9" ht="20.100000000000001" customHeight="1">
      <c r="B24" s="10" t="s">
        <v>89</v>
      </c>
      <c r="C24" s="10"/>
      <c r="D24" s="10"/>
      <c r="E24" s="10"/>
      <c r="F24" s="10"/>
      <c r="G24" s="10"/>
      <c r="H24" s="10"/>
    </row>
    <row r="25" spans="2:9" ht="20.100000000000001" customHeight="1">
      <c r="B25" s="18" t="s">
        <v>0</v>
      </c>
      <c r="C25" s="18"/>
      <c r="F25" s="18" t="s">
        <v>67</v>
      </c>
    </row>
    <row r="26" spans="2:9" ht="20.100000000000001" customHeight="1">
      <c r="B26" s="18"/>
      <c r="C26" s="18"/>
      <c r="F26" s="18"/>
    </row>
    <row r="27" spans="2:9" ht="20.100000000000001" customHeight="1">
      <c r="B27" s="18"/>
      <c r="C27" s="18"/>
      <c r="F27" s="18"/>
    </row>
    <row r="28" spans="2:9" ht="20.100000000000001" customHeight="1">
      <c r="B28" s="18"/>
      <c r="C28" s="18"/>
      <c r="F28" s="18"/>
    </row>
    <row r="29" spans="2:9" ht="20.100000000000001" customHeight="1">
      <c r="B29" s="12" t="s">
        <v>56</v>
      </c>
      <c r="C29" s="12"/>
      <c r="F29" s="12" t="s">
        <v>90</v>
      </c>
    </row>
    <row r="30" spans="2:9" ht="20.100000000000001" customHeight="1">
      <c r="B30" s="12" t="s">
        <v>1</v>
      </c>
      <c r="C30" s="12"/>
      <c r="F30" s="12" t="s">
        <v>91</v>
      </c>
    </row>
    <row r="31" spans="2:9" ht="18.75">
      <c r="B31" s="10"/>
      <c r="C31" s="12"/>
      <c r="D31" s="12"/>
      <c r="E31" s="12"/>
      <c r="F31" s="12"/>
      <c r="G31" s="12"/>
      <c r="H31" s="12"/>
      <c r="I31" s="1"/>
    </row>
    <row r="32" spans="2:9">
      <c r="C32" s="1"/>
      <c r="D32" s="1"/>
      <c r="E32" s="1"/>
      <c r="F32" s="1"/>
      <c r="G32" s="1"/>
      <c r="H32" s="1"/>
      <c r="I32" s="1"/>
    </row>
    <row r="34" spans="1:8">
      <c r="B34" s="9" t="s">
        <v>30</v>
      </c>
    </row>
    <row r="35" spans="1:8">
      <c r="B35" s="19" t="s">
        <v>68</v>
      </c>
    </row>
    <row r="36" spans="1:8">
      <c r="B36" s="19" t="s">
        <v>92</v>
      </c>
    </row>
    <row r="37" spans="1:8">
      <c r="B37" s="19" t="s">
        <v>69</v>
      </c>
    </row>
    <row r="39" spans="1:8" ht="17.25">
      <c r="A39" s="52" t="s">
        <v>31</v>
      </c>
      <c r="B39" s="48"/>
      <c r="C39" s="48"/>
      <c r="D39" s="48"/>
      <c r="E39" s="48"/>
      <c r="F39" s="48"/>
      <c r="G39" s="48"/>
      <c r="H39" s="48"/>
    </row>
    <row r="40" spans="1:8" ht="17.25">
      <c r="A40" s="48">
        <v>1</v>
      </c>
      <c r="B40" s="48" t="s">
        <v>72</v>
      </c>
      <c r="C40" s="48"/>
      <c r="D40" s="48"/>
      <c r="E40" s="48"/>
      <c r="F40" s="48"/>
      <c r="G40" s="48"/>
      <c r="H40" s="48"/>
    </row>
    <row r="41" spans="1:8" ht="17.25">
      <c r="A41" s="48"/>
      <c r="B41" s="48" t="s">
        <v>73</v>
      </c>
      <c r="C41" s="48"/>
      <c r="D41" s="48"/>
      <c r="E41" s="48"/>
      <c r="F41" s="48"/>
      <c r="G41" s="48"/>
      <c r="H41" s="48"/>
    </row>
    <row r="42" spans="1:8" ht="17.25">
      <c r="A42" s="48">
        <v>2</v>
      </c>
      <c r="B42" s="48" t="s">
        <v>79</v>
      </c>
      <c r="C42" s="48"/>
      <c r="D42" s="48"/>
      <c r="E42" s="48"/>
      <c r="F42" s="48"/>
      <c r="G42" s="48"/>
      <c r="H42" s="48"/>
    </row>
    <row r="43" spans="1:8" s="48" customFormat="1" ht="18.95" customHeight="1">
      <c r="A43" s="48">
        <v>3</v>
      </c>
      <c r="B43" s="48" t="s">
        <v>75</v>
      </c>
    </row>
    <row r="44" spans="1:8" s="48" customFormat="1" ht="18.95" customHeight="1">
      <c r="A44" s="48">
        <v>4</v>
      </c>
      <c r="B44" s="48" t="s">
        <v>80</v>
      </c>
    </row>
    <row r="45" spans="1:8" s="48" customFormat="1" ht="18.95" customHeight="1">
      <c r="A45" s="48">
        <v>5</v>
      </c>
      <c r="B45" s="48" t="s">
        <v>81</v>
      </c>
    </row>
    <row r="46" spans="1:8" s="48" customFormat="1" ht="18.95" customHeight="1">
      <c r="B46" s="48" t="s">
        <v>76</v>
      </c>
    </row>
    <row r="47" spans="1:8" s="48" customFormat="1" ht="18.95" customHeight="1">
      <c r="B47" s="48" t="s">
        <v>77</v>
      </c>
    </row>
    <row r="48" spans="1:8" s="48" customFormat="1" ht="18.95" customHeight="1"/>
    <row r="49" s="48" customFormat="1" ht="18.95" customHeight="1"/>
    <row r="50" s="48" customFormat="1" ht="18.95" customHeight="1"/>
    <row r="51" s="48" customFormat="1" ht="18.95" customHeight="1"/>
  </sheetData>
  <mergeCells count="12">
    <mergeCell ref="B4:H4"/>
    <mergeCell ref="B5:H5"/>
    <mergeCell ref="E19:F19"/>
    <mergeCell ref="E20:F20"/>
    <mergeCell ref="E21:F21"/>
    <mergeCell ref="E9:H9"/>
    <mergeCell ref="E10:H10"/>
    <mergeCell ref="E11:H11"/>
    <mergeCell ref="E12:H12"/>
    <mergeCell ref="E13:H13"/>
    <mergeCell ref="E14:H14"/>
    <mergeCell ref="E15:H15"/>
  </mergeCells>
  <phoneticPr fontId="1" type="noConversion"/>
  <pageMargins left="0.75000000000000011" right="0.75000000000000011" top="1" bottom="1" header="0.5" footer="0.5"/>
  <pageSetup paperSize="9" scale="60" orientation="portrait" horizontalDpi="4294967292" verticalDpi="4294967292" r:id="rId1"/>
  <headerFooter>
    <oddHeader>&amp;L&amp;"Calibri,Regular"&amp;K000000&amp;G&amp;R&amp;"Calibri,Regular"&amp;K000000UCM/FR/HCM/06 Rev 00
May 28, 2021</oddHeader>
    <oddFooter>&amp;R&amp;"Calibri,Regular"&amp;K000000&amp;P of &amp;N</oddFooter>
  </headerFooter>
  <colBreaks count="1" manualBreakCount="1">
    <brk id="12" max="1048575" man="1"/>
  </colBreaks>
  <legacyDrawing r:id="rId2"/>
  <legacyDrawingHF r:id="rId3"/>
  <extLst>
    <ext xmlns:mx="http://schemas.microsoft.com/office/mac/excel/2008/main" uri="{64002731-A6B0-56B0-2670-7721B7C09600}">
      <mx:PLV Mode="0" OnePage="0" WScale="65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M56"/>
  <sheetViews>
    <sheetView view="pageLayout" zoomScale="61" zoomScaleNormal="75" zoomScalePageLayoutView="61" workbookViewId="0">
      <selection activeCell="F79" sqref="F79"/>
    </sheetView>
  </sheetViews>
  <sheetFormatPr defaultColWidth="11" defaultRowHeight="15.75"/>
  <cols>
    <col min="1" max="1" width="3.25" customWidth="1"/>
    <col min="2" max="2" width="7.5" customWidth="1"/>
    <col min="3" max="3" width="10.375" customWidth="1"/>
    <col min="4" max="4" width="13.75" customWidth="1"/>
    <col min="5" max="5" width="12.125" customWidth="1"/>
    <col min="7" max="7" width="11.75" customWidth="1"/>
    <col min="9" max="9" width="12.125" customWidth="1"/>
    <col min="10" max="10" width="14.25" customWidth="1"/>
  </cols>
  <sheetData>
    <row r="2" spans="1:13" ht="30">
      <c r="A2" s="3"/>
      <c r="B2" s="2" t="s">
        <v>86</v>
      </c>
      <c r="C2" s="3"/>
      <c r="D2" s="3"/>
      <c r="E2" s="3"/>
      <c r="F2" s="3"/>
      <c r="G2" s="3"/>
      <c r="H2" s="3"/>
      <c r="I2" s="3"/>
      <c r="J2" s="3"/>
      <c r="K2" s="4"/>
      <c r="L2" s="3"/>
      <c r="M2" s="3"/>
    </row>
    <row r="3" spans="1:13" ht="17.25">
      <c r="A3" s="5"/>
      <c r="B3" s="5"/>
      <c r="C3" s="5"/>
      <c r="D3" s="5"/>
      <c r="E3" s="5"/>
      <c r="F3" s="5"/>
      <c r="G3" s="5"/>
      <c r="H3" s="25" t="s">
        <v>71</v>
      </c>
      <c r="I3" s="26" t="s">
        <v>14</v>
      </c>
      <c r="J3" s="5"/>
      <c r="K3" s="4"/>
      <c r="L3" s="5"/>
      <c r="M3" s="5"/>
    </row>
    <row r="4" spans="1:13" ht="17.25">
      <c r="A4" s="5"/>
      <c r="B4" s="22" t="s">
        <v>3</v>
      </c>
      <c r="C4" s="23" t="str">
        <f>'Rincian PerDin'!E9</f>
        <v>Nama penerima tugas</v>
      </c>
      <c r="D4" s="23"/>
      <c r="E4" s="23"/>
      <c r="F4" s="53" t="s">
        <v>1</v>
      </c>
      <c r="G4" s="23" t="str">
        <f>'Rincian PerDin'!E11</f>
        <v>Nama Jabatan penerima tugas</v>
      </c>
      <c r="H4" s="66"/>
      <c r="I4" s="66"/>
      <c r="J4" s="5" t="s">
        <v>78</v>
      </c>
      <c r="K4" s="24"/>
      <c r="M4" s="5"/>
    </row>
    <row r="5" spans="1:13" ht="17.25">
      <c r="A5" s="5"/>
      <c r="B5" s="22" t="s">
        <v>21</v>
      </c>
      <c r="C5" s="23" t="str">
        <f>'Rincian PerDin'!E10</f>
        <v>Nomor Induk Karyawan</v>
      </c>
      <c r="D5" s="66"/>
      <c r="E5" s="66"/>
      <c r="F5" s="53" t="s">
        <v>4</v>
      </c>
      <c r="G5" s="23" t="str">
        <f>'Rincian PerDin'!E12</f>
        <v>Nama Departemen</v>
      </c>
      <c r="H5" s="23"/>
      <c r="I5" s="23"/>
      <c r="J5" s="24"/>
      <c r="K5" s="24"/>
      <c r="L5" s="5"/>
      <c r="M5" s="5"/>
    </row>
    <row r="6" spans="1:13" ht="17.25">
      <c r="A6" s="5"/>
      <c r="B6" s="22" t="s">
        <v>7</v>
      </c>
      <c r="C6" s="74" t="str">
        <f>'Rincian PerDin'!E14</f>
        <v>Jakarta, Indonesia</v>
      </c>
      <c r="D6" s="74"/>
      <c r="E6" s="74"/>
      <c r="F6" s="24"/>
      <c r="G6" s="24"/>
      <c r="H6" s="24"/>
      <c r="I6" s="24"/>
      <c r="J6" s="24"/>
      <c r="K6" s="24"/>
      <c r="L6" s="5"/>
      <c r="M6" s="5"/>
    </row>
    <row r="7" spans="1:13" ht="17.25">
      <c r="A7" s="5"/>
      <c r="B7" s="22" t="s">
        <v>23</v>
      </c>
      <c r="C7" s="74" t="str">
        <f>'Rincian PerDin'!E13</f>
        <v xml:space="preserve">Tuliskan tujuan penugasan </v>
      </c>
      <c r="D7" s="74"/>
      <c r="E7" s="74"/>
      <c r="F7" s="24"/>
      <c r="G7" s="24"/>
      <c r="H7" s="24"/>
      <c r="I7" s="24"/>
      <c r="J7" s="24"/>
      <c r="K7" s="24"/>
      <c r="L7" s="5"/>
      <c r="M7" s="5"/>
    </row>
    <row r="8" spans="1:13" ht="17.25">
      <c r="A8" s="5"/>
      <c r="B8" s="22" t="s">
        <v>8</v>
      </c>
      <c r="C8" s="27" t="s">
        <v>6</v>
      </c>
      <c r="D8" s="28">
        <f>'Rincian PerDin'!F16</f>
        <v>41712</v>
      </c>
      <c r="E8" s="25" t="s">
        <v>27</v>
      </c>
      <c r="F8" s="29">
        <f>'Rincian PerDin'!H16</f>
        <v>0.33333333333333331</v>
      </c>
      <c r="G8" s="30"/>
      <c r="H8" s="30"/>
      <c r="I8" s="24"/>
      <c r="J8" s="24"/>
      <c r="K8" s="24"/>
      <c r="L8" s="5"/>
      <c r="M8" s="5"/>
    </row>
    <row r="9" spans="1:13" ht="17.25">
      <c r="A9" s="5"/>
      <c r="B9" s="22" t="s">
        <v>22</v>
      </c>
      <c r="C9" s="27" t="s">
        <v>6</v>
      </c>
      <c r="D9" s="28">
        <f>'Rincian PerDin'!F17</f>
        <v>41716</v>
      </c>
      <c r="E9" s="25" t="s">
        <v>27</v>
      </c>
      <c r="F9" s="29">
        <f>'Rincian PerDin'!H17</f>
        <v>0.6875</v>
      </c>
      <c r="G9" s="30"/>
      <c r="H9" s="30"/>
      <c r="I9" s="24"/>
      <c r="J9" s="24"/>
      <c r="K9" s="24"/>
      <c r="L9" s="5"/>
      <c r="M9" s="5"/>
    </row>
    <row r="10" spans="1:13" ht="17.25">
      <c r="A10" s="5"/>
      <c r="B10" s="27" t="s">
        <v>17</v>
      </c>
      <c r="C10" s="31">
        <f>D9-D8+1</f>
        <v>5</v>
      </c>
      <c r="D10" s="24" t="s">
        <v>33</v>
      </c>
      <c r="E10" s="24"/>
      <c r="F10" s="24"/>
      <c r="G10" s="24"/>
      <c r="H10" s="24"/>
      <c r="I10" s="24"/>
      <c r="J10" s="24"/>
      <c r="K10" s="24"/>
      <c r="L10" s="5"/>
      <c r="M10" s="5"/>
    </row>
    <row r="11" spans="1:13" ht="17.25">
      <c r="A11" s="5"/>
      <c r="B11" s="27"/>
      <c r="C11" s="32"/>
      <c r="D11" s="24"/>
      <c r="E11" s="24"/>
      <c r="F11" s="24"/>
      <c r="G11" s="24"/>
      <c r="H11" s="24"/>
      <c r="I11" s="24"/>
      <c r="J11" s="24"/>
      <c r="K11" s="24"/>
      <c r="L11" s="5"/>
      <c r="M11" s="5"/>
    </row>
    <row r="12" spans="1:13" ht="17.25">
      <c r="A12" s="5"/>
      <c r="B12" s="22" t="s">
        <v>36</v>
      </c>
      <c r="C12" s="24"/>
      <c r="D12" s="24"/>
      <c r="E12" s="24"/>
      <c r="F12" s="24"/>
      <c r="G12" s="24"/>
      <c r="H12" s="24"/>
      <c r="I12" s="24"/>
      <c r="J12" s="24"/>
      <c r="K12" s="24"/>
      <c r="L12" s="5"/>
      <c r="M12" s="5"/>
    </row>
    <row r="13" spans="1:13" ht="17.25">
      <c r="A13" s="6"/>
      <c r="B13" s="75" t="s">
        <v>5</v>
      </c>
      <c r="C13" s="75" t="s">
        <v>6</v>
      </c>
      <c r="D13" s="77" t="s">
        <v>43</v>
      </c>
      <c r="E13" s="77" t="s">
        <v>32</v>
      </c>
      <c r="F13" s="84" t="s">
        <v>11</v>
      </c>
      <c r="G13" s="85"/>
      <c r="H13" s="82" t="s">
        <v>12</v>
      </c>
      <c r="I13" s="83"/>
      <c r="J13" s="75" t="s">
        <v>9</v>
      </c>
      <c r="K13" s="22"/>
      <c r="L13" s="6"/>
      <c r="M13" s="6"/>
    </row>
    <row r="14" spans="1:13" ht="17.25">
      <c r="A14" s="6"/>
      <c r="B14" s="76"/>
      <c r="C14" s="76"/>
      <c r="D14" s="78"/>
      <c r="E14" s="78"/>
      <c r="F14" s="33" t="s">
        <v>34</v>
      </c>
      <c r="G14" s="33" t="s">
        <v>18</v>
      </c>
      <c r="H14" s="33" t="s">
        <v>34</v>
      </c>
      <c r="I14" s="33" t="s">
        <v>18</v>
      </c>
      <c r="J14" s="76"/>
      <c r="K14" s="22"/>
      <c r="L14" s="6"/>
      <c r="M14" s="6"/>
    </row>
    <row r="15" spans="1:13" ht="17.25">
      <c r="A15" s="5"/>
      <c r="B15" s="34" t="s">
        <v>38</v>
      </c>
      <c r="C15" s="35">
        <v>41712</v>
      </c>
      <c r="D15" s="36">
        <v>50000</v>
      </c>
      <c r="E15" s="36">
        <v>40000</v>
      </c>
      <c r="F15" s="34" t="s">
        <v>37</v>
      </c>
      <c r="G15" s="36">
        <v>40000</v>
      </c>
      <c r="H15" s="34" t="s">
        <v>44</v>
      </c>
      <c r="I15" s="36" t="s">
        <v>44</v>
      </c>
      <c r="J15" s="37" t="s">
        <v>10</v>
      </c>
      <c r="K15" s="24"/>
      <c r="L15" s="5"/>
      <c r="M15" s="5"/>
    </row>
    <row r="16" spans="1:13" ht="17.25">
      <c r="A16" s="5"/>
      <c r="B16" s="34" t="s">
        <v>39</v>
      </c>
      <c r="C16" s="35">
        <v>41713</v>
      </c>
      <c r="D16" s="36">
        <v>50000</v>
      </c>
      <c r="E16" s="36">
        <v>40000</v>
      </c>
      <c r="F16" s="34" t="s">
        <v>48</v>
      </c>
      <c r="G16" s="36">
        <v>100000</v>
      </c>
      <c r="H16" s="34" t="s">
        <v>44</v>
      </c>
      <c r="I16" s="38" t="s">
        <v>44</v>
      </c>
      <c r="J16" s="37" t="s">
        <v>10</v>
      </c>
      <c r="K16" s="24"/>
      <c r="L16" s="5"/>
      <c r="M16" s="5"/>
    </row>
    <row r="17" spans="1:13" ht="17.25">
      <c r="A17" s="5"/>
      <c r="B17" s="34"/>
      <c r="C17" s="35"/>
      <c r="D17" s="36"/>
      <c r="E17" s="36"/>
      <c r="F17" s="34" t="s">
        <v>49</v>
      </c>
      <c r="G17" s="36">
        <v>105000</v>
      </c>
      <c r="H17" s="34" t="s">
        <v>44</v>
      </c>
      <c r="I17" s="38" t="s">
        <v>44</v>
      </c>
      <c r="J17" s="37" t="s">
        <v>10</v>
      </c>
      <c r="K17" s="24"/>
      <c r="L17" s="5"/>
      <c r="M17" s="5"/>
    </row>
    <row r="18" spans="1:13" ht="17.25">
      <c r="A18" s="5"/>
      <c r="B18" s="34" t="s">
        <v>40</v>
      </c>
      <c r="C18" s="35">
        <v>41714</v>
      </c>
      <c r="D18" s="36">
        <v>50000</v>
      </c>
      <c r="E18" s="36">
        <v>40000</v>
      </c>
      <c r="F18" s="34" t="s">
        <v>48</v>
      </c>
      <c r="G18" s="36">
        <v>100000</v>
      </c>
      <c r="H18" s="34" t="s">
        <v>44</v>
      </c>
      <c r="I18" s="38" t="s">
        <v>44</v>
      </c>
      <c r="J18" s="37" t="s">
        <v>10</v>
      </c>
      <c r="K18" s="24"/>
      <c r="L18" s="5"/>
      <c r="M18" s="5"/>
    </row>
    <row r="19" spans="1:13" ht="17.25">
      <c r="A19" s="5"/>
      <c r="B19" s="34" t="s">
        <v>41</v>
      </c>
      <c r="C19" s="35">
        <v>41715</v>
      </c>
      <c r="D19" s="36">
        <v>50000</v>
      </c>
      <c r="E19" s="36">
        <v>40000</v>
      </c>
      <c r="F19" s="34" t="s">
        <v>44</v>
      </c>
      <c r="G19" s="36" t="s">
        <v>44</v>
      </c>
      <c r="H19" s="34" t="s">
        <v>52</v>
      </c>
      <c r="I19" s="36">
        <v>400000</v>
      </c>
      <c r="J19" s="37" t="s">
        <v>10</v>
      </c>
      <c r="K19" s="24"/>
      <c r="L19" s="5"/>
      <c r="M19" s="5"/>
    </row>
    <row r="20" spans="1:13" ht="17.25">
      <c r="A20" s="5"/>
      <c r="B20" s="34"/>
      <c r="C20" s="35"/>
      <c r="D20" s="36"/>
      <c r="E20" s="36"/>
      <c r="F20" s="34"/>
      <c r="G20" s="36"/>
      <c r="H20" s="34" t="s">
        <v>53</v>
      </c>
      <c r="I20" s="36">
        <v>75000</v>
      </c>
      <c r="J20" s="37" t="s">
        <v>10</v>
      </c>
      <c r="K20" s="24"/>
      <c r="L20" s="5"/>
      <c r="M20" s="5"/>
    </row>
    <row r="21" spans="1:13" ht="17.25">
      <c r="A21" s="5"/>
      <c r="B21" s="34" t="s">
        <v>42</v>
      </c>
      <c r="C21" s="35">
        <v>41716</v>
      </c>
      <c r="D21" s="36">
        <v>50000</v>
      </c>
      <c r="E21" s="36">
        <v>40000</v>
      </c>
      <c r="F21" s="34" t="s">
        <v>37</v>
      </c>
      <c r="G21" s="36">
        <v>40000</v>
      </c>
      <c r="H21" s="34" t="s">
        <v>44</v>
      </c>
      <c r="I21" s="36" t="s">
        <v>44</v>
      </c>
      <c r="J21" s="37" t="s">
        <v>10</v>
      </c>
      <c r="K21" s="24"/>
      <c r="L21" s="5"/>
      <c r="M21" s="5"/>
    </row>
    <row r="22" spans="1:13" ht="17.25">
      <c r="A22" s="5"/>
      <c r="B22" s="34"/>
      <c r="C22" s="35"/>
      <c r="D22" s="36"/>
      <c r="E22" s="36"/>
      <c r="F22" s="34"/>
      <c r="G22" s="36"/>
      <c r="H22" s="39"/>
      <c r="I22" s="38"/>
      <c r="J22" s="40"/>
      <c r="K22" s="24"/>
      <c r="L22" s="5"/>
      <c r="M22" s="5"/>
    </row>
    <row r="23" spans="1:13" ht="17.25">
      <c r="A23" s="6"/>
      <c r="B23" s="79" t="s">
        <v>65</v>
      </c>
      <c r="C23" s="79"/>
      <c r="D23" s="41">
        <f>SUM(D15:D22)</f>
        <v>250000</v>
      </c>
      <c r="E23" s="41">
        <f>SUM(E15:E22)</f>
        <v>200000</v>
      </c>
      <c r="F23" s="22"/>
      <c r="G23" s="41">
        <f>SUM(G15:G22)</f>
        <v>385000</v>
      </c>
      <c r="H23" s="42"/>
      <c r="I23" s="41">
        <f>SUM(I15:I22)</f>
        <v>475000</v>
      </c>
      <c r="J23" s="43"/>
      <c r="K23" s="22"/>
      <c r="L23" s="6"/>
      <c r="M23" s="6"/>
    </row>
    <row r="24" spans="1:13" ht="17.25">
      <c r="A24" s="6"/>
      <c r="B24" s="79" t="s">
        <v>13</v>
      </c>
      <c r="C24" s="79"/>
      <c r="D24" s="41">
        <f>D23+E23+G23+I23</f>
        <v>1310000</v>
      </c>
      <c r="E24" s="44"/>
      <c r="F24" s="22"/>
      <c r="G24" s="44"/>
      <c r="H24" s="44"/>
      <c r="I24" s="44"/>
      <c r="J24" s="44"/>
      <c r="K24" s="22"/>
      <c r="L24" s="6"/>
      <c r="M24" s="6"/>
    </row>
    <row r="25" spans="1:13" ht="17.25">
      <c r="A25" s="5"/>
      <c r="B25" s="24"/>
      <c r="C25" s="24"/>
      <c r="D25" s="24"/>
      <c r="E25" s="24"/>
      <c r="F25" s="24"/>
      <c r="G25" s="24"/>
      <c r="H25" s="24"/>
      <c r="I25" s="68"/>
      <c r="J25" s="24"/>
      <c r="K25" s="24"/>
      <c r="L25" s="5"/>
      <c r="M25" s="5"/>
    </row>
    <row r="26" spans="1:13" ht="17.25">
      <c r="A26" s="5"/>
      <c r="B26" s="24"/>
      <c r="C26" s="24"/>
      <c r="D26" s="24"/>
      <c r="E26" s="24"/>
      <c r="F26" s="24"/>
      <c r="G26" s="24"/>
      <c r="H26" s="24"/>
      <c r="I26" s="68"/>
      <c r="J26" s="24"/>
      <c r="K26" s="24"/>
      <c r="L26" s="5"/>
      <c r="M26" s="5"/>
    </row>
    <row r="27" spans="1:13" ht="17.25">
      <c r="A27" s="5"/>
      <c r="B27" s="24"/>
      <c r="C27" s="24"/>
      <c r="D27" s="24"/>
      <c r="E27" s="24"/>
      <c r="F27" s="24"/>
      <c r="G27" s="24"/>
      <c r="H27" s="24"/>
      <c r="I27" s="68"/>
      <c r="J27" s="24"/>
      <c r="K27" s="24"/>
      <c r="L27" s="5"/>
      <c r="M27" s="5"/>
    </row>
    <row r="28" spans="1:13" ht="17.25">
      <c r="A28" s="5"/>
      <c r="B28" s="24"/>
      <c r="C28" s="24"/>
      <c r="D28" s="24"/>
      <c r="E28" s="24"/>
      <c r="F28" s="24"/>
      <c r="G28" s="24"/>
      <c r="H28" s="24"/>
      <c r="I28" s="68"/>
      <c r="J28" s="24"/>
      <c r="K28" s="24"/>
      <c r="L28" s="5"/>
      <c r="M28" s="5"/>
    </row>
    <row r="29" spans="1:13" ht="17.25">
      <c r="A29" s="5"/>
      <c r="B29" s="22" t="s">
        <v>35</v>
      </c>
      <c r="C29" s="24"/>
      <c r="D29" s="24"/>
      <c r="E29" s="24"/>
      <c r="F29" s="24"/>
      <c r="G29" s="24"/>
      <c r="H29" s="24"/>
      <c r="I29" s="24"/>
      <c r="J29" s="24"/>
      <c r="K29" s="24"/>
      <c r="L29" s="5"/>
      <c r="M29" s="5"/>
    </row>
    <row r="30" spans="1:13" ht="17.25">
      <c r="A30" s="5"/>
      <c r="B30" s="33" t="s">
        <v>5</v>
      </c>
      <c r="C30" s="33" t="s">
        <v>6</v>
      </c>
      <c r="D30" s="82" t="s">
        <v>63</v>
      </c>
      <c r="E30" s="83"/>
      <c r="F30" s="82" t="s">
        <v>15</v>
      </c>
      <c r="G30" s="83"/>
      <c r="H30" s="82" t="s">
        <v>16</v>
      </c>
      <c r="I30" s="83"/>
      <c r="J30" s="33" t="s">
        <v>18</v>
      </c>
      <c r="K30" s="24"/>
      <c r="L30" s="5"/>
      <c r="M30" s="5"/>
    </row>
    <row r="31" spans="1:13" ht="17.25">
      <c r="A31" s="5"/>
      <c r="B31" s="34" t="s">
        <v>41</v>
      </c>
      <c r="C31" s="35">
        <v>41715</v>
      </c>
      <c r="D31" s="80" t="s">
        <v>45</v>
      </c>
      <c r="E31" s="81"/>
      <c r="F31" s="80" t="s">
        <v>46</v>
      </c>
      <c r="G31" s="81"/>
      <c r="H31" s="80" t="s">
        <v>47</v>
      </c>
      <c r="I31" s="81"/>
      <c r="J31" s="36">
        <v>750000</v>
      </c>
      <c r="K31" s="24"/>
      <c r="L31" s="5"/>
      <c r="M31" s="5"/>
    </row>
    <row r="32" spans="1:13" ht="17.25">
      <c r="A32" s="5"/>
      <c r="B32" s="37"/>
      <c r="C32" s="35"/>
      <c r="D32" s="80" t="s">
        <v>64</v>
      </c>
      <c r="E32" s="81"/>
      <c r="F32" s="86"/>
      <c r="G32" s="87"/>
      <c r="H32" s="88"/>
      <c r="I32" s="89"/>
      <c r="J32" s="36">
        <v>250000</v>
      </c>
      <c r="K32" s="24"/>
      <c r="L32" s="5"/>
      <c r="M32" s="5"/>
    </row>
    <row r="33" spans="1:13" ht="17.25">
      <c r="A33" s="5"/>
      <c r="B33" s="37"/>
      <c r="C33" s="35"/>
      <c r="D33" s="88"/>
      <c r="E33" s="89"/>
      <c r="F33" s="88"/>
      <c r="G33" s="89"/>
      <c r="H33" s="88"/>
      <c r="I33" s="89"/>
      <c r="J33" s="36"/>
      <c r="K33" s="24"/>
      <c r="L33" s="5"/>
      <c r="M33" s="5"/>
    </row>
    <row r="34" spans="1:13" ht="17.25">
      <c r="A34" s="5"/>
      <c r="B34" s="82" t="s">
        <v>13</v>
      </c>
      <c r="C34" s="92"/>
      <c r="D34" s="92"/>
      <c r="E34" s="92"/>
      <c r="F34" s="92"/>
      <c r="G34" s="92"/>
      <c r="H34" s="92"/>
      <c r="I34" s="83"/>
      <c r="J34" s="41">
        <f>SUM(J31:J33)</f>
        <v>1000000</v>
      </c>
      <c r="K34" s="24"/>
      <c r="L34" s="5"/>
      <c r="M34" s="5"/>
    </row>
    <row r="35" spans="1:13" ht="17.25">
      <c r="A35" s="5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5"/>
      <c r="M35" s="5"/>
    </row>
    <row r="36" spans="1:13" ht="17.25">
      <c r="A36" s="5"/>
      <c r="B36" s="79" t="s">
        <v>50</v>
      </c>
      <c r="C36" s="79"/>
      <c r="D36" s="93">
        <v>3000000</v>
      </c>
      <c r="E36" s="93"/>
      <c r="F36" s="44"/>
      <c r="G36" s="24"/>
      <c r="H36" s="24"/>
      <c r="I36" s="24"/>
      <c r="J36" s="24"/>
      <c r="K36" s="24"/>
      <c r="L36" s="5"/>
      <c r="M36" s="5"/>
    </row>
    <row r="37" spans="1:13" ht="17.25">
      <c r="A37" s="5"/>
      <c r="B37" s="79" t="s">
        <v>51</v>
      </c>
      <c r="C37" s="79"/>
      <c r="D37" s="90">
        <f>D24+J34</f>
        <v>2310000</v>
      </c>
      <c r="E37" s="90"/>
      <c r="F37" s="44"/>
      <c r="G37" s="24"/>
      <c r="H37" s="24"/>
      <c r="I37" s="24"/>
      <c r="J37" s="24"/>
      <c r="K37" s="24"/>
      <c r="L37" s="5"/>
      <c r="M37" s="5"/>
    </row>
    <row r="38" spans="1:13" ht="17.25">
      <c r="A38" s="5"/>
      <c r="B38" s="79" t="s">
        <v>19</v>
      </c>
      <c r="C38" s="79"/>
      <c r="D38" s="90">
        <f>D36-D37</f>
        <v>690000</v>
      </c>
      <c r="E38" s="90"/>
      <c r="F38" s="44"/>
      <c r="G38" s="24"/>
      <c r="H38" s="24"/>
      <c r="I38" s="24"/>
      <c r="J38" s="24"/>
      <c r="K38" s="24"/>
      <c r="L38" s="5"/>
      <c r="M38" s="5"/>
    </row>
    <row r="39" spans="1:13" ht="17.25">
      <c r="A39" s="5"/>
      <c r="B39" s="79" t="s">
        <v>9</v>
      </c>
      <c r="C39" s="79"/>
      <c r="D39" s="91" t="str">
        <f>IF(D36&gt;D37,"Bayar ke Perusahaan",IF(D37=D36,"Nilai telah Sesuai","Bayar ke Karyawan"))</f>
        <v>Bayar ke Perusahaan</v>
      </c>
      <c r="E39" s="91"/>
      <c r="F39" s="22"/>
      <c r="G39" s="24"/>
      <c r="H39" s="24"/>
      <c r="I39" s="24"/>
      <c r="J39" s="24"/>
      <c r="K39" s="24"/>
      <c r="L39" s="5"/>
      <c r="M39" s="5"/>
    </row>
    <row r="40" spans="1:1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</row>
    <row r="41" spans="1:13" ht="17.25">
      <c r="A41" s="5"/>
      <c r="B41" s="67" t="s">
        <v>89</v>
      </c>
      <c r="C41" s="24"/>
      <c r="D41" s="24"/>
      <c r="E41" s="24"/>
      <c r="F41" s="24"/>
      <c r="G41" s="24"/>
      <c r="H41" s="24"/>
      <c r="I41" s="24"/>
      <c r="J41" s="20"/>
      <c r="K41" s="5"/>
      <c r="L41" s="5"/>
      <c r="M41" s="5"/>
    </row>
    <row r="42" spans="1:13" ht="17.25">
      <c r="A42" s="5"/>
      <c r="B42" s="24" t="s">
        <v>0</v>
      </c>
      <c r="C42" s="24"/>
      <c r="D42" s="45"/>
      <c r="E42" s="24"/>
      <c r="F42" s="24"/>
      <c r="G42" s="24" t="s">
        <v>2</v>
      </c>
      <c r="H42" s="24"/>
      <c r="I42" s="24"/>
      <c r="J42" s="20"/>
      <c r="K42" s="5"/>
      <c r="L42" s="5"/>
      <c r="M42" s="5"/>
    </row>
    <row r="43" spans="1:13" ht="17.25">
      <c r="A43" s="5"/>
      <c r="B43" s="24"/>
      <c r="C43" s="24"/>
      <c r="D43" s="45"/>
      <c r="E43" s="24"/>
      <c r="F43" s="24"/>
      <c r="G43" s="24"/>
      <c r="H43" s="24"/>
      <c r="I43" s="24"/>
      <c r="J43" s="20"/>
      <c r="K43" s="5"/>
      <c r="L43" s="5"/>
      <c r="M43" s="5"/>
    </row>
    <row r="44" spans="1:13" ht="17.25">
      <c r="A44" s="5"/>
      <c r="B44" s="24"/>
      <c r="C44" s="24"/>
      <c r="D44" s="45"/>
      <c r="E44" s="24"/>
      <c r="F44" s="24"/>
      <c r="G44" s="24"/>
      <c r="H44" s="24"/>
      <c r="I44" s="24"/>
      <c r="J44" s="20"/>
      <c r="K44" s="5"/>
      <c r="L44" s="5"/>
      <c r="M44" s="5"/>
    </row>
    <row r="45" spans="1:13" ht="17.25">
      <c r="A45" s="5"/>
      <c r="B45" s="24"/>
      <c r="C45" s="24"/>
      <c r="D45" s="45"/>
      <c r="E45" s="24"/>
      <c r="F45" s="24"/>
      <c r="G45" s="24"/>
      <c r="H45" s="24"/>
      <c r="I45" s="24"/>
      <c r="J45" s="20"/>
      <c r="K45" s="5"/>
      <c r="L45" s="5"/>
      <c r="M45" s="5"/>
    </row>
    <row r="46" spans="1:13" ht="17.25">
      <c r="A46" s="5"/>
      <c r="B46" s="24" t="s">
        <v>20</v>
      </c>
      <c r="C46" s="24"/>
      <c r="D46" s="45"/>
      <c r="E46" s="24"/>
      <c r="F46" s="24"/>
      <c r="G46" s="24" t="s">
        <v>66</v>
      </c>
      <c r="H46" s="24"/>
      <c r="I46" s="24"/>
      <c r="J46" s="20"/>
      <c r="K46" s="5"/>
      <c r="L46" s="5"/>
      <c r="M46" s="5"/>
    </row>
    <row r="47" spans="1:13" ht="17.25">
      <c r="A47" s="5"/>
      <c r="B47" s="24" t="s">
        <v>1</v>
      </c>
      <c r="C47" s="24"/>
      <c r="D47" s="45"/>
      <c r="E47" s="24"/>
      <c r="F47" s="24"/>
      <c r="G47" s="24" t="s">
        <v>1</v>
      </c>
      <c r="H47" s="24"/>
      <c r="I47" s="24"/>
      <c r="J47" s="20"/>
      <c r="K47" s="5"/>
      <c r="L47" s="5"/>
      <c r="M47" s="5"/>
    </row>
    <row r="48" spans="1:13">
      <c r="A48" s="3"/>
      <c r="B48" s="21"/>
      <c r="C48" s="21"/>
      <c r="D48" s="21"/>
      <c r="E48" s="21"/>
      <c r="F48" s="21"/>
      <c r="G48" s="21"/>
      <c r="H48" s="21"/>
      <c r="I48" s="21"/>
      <c r="J48" s="21"/>
      <c r="K48" s="3"/>
      <c r="L48" s="3"/>
      <c r="M48" s="3"/>
    </row>
    <row r="49" spans="1:13">
      <c r="C49" s="1"/>
      <c r="D49" s="1"/>
      <c r="E49" s="1"/>
      <c r="F49" s="1"/>
      <c r="G49" s="1"/>
      <c r="H49" s="1"/>
      <c r="I49" s="1"/>
    </row>
    <row r="50" spans="1:13" ht="17.25">
      <c r="A50" s="47" t="s">
        <v>31</v>
      </c>
      <c r="B50" s="48"/>
      <c r="C50" s="48"/>
      <c r="D50" s="48"/>
      <c r="E50" s="48"/>
      <c r="F50" s="48"/>
      <c r="G50" s="48"/>
      <c r="H50" s="8"/>
      <c r="I50" s="8"/>
      <c r="J50" s="8"/>
      <c r="K50" s="8"/>
      <c r="L50" s="8"/>
      <c r="M50" s="8"/>
    </row>
    <row r="51" spans="1:13" ht="17.25">
      <c r="A51" s="49">
        <v>1</v>
      </c>
      <c r="B51" s="50" t="s">
        <v>70</v>
      </c>
      <c r="C51" s="48"/>
      <c r="D51" s="48"/>
      <c r="E51" s="48"/>
      <c r="F51" s="48"/>
      <c r="G51" s="48"/>
      <c r="H51" s="8"/>
      <c r="I51" s="8"/>
      <c r="J51" s="8"/>
      <c r="K51" s="8"/>
      <c r="L51" s="8"/>
      <c r="M51" s="8"/>
    </row>
    <row r="52" spans="1:13" ht="17.25">
      <c r="A52" s="49">
        <v>2</v>
      </c>
      <c r="B52" s="50" t="s">
        <v>83</v>
      </c>
      <c r="C52" s="48"/>
      <c r="D52" s="48"/>
      <c r="E52" s="48"/>
      <c r="F52" s="48"/>
      <c r="G52" s="48"/>
      <c r="H52" s="8"/>
      <c r="I52" s="8"/>
      <c r="J52" s="8"/>
      <c r="K52" s="8"/>
      <c r="L52" s="8"/>
      <c r="M52" s="8"/>
    </row>
    <row r="53" spans="1:13" ht="17.25">
      <c r="A53" s="51">
        <v>3</v>
      </c>
      <c r="B53" s="50" t="s">
        <v>84</v>
      </c>
      <c r="C53" s="48"/>
      <c r="D53" s="48"/>
      <c r="E53" s="48"/>
      <c r="F53" s="48"/>
      <c r="G53" s="48"/>
      <c r="H53" s="8"/>
      <c r="I53" s="8"/>
      <c r="J53" s="8"/>
      <c r="K53" s="8"/>
      <c r="L53" s="8"/>
      <c r="M53" s="8"/>
    </row>
    <row r="54" spans="1:13" ht="17.25">
      <c r="A54" s="49">
        <v>4</v>
      </c>
      <c r="B54" s="48" t="s">
        <v>85</v>
      </c>
      <c r="C54" s="48"/>
      <c r="D54" s="48"/>
      <c r="E54" s="48"/>
      <c r="F54" s="48"/>
      <c r="G54" s="48"/>
      <c r="H54" s="8"/>
      <c r="I54" s="8"/>
      <c r="J54" s="8"/>
      <c r="K54" s="8"/>
      <c r="L54" s="8"/>
      <c r="M54" s="8"/>
    </row>
    <row r="55" spans="1:13" ht="17.25">
      <c r="A55" s="49">
        <v>5</v>
      </c>
      <c r="B55" s="50" t="s">
        <v>82</v>
      </c>
      <c r="C55" s="48"/>
      <c r="D55" s="48"/>
      <c r="E55" s="48"/>
      <c r="F55" s="48"/>
      <c r="G55" s="48"/>
      <c r="H55" s="8"/>
      <c r="I55" s="8"/>
      <c r="J55" s="8"/>
      <c r="K55" s="8"/>
      <c r="L55" s="8"/>
      <c r="M55" s="8"/>
    </row>
    <row r="56" spans="1:13" ht="17.25">
      <c r="A56" s="46"/>
      <c r="B56" s="46"/>
      <c r="C56" s="46"/>
      <c r="D56" s="46"/>
      <c r="E56" s="46"/>
      <c r="F56" s="46"/>
      <c r="G56" s="46"/>
    </row>
  </sheetData>
  <mergeCells count="32">
    <mergeCell ref="B38:C38"/>
    <mergeCell ref="D38:E38"/>
    <mergeCell ref="B39:C39"/>
    <mergeCell ref="D39:E39"/>
    <mergeCell ref="B34:I34"/>
    <mergeCell ref="B36:C36"/>
    <mergeCell ref="D36:E36"/>
    <mergeCell ref="B37:C37"/>
    <mergeCell ref="D37:E37"/>
    <mergeCell ref="D32:E32"/>
    <mergeCell ref="F32:G32"/>
    <mergeCell ref="H32:I32"/>
    <mergeCell ref="D33:E33"/>
    <mergeCell ref="F33:G33"/>
    <mergeCell ref="H33:I33"/>
    <mergeCell ref="J13:J14"/>
    <mergeCell ref="B23:C23"/>
    <mergeCell ref="B24:C24"/>
    <mergeCell ref="B13:B14"/>
    <mergeCell ref="D31:E31"/>
    <mergeCell ref="F31:G31"/>
    <mergeCell ref="H31:I31"/>
    <mergeCell ref="D30:E30"/>
    <mergeCell ref="F30:G30"/>
    <mergeCell ref="H30:I30"/>
    <mergeCell ref="F13:G13"/>
    <mergeCell ref="H13:I13"/>
    <mergeCell ref="C6:E6"/>
    <mergeCell ref="C7:E7"/>
    <mergeCell ref="C13:C14"/>
    <mergeCell ref="D13:D14"/>
    <mergeCell ref="E13:E14"/>
  </mergeCells>
  <pageMargins left="0.39370078740157483" right="0.31496062992125984" top="0.70866141732283472" bottom="0.39370078740157483" header="0.19685039370078741" footer="0.51181102362204722"/>
  <pageSetup paperSize="9" orientation="landscape" verticalDpi="360" r:id="rId1"/>
  <headerFooter>
    <oddHeader>&amp;L&amp;G&amp;RUCM/FR/HCM/06 Rev 00
May 28, 2021</oddHead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M59"/>
  <sheetViews>
    <sheetView tabSelected="1" view="pageLayout" topLeftCell="A7" zoomScale="69" zoomScaleNormal="74" zoomScalePageLayoutView="69" workbookViewId="0">
      <selection activeCell="Q35" sqref="Q35"/>
    </sheetView>
  </sheetViews>
  <sheetFormatPr defaultColWidth="11" defaultRowHeight="15.75"/>
  <cols>
    <col min="1" max="1" width="3.25" customWidth="1"/>
    <col min="2" max="2" width="11" customWidth="1"/>
    <col min="3" max="3" width="10.375" customWidth="1"/>
    <col min="4" max="5" width="12.125" customWidth="1"/>
    <col min="7" max="7" width="11.75" customWidth="1"/>
    <col min="9" max="9" width="12.125" customWidth="1"/>
    <col min="10" max="10" width="14.25" customWidth="1"/>
    <col min="11" max="11" width="13.375" customWidth="1"/>
  </cols>
  <sheetData>
    <row r="2" spans="1:13">
      <c r="G2" s="64" t="s">
        <v>88</v>
      </c>
      <c r="L2" s="3"/>
      <c r="M2" s="3"/>
    </row>
    <row r="3" spans="1:13" ht="30">
      <c r="A3" s="3"/>
      <c r="B3" s="2" t="s">
        <v>86</v>
      </c>
      <c r="C3" s="3"/>
      <c r="D3" s="3"/>
      <c r="E3" s="3"/>
      <c r="F3" s="3"/>
      <c r="G3" s="3"/>
      <c r="H3" s="3"/>
      <c r="I3" s="3"/>
      <c r="J3" s="3"/>
      <c r="K3" s="3"/>
      <c r="L3" s="5"/>
      <c r="M3" s="5"/>
    </row>
    <row r="4" spans="1:13" ht="17.25">
      <c r="A4" s="5"/>
      <c r="B4" s="5"/>
      <c r="C4" s="5"/>
      <c r="D4" s="5"/>
      <c r="E4" s="5"/>
      <c r="F4" s="5"/>
      <c r="G4" s="5"/>
      <c r="H4" s="5"/>
      <c r="I4" s="25" t="s">
        <v>71</v>
      </c>
      <c r="J4" s="26" t="s">
        <v>14</v>
      </c>
      <c r="K4" s="5"/>
      <c r="M4" s="5"/>
    </row>
    <row r="5" spans="1:13" ht="17.25">
      <c r="A5" s="5"/>
      <c r="B5" s="22" t="s">
        <v>3</v>
      </c>
      <c r="C5" s="23" t="str">
        <f>'Rincian PerDin'!E9</f>
        <v>Nama penerima tugas</v>
      </c>
      <c r="D5" s="23"/>
      <c r="E5" s="23"/>
      <c r="F5" s="27" t="s">
        <v>1</v>
      </c>
      <c r="G5" s="23" t="str">
        <f>'Rincian PerDin'!E11</f>
        <v>Nama Jabatan penerima tugas</v>
      </c>
      <c r="H5" s="23"/>
      <c r="I5" s="66"/>
      <c r="J5" s="5" t="s">
        <v>78</v>
      </c>
      <c r="K5" s="24"/>
      <c r="L5" s="5"/>
      <c r="M5" s="5"/>
    </row>
    <row r="6" spans="1:13" ht="17.25">
      <c r="A6" s="5"/>
      <c r="B6" s="22" t="s">
        <v>21</v>
      </c>
      <c r="C6" s="23" t="str">
        <f>'Rincian PerDin'!E10</f>
        <v>Nomor Induk Karyawan</v>
      </c>
      <c r="D6" s="66"/>
      <c r="E6" s="66"/>
      <c r="F6" s="27" t="s">
        <v>4</v>
      </c>
      <c r="G6" s="23" t="str">
        <f>'Rincian PerDin'!E12</f>
        <v>Nama Departemen</v>
      </c>
      <c r="H6" s="23"/>
      <c r="I6" s="23"/>
      <c r="J6" s="24"/>
      <c r="K6" s="24"/>
      <c r="L6" s="5"/>
      <c r="M6" s="5"/>
    </row>
    <row r="7" spans="1:13" ht="17.25">
      <c r="A7" s="5"/>
      <c r="B7" s="22" t="s">
        <v>7</v>
      </c>
      <c r="C7" s="74" t="str">
        <f>'Rincian PerDin'!E14</f>
        <v>Jakarta, Indonesia</v>
      </c>
      <c r="D7" s="74"/>
      <c r="E7" s="74"/>
      <c r="F7" s="24"/>
      <c r="G7" s="24"/>
      <c r="H7" s="24"/>
      <c r="I7" s="24"/>
      <c r="J7" s="24"/>
      <c r="K7" s="24"/>
      <c r="L7" s="5"/>
      <c r="M7" s="5"/>
    </row>
    <row r="8" spans="1:13" ht="17.25">
      <c r="A8" s="5"/>
      <c r="B8" s="22" t="s">
        <v>23</v>
      </c>
      <c r="C8" s="74" t="str">
        <f>'Rincian PerDin'!E13</f>
        <v xml:space="preserve">Tuliskan tujuan penugasan </v>
      </c>
      <c r="D8" s="74"/>
      <c r="E8" s="74"/>
      <c r="F8" s="24"/>
      <c r="G8" s="24"/>
      <c r="H8" s="24"/>
      <c r="I8" s="24"/>
      <c r="J8" s="24"/>
      <c r="K8" s="24"/>
      <c r="L8" s="5"/>
      <c r="M8" s="5"/>
    </row>
    <row r="9" spans="1:13" ht="17.25">
      <c r="A9" s="5"/>
      <c r="B9" s="22" t="s">
        <v>8</v>
      </c>
      <c r="C9" s="27" t="s">
        <v>6</v>
      </c>
      <c r="D9" s="28">
        <f>'Rincian PerDin'!F16</f>
        <v>41712</v>
      </c>
      <c r="E9" s="25" t="s">
        <v>27</v>
      </c>
      <c r="F9" s="29">
        <f>'Rincian PerDin'!H16</f>
        <v>0.33333333333333331</v>
      </c>
      <c r="G9" s="30"/>
      <c r="H9" s="30"/>
      <c r="I9" s="30"/>
      <c r="J9" s="24"/>
      <c r="K9" s="24"/>
      <c r="L9" s="5"/>
      <c r="M9" s="5"/>
    </row>
    <row r="10" spans="1:13" ht="17.25">
      <c r="A10" s="5"/>
      <c r="B10" s="22" t="s">
        <v>22</v>
      </c>
      <c r="C10" s="27" t="s">
        <v>6</v>
      </c>
      <c r="D10" s="28">
        <f>'Rincian PerDin'!F17</f>
        <v>41716</v>
      </c>
      <c r="E10" s="25" t="s">
        <v>27</v>
      </c>
      <c r="F10" s="29">
        <f>'Rincian PerDin'!H17</f>
        <v>0.6875</v>
      </c>
      <c r="G10" s="30"/>
      <c r="H10" s="30"/>
      <c r="I10" s="30"/>
      <c r="J10" s="24"/>
      <c r="K10" s="24"/>
      <c r="L10" s="5"/>
      <c r="M10" s="5"/>
    </row>
    <row r="11" spans="1:13" ht="17.25">
      <c r="A11" s="5"/>
      <c r="B11" s="27" t="s">
        <v>17</v>
      </c>
      <c r="C11" s="31">
        <f>D10-D9+1</f>
        <v>5</v>
      </c>
      <c r="D11" s="24" t="s">
        <v>33</v>
      </c>
      <c r="E11" s="24"/>
      <c r="F11" s="24"/>
      <c r="G11" s="24"/>
      <c r="H11" s="24"/>
      <c r="I11" s="24"/>
      <c r="J11" s="24"/>
      <c r="K11" s="24"/>
      <c r="L11" s="5"/>
      <c r="M11" s="5"/>
    </row>
    <row r="12" spans="1:13" ht="17.25">
      <c r="A12" s="5"/>
      <c r="B12" s="27"/>
      <c r="C12" s="32"/>
      <c r="D12" s="24"/>
      <c r="E12" s="24"/>
      <c r="F12" s="24"/>
      <c r="G12" s="24"/>
      <c r="H12" s="24"/>
      <c r="I12" s="24"/>
      <c r="J12" s="24"/>
      <c r="K12" s="24"/>
      <c r="L12" s="5"/>
      <c r="M12" s="5"/>
    </row>
    <row r="13" spans="1:13" ht="17.45" customHeight="1">
      <c r="A13" s="5"/>
      <c r="B13" s="22" t="s">
        <v>36</v>
      </c>
      <c r="C13" s="24"/>
      <c r="D13" s="24"/>
      <c r="E13" s="24"/>
      <c r="F13" s="24"/>
      <c r="G13" s="24"/>
      <c r="H13" s="24"/>
      <c r="I13" s="24"/>
      <c r="J13" s="24"/>
      <c r="K13" s="24"/>
      <c r="L13" s="6"/>
      <c r="M13" s="6"/>
    </row>
    <row r="14" spans="1:13" ht="17.25">
      <c r="A14" s="6"/>
      <c r="B14" s="75" t="s">
        <v>5</v>
      </c>
      <c r="C14" s="75" t="s">
        <v>6</v>
      </c>
      <c r="D14" s="77" t="s">
        <v>43</v>
      </c>
      <c r="E14" s="77" t="s">
        <v>32</v>
      </c>
      <c r="F14" s="82" t="s">
        <v>11</v>
      </c>
      <c r="G14" s="92"/>
      <c r="H14" s="83"/>
      <c r="I14" s="82" t="s">
        <v>12</v>
      </c>
      <c r="J14" s="92"/>
      <c r="K14" s="75" t="s">
        <v>9</v>
      </c>
      <c r="L14" s="6"/>
      <c r="M14" s="6"/>
    </row>
    <row r="15" spans="1:13" ht="17.25">
      <c r="A15" s="6"/>
      <c r="B15" s="76"/>
      <c r="C15" s="76"/>
      <c r="D15" s="78"/>
      <c r="E15" s="78"/>
      <c r="F15" s="33" t="s">
        <v>34</v>
      </c>
      <c r="G15" s="94" t="s">
        <v>18</v>
      </c>
      <c r="H15" s="95"/>
      <c r="I15" s="33" t="s">
        <v>34</v>
      </c>
      <c r="J15" s="63" t="s">
        <v>87</v>
      </c>
      <c r="K15" s="76"/>
      <c r="L15" s="5"/>
      <c r="M15" s="5"/>
    </row>
    <row r="16" spans="1:13" ht="17.25">
      <c r="A16" s="5"/>
      <c r="B16" s="34" t="s">
        <v>38</v>
      </c>
      <c r="C16" s="35">
        <v>41712</v>
      </c>
      <c r="D16" s="36">
        <v>50000</v>
      </c>
      <c r="E16" s="36">
        <v>40000</v>
      </c>
      <c r="F16" s="34" t="s">
        <v>37</v>
      </c>
      <c r="G16" s="36">
        <v>40000</v>
      </c>
      <c r="H16" s="57" t="s">
        <v>44</v>
      </c>
      <c r="I16" s="34" t="s">
        <v>44</v>
      </c>
      <c r="J16" s="57"/>
      <c r="K16" s="37" t="s">
        <v>10</v>
      </c>
      <c r="L16" s="5"/>
      <c r="M16" s="5"/>
    </row>
    <row r="17" spans="1:13" ht="17.25">
      <c r="A17" s="5"/>
      <c r="B17" s="34" t="s">
        <v>39</v>
      </c>
      <c r="C17" s="35">
        <v>41713</v>
      </c>
      <c r="D17" s="36">
        <v>50000</v>
      </c>
      <c r="E17" s="36">
        <v>40000</v>
      </c>
      <c r="F17" s="34" t="s">
        <v>48</v>
      </c>
      <c r="G17" s="36" t="s">
        <v>44</v>
      </c>
      <c r="H17" s="57">
        <v>20</v>
      </c>
      <c r="I17" s="34" t="s">
        <v>44</v>
      </c>
      <c r="J17" s="61"/>
      <c r="K17" s="37" t="s">
        <v>10</v>
      </c>
      <c r="L17" s="5"/>
      <c r="M17" s="5"/>
    </row>
    <row r="18" spans="1:13" ht="17.25">
      <c r="A18" s="5"/>
      <c r="B18" s="34"/>
      <c r="C18" s="35"/>
      <c r="D18" s="36"/>
      <c r="E18" s="36"/>
      <c r="F18" s="34" t="s">
        <v>49</v>
      </c>
      <c r="G18" s="36" t="s">
        <v>44</v>
      </c>
      <c r="H18" s="57">
        <v>21</v>
      </c>
      <c r="I18" s="34" t="s">
        <v>44</v>
      </c>
      <c r="J18" s="61"/>
      <c r="K18" s="37" t="s">
        <v>10</v>
      </c>
      <c r="L18" s="5"/>
      <c r="M18" s="5"/>
    </row>
    <row r="19" spans="1:13" ht="17.25">
      <c r="A19" s="5"/>
      <c r="B19" s="34" t="s">
        <v>40</v>
      </c>
      <c r="C19" s="35">
        <v>41714</v>
      </c>
      <c r="D19" s="36">
        <v>50000</v>
      </c>
      <c r="E19" s="36">
        <v>40000</v>
      </c>
      <c r="F19" s="34" t="s">
        <v>48</v>
      </c>
      <c r="G19" s="36" t="s">
        <v>44</v>
      </c>
      <c r="H19" s="57">
        <v>20</v>
      </c>
      <c r="I19" s="34" t="s">
        <v>44</v>
      </c>
      <c r="J19" s="61"/>
      <c r="K19" s="37" t="s">
        <v>10</v>
      </c>
      <c r="L19" s="5"/>
      <c r="M19" s="5"/>
    </row>
    <row r="20" spans="1:13" ht="17.25">
      <c r="A20" s="5"/>
      <c r="B20" s="34" t="s">
        <v>41</v>
      </c>
      <c r="C20" s="35">
        <v>41715</v>
      </c>
      <c r="D20" s="36">
        <v>50000</v>
      </c>
      <c r="E20" s="36">
        <v>40000</v>
      </c>
      <c r="F20" s="34" t="s">
        <v>44</v>
      </c>
      <c r="G20" s="36" t="s">
        <v>44</v>
      </c>
      <c r="H20" s="57" t="s">
        <v>44</v>
      </c>
      <c r="I20" s="34" t="s">
        <v>52</v>
      </c>
      <c r="J20" s="57">
        <v>40</v>
      </c>
      <c r="K20" s="37" t="s">
        <v>10</v>
      </c>
      <c r="L20" s="5"/>
      <c r="M20" s="5"/>
    </row>
    <row r="21" spans="1:13" ht="17.25">
      <c r="A21" s="5"/>
      <c r="B21" s="34"/>
      <c r="C21" s="35"/>
      <c r="D21" s="36"/>
      <c r="E21" s="36"/>
      <c r="F21" s="34"/>
      <c r="G21" s="36"/>
      <c r="H21" s="57"/>
      <c r="I21" s="34" t="s">
        <v>53</v>
      </c>
      <c r="J21" s="57">
        <v>8</v>
      </c>
      <c r="K21" s="37" t="s">
        <v>10</v>
      </c>
      <c r="L21" s="5"/>
      <c r="M21" s="5"/>
    </row>
    <row r="22" spans="1:13" ht="17.25">
      <c r="A22" s="5"/>
      <c r="B22" s="34" t="s">
        <v>42</v>
      </c>
      <c r="C22" s="35">
        <v>41716</v>
      </c>
      <c r="D22" s="36">
        <v>50000</v>
      </c>
      <c r="E22" s="36">
        <v>40000</v>
      </c>
      <c r="F22" s="34" t="s">
        <v>37</v>
      </c>
      <c r="G22" s="36" t="s">
        <v>44</v>
      </c>
      <c r="H22" s="57"/>
      <c r="I22" s="34" t="s">
        <v>44</v>
      </c>
      <c r="J22" s="57"/>
      <c r="K22" s="37" t="s">
        <v>10</v>
      </c>
      <c r="L22" s="5"/>
      <c r="M22" s="5"/>
    </row>
    <row r="23" spans="1:13" ht="17.25">
      <c r="A23" s="5"/>
      <c r="B23" s="34"/>
      <c r="C23" s="35"/>
      <c r="D23" s="36"/>
      <c r="E23" s="36"/>
      <c r="F23" s="34"/>
      <c r="G23" s="36"/>
      <c r="H23" s="58"/>
      <c r="I23" s="39"/>
      <c r="J23" s="62"/>
      <c r="K23" s="40"/>
      <c r="L23" s="6"/>
      <c r="M23" s="6"/>
    </row>
    <row r="24" spans="1:13" ht="17.25">
      <c r="A24" s="6"/>
      <c r="B24" s="79" t="s">
        <v>65</v>
      </c>
      <c r="C24" s="79"/>
      <c r="D24" s="41">
        <f>SUM(D16:D23)</f>
        <v>250000</v>
      </c>
      <c r="E24" s="41">
        <f>SUM(E16:E23)</f>
        <v>200000</v>
      </c>
      <c r="F24" s="22"/>
      <c r="G24" s="41">
        <f>SUM(G16:G23)</f>
        <v>40000</v>
      </c>
      <c r="H24" s="60">
        <f>SUM(H16:H23)</f>
        <v>61</v>
      </c>
      <c r="I24" s="42"/>
      <c r="J24" s="59">
        <f>SUM(J16:J23)</f>
        <v>48</v>
      </c>
      <c r="K24" s="43"/>
      <c r="L24" s="6"/>
      <c r="M24" s="6"/>
    </row>
    <row r="25" spans="1:13" ht="17.25">
      <c r="A25" s="6"/>
      <c r="B25" s="79" t="s">
        <v>13</v>
      </c>
      <c r="C25" s="79"/>
      <c r="D25" s="41">
        <f>D24+E24+G24+J24</f>
        <v>490048</v>
      </c>
      <c r="E25" s="44"/>
      <c r="F25" s="22"/>
      <c r="G25" s="44"/>
      <c r="H25" s="44"/>
      <c r="I25" s="44"/>
      <c r="J25" s="44"/>
      <c r="K25" s="44"/>
      <c r="L25" s="5"/>
      <c r="M25" s="5"/>
    </row>
    <row r="26" spans="1:13" ht="17.25">
      <c r="A26" s="5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5"/>
      <c r="M26" s="5"/>
    </row>
    <row r="27" spans="1:13" ht="17.25">
      <c r="A27" s="5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5"/>
      <c r="M27" s="5"/>
    </row>
    <row r="28" spans="1:13" ht="17.25">
      <c r="A28" s="5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5"/>
      <c r="M28" s="5"/>
    </row>
    <row r="29" spans="1:13" ht="17.25">
      <c r="A29" s="5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5"/>
      <c r="M29" s="5"/>
    </row>
    <row r="30" spans="1:13" ht="17.25">
      <c r="A30" s="5"/>
      <c r="B30" s="22" t="s">
        <v>35</v>
      </c>
      <c r="C30" s="24"/>
      <c r="D30" s="24"/>
      <c r="E30" s="24"/>
      <c r="F30" s="24"/>
      <c r="G30" s="24"/>
      <c r="H30" s="24"/>
      <c r="I30" s="24"/>
      <c r="J30" s="24"/>
      <c r="K30" s="24"/>
      <c r="L30" s="5"/>
      <c r="M30" s="5"/>
    </row>
    <row r="31" spans="1:13" ht="17.25">
      <c r="A31" s="5"/>
      <c r="B31" s="33" t="s">
        <v>5</v>
      </c>
      <c r="C31" s="33" t="s">
        <v>6</v>
      </c>
      <c r="D31" s="82" t="s">
        <v>63</v>
      </c>
      <c r="E31" s="83"/>
      <c r="F31" s="82" t="s">
        <v>15</v>
      </c>
      <c r="G31" s="83"/>
      <c r="H31" s="65"/>
      <c r="I31" s="82" t="s">
        <v>16</v>
      </c>
      <c r="J31" s="83"/>
      <c r="K31" s="33" t="s">
        <v>18</v>
      </c>
      <c r="L31" s="5"/>
      <c r="M31" s="5"/>
    </row>
    <row r="32" spans="1:13" ht="17.25">
      <c r="A32" s="5"/>
      <c r="B32" s="34" t="s">
        <v>41</v>
      </c>
      <c r="C32" s="35">
        <v>41715</v>
      </c>
      <c r="D32" s="80" t="s">
        <v>45</v>
      </c>
      <c r="E32" s="81"/>
      <c r="F32" s="80" t="s">
        <v>46</v>
      </c>
      <c r="G32" s="81"/>
      <c r="H32" s="54"/>
      <c r="I32" s="80" t="s">
        <v>47</v>
      </c>
      <c r="J32" s="81"/>
      <c r="K32" s="36">
        <v>750000</v>
      </c>
      <c r="L32" s="5"/>
      <c r="M32" s="5"/>
    </row>
    <row r="33" spans="1:13" ht="17.25">
      <c r="A33" s="5"/>
      <c r="B33" s="37"/>
      <c r="C33" s="35"/>
      <c r="D33" s="80" t="s">
        <v>64</v>
      </c>
      <c r="E33" s="81"/>
      <c r="F33" s="86"/>
      <c r="G33" s="87"/>
      <c r="H33" s="55"/>
      <c r="I33" s="88"/>
      <c r="J33" s="89"/>
      <c r="K33" s="36">
        <v>250000</v>
      </c>
      <c r="L33" s="5"/>
      <c r="M33" s="5"/>
    </row>
    <row r="34" spans="1:13" ht="17.25">
      <c r="A34" s="5"/>
      <c r="B34" s="37"/>
      <c r="C34" s="35"/>
      <c r="D34" s="88"/>
      <c r="E34" s="89"/>
      <c r="F34" s="88"/>
      <c r="G34" s="89"/>
      <c r="H34" s="56"/>
      <c r="I34" s="88"/>
      <c r="J34" s="89"/>
      <c r="K34" s="36"/>
      <c r="L34" s="5"/>
      <c r="M34" s="5"/>
    </row>
    <row r="35" spans="1:13" ht="17.25">
      <c r="A35" s="5"/>
      <c r="B35" s="82" t="s">
        <v>13</v>
      </c>
      <c r="C35" s="92"/>
      <c r="D35" s="92"/>
      <c r="E35" s="92"/>
      <c r="F35" s="92"/>
      <c r="G35" s="92"/>
      <c r="H35" s="92"/>
      <c r="I35" s="92"/>
      <c r="J35" s="83"/>
      <c r="K35" s="41">
        <f>SUM(K32:K34)</f>
        <v>1000000</v>
      </c>
      <c r="L35" s="5"/>
      <c r="M35" s="5"/>
    </row>
    <row r="36" spans="1:13" ht="17.25">
      <c r="A36" s="5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5"/>
      <c r="M36" s="5"/>
    </row>
    <row r="37" spans="1:13" ht="17.25">
      <c r="A37" s="5"/>
      <c r="B37" s="79" t="s">
        <v>50</v>
      </c>
      <c r="C37" s="79"/>
      <c r="D37" s="93">
        <v>3000000</v>
      </c>
      <c r="E37" s="93"/>
      <c r="F37" s="44"/>
      <c r="G37" s="24"/>
      <c r="H37" s="24"/>
      <c r="I37" s="24"/>
      <c r="J37" s="24"/>
      <c r="K37" s="24"/>
      <c r="L37" s="5"/>
      <c r="M37" s="5"/>
    </row>
    <row r="38" spans="1:13" ht="17.25">
      <c r="A38" s="5"/>
      <c r="B38" s="79" t="s">
        <v>51</v>
      </c>
      <c r="C38" s="79"/>
      <c r="D38" s="90">
        <f>D25+K35</f>
        <v>1490048</v>
      </c>
      <c r="E38" s="90"/>
      <c r="F38" s="44"/>
      <c r="G38" s="24"/>
      <c r="H38" s="24"/>
      <c r="I38" s="24"/>
      <c r="J38" s="24"/>
      <c r="K38" s="24"/>
      <c r="L38" s="5"/>
      <c r="M38" s="5"/>
    </row>
    <row r="39" spans="1:13" ht="17.25">
      <c r="A39" s="5"/>
      <c r="B39" s="79" t="s">
        <v>19</v>
      </c>
      <c r="C39" s="79"/>
      <c r="D39" s="90">
        <f>D37-D38</f>
        <v>1509952</v>
      </c>
      <c r="E39" s="90"/>
      <c r="F39" s="44"/>
      <c r="G39" s="24"/>
      <c r="H39" s="24"/>
      <c r="I39" s="24"/>
      <c r="J39" s="24"/>
      <c r="K39" s="24"/>
      <c r="L39" s="5"/>
      <c r="M39" s="5"/>
    </row>
    <row r="40" spans="1:13" ht="17.25">
      <c r="A40" s="5"/>
      <c r="B40" s="79" t="s">
        <v>9</v>
      </c>
      <c r="C40" s="79"/>
      <c r="D40" s="91" t="str">
        <f>IF(D37&gt;D38,"Bayar ke Perusahaan",IF(D38=D37,"Nilai telah Sesuai","Bayar ke Karyawan"))</f>
        <v>Bayar ke Perusahaan</v>
      </c>
      <c r="E40" s="91"/>
      <c r="F40" s="22"/>
      <c r="G40" s="24"/>
      <c r="H40" s="24"/>
      <c r="I40" s="24"/>
      <c r="J40" s="24"/>
      <c r="K40" s="24"/>
      <c r="L40" s="5"/>
      <c r="M40" s="5"/>
    </row>
    <row r="41" spans="1:1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</row>
    <row r="42" spans="1:13" ht="17.25">
      <c r="A42" s="5"/>
      <c r="B42" s="67" t="s">
        <v>89</v>
      </c>
      <c r="C42" s="24"/>
      <c r="D42" s="24"/>
      <c r="E42" s="24"/>
      <c r="F42" s="24"/>
      <c r="G42" s="24"/>
      <c r="H42" s="24"/>
      <c r="I42" s="24"/>
      <c r="J42" s="24"/>
      <c r="K42" s="20"/>
      <c r="L42" s="5"/>
      <c r="M42" s="5"/>
    </row>
    <row r="43" spans="1:13" ht="17.25">
      <c r="A43" s="5"/>
      <c r="B43" s="24" t="s">
        <v>0</v>
      </c>
      <c r="C43" s="24"/>
      <c r="D43" s="45"/>
      <c r="E43" s="24"/>
      <c r="F43" s="24"/>
      <c r="G43" s="24" t="s">
        <v>2</v>
      </c>
      <c r="H43" s="24"/>
      <c r="I43" s="24"/>
      <c r="J43" s="24"/>
      <c r="K43" s="20"/>
      <c r="L43" s="5"/>
      <c r="M43" s="5"/>
    </row>
    <row r="44" spans="1:13" ht="17.25">
      <c r="A44" s="5"/>
      <c r="B44" s="24"/>
      <c r="C44" s="24"/>
      <c r="D44" s="45"/>
      <c r="E44" s="24"/>
      <c r="F44" s="24"/>
      <c r="G44" s="24"/>
      <c r="H44" s="24"/>
      <c r="I44" s="24"/>
      <c r="J44" s="24"/>
      <c r="K44" s="20"/>
      <c r="L44" s="5"/>
      <c r="M44" s="5"/>
    </row>
    <row r="45" spans="1:13" ht="17.25">
      <c r="A45" s="5"/>
      <c r="B45" s="24"/>
      <c r="C45" s="24"/>
      <c r="D45" s="45"/>
      <c r="E45" s="24"/>
      <c r="F45" s="24"/>
      <c r="G45" s="24"/>
      <c r="H45" s="24"/>
      <c r="I45" s="24"/>
      <c r="J45" s="24"/>
      <c r="K45" s="20"/>
      <c r="L45" s="5"/>
      <c r="M45" s="5"/>
    </row>
    <row r="46" spans="1:13" ht="17.25">
      <c r="A46" s="5"/>
      <c r="B46" s="24"/>
      <c r="C46" s="24"/>
      <c r="D46" s="45"/>
      <c r="E46" s="24"/>
      <c r="F46" s="24"/>
      <c r="G46" s="24"/>
      <c r="H46" s="24"/>
      <c r="I46" s="24"/>
      <c r="J46" s="24"/>
      <c r="K46" s="20"/>
      <c r="L46" s="5"/>
      <c r="M46" s="5"/>
    </row>
    <row r="47" spans="1:13" ht="17.25">
      <c r="A47" s="5"/>
      <c r="B47" s="24" t="s">
        <v>20</v>
      </c>
      <c r="C47" s="24"/>
      <c r="D47" s="45"/>
      <c r="E47" s="24"/>
      <c r="F47" s="24"/>
      <c r="G47" s="24" t="s">
        <v>66</v>
      </c>
      <c r="H47" s="24"/>
      <c r="I47" s="24"/>
      <c r="J47" s="24"/>
      <c r="K47" s="20"/>
      <c r="L47" s="5"/>
      <c r="M47" s="5"/>
    </row>
    <row r="48" spans="1:13" ht="17.25">
      <c r="A48" s="5"/>
      <c r="B48" s="24" t="s">
        <v>1</v>
      </c>
      <c r="C48" s="24"/>
      <c r="D48" s="45"/>
      <c r="E48" s="24"/>
      <c r="F48" s="24"/>
      <c r="G48" s="24" t="s">
        <v>1</v>
      </c>
      <c r="H48" s="24"/>
      <c r="I48" s="24"/>
      <c r="J48" s="24"/>
      <c r="K48" s="20"/>
      <c r="L48" s="5"/>
      <c r="M48" s="5"/>
    </row>
    <row r="49" spans="1:13">
      <c r="A49" s="3"/>
      <c r="B49" s="21"/>
      <c r="C49" s="21"/>
      <c r="D49" s="21"/>
      <c r="E49" s="21"/>
      <c r="F49" s="21"/>
      <c r="G49" s="21"/>
      <c r="H49" s="21"/>
      <c r="I49" s="21"/>
      <c r="J49" s="21"/>
      <c r="K49" s="21"/>
      <c r="L49" s="5"/>
      <c r="M49" s="5"/>
    </row>
    <row r="50" spans="1:13">
      <c r="C50" s="1"/>
      <c r="D50" s="1"/>
      <c r="E50" s="1"/>
      <c r="F50" s="1"/>
      <c r="G50" s="1"/>
      <c r="H50" s="1"/>
      <c r="I50" s="1"/>
      <c r="J50" s="1"/>
      <c r="L50" s="5"/>
      <c r="M50" s="5"/>
    </row>
    <row r="51" spans="1:13" ht="17.25">
      <c r="A51" s="47" t="s">
        <v>31</v>
      </c>
      <c r="B51" s="48"/>
      <c r="C51" s="48"/>
      <c r="D51" s="48"/>
      <c r="E51" s="48"/>
      <c r="F51" s="48"/>
      <c r="G51" s="48"/>
      <c r="H51" s="48"/>
      <c r="I51" s="8"/>
      <c r="J51" s="8"/>
      <c r="K51" s="8"/>
      <c r="L51" s="3"/>
      <c r="M51" s="3"/>
    </row>
    <row r="52" spans="1:13" ht="17.25">
      <c r="A52" s="49">
        <v>1</v>
      </c>
      <c r="B52" s="50" t="s">
        <v>70</v>
      </c>
      <c r="C52" s="48"/>
      <c r="D52" s="48"/>
      <c r="E52" s="48"/>
      <c r="F52" s="48"/>
      <c r="G52" s="48"/>
      <c r="H52" s="48"/>
      <c r="I52" s="8"/>
      <c r="J52" s="8"/>
      <c r="K52" s="8"/>
    </row>
    <row r="53" spans="1:13" ht="17.25">
      <c r="A53" s="49">
        <v>2</v>
      </c>
      <c r="B53" s="50" t="s">
        <v>83</v>
      </c>
      <c r="C53" s="48"/>
      <c r="D53" s="48"/>
      <c r="E53" s="48"/>
      <c r="F53" s="48"/>
      <c r="G53" s="48"/>
      <c r="H53" s="48"/>
      <c r="I53" s="8"/>
      <c r="J53" s="8"/>
      <c r="K53" s="8"/>
      <c r="L53" s="8"/>
      <c r="M53" s="8"/>
    </row>
    <row r="54" spans="1:13" ht="17.25">
      <c r="A54" s="51">
        <v>3</v>
      </c>
      <c r="B54" s="50" t="s">
        <v>84</v>
      </c>
      <c r="C54" s="48"/>
      <c r="D54" s="48"/>
      <c r="E54" s="48"/>
      <c r="F54" s="48"/>
      <c r="G54" s="48"/>
      <c r="H54" s="48"/>
      <c r="I54" s="8"/>
      <c r="J54" s="8"/>
      <c r="K54" s="8"/>
      <c r="L54" s="8"/>
      <c r="M54" s="8"/>
    </row>
    <row r="55" spans="1:13" ht="17.25">
      <c r="A55" s="49">
        <v>4</v>
      </c>
      <c r="B55" s="48" t="s">
        <v>85</v>
      </c>
      <c r="C55" s="48"/>
      <c r="D55" s="48"/>
      <c r="E55" s="48"/>
      <c r="F55" s="48"/>
      <c r="G55" s="48"/>
      <c r="H55" s="48"/>
      <c r="I55" s="8"/>
      <c r="J55" s="8"/>
      <c r="K55" s="8"/>
      <c r="L55" s="8"/>
      <c r="M55" s="8"/>
    </row>
    <row r="56" spans="1:13" ht="17.25">
      <c r="A56" s="49">
        <v>5</v>
      </c>
      <c r="B56" s="50" t="s">
        <v>82</v>
      </c>
      <c r="C56" s="48"/>
      <c r="D56" s="48"/>
      <c r="E56" s="48"/>
      <c r="F56" s="48"/>
      <c r="G56" s="48"/>
      <c r="H56" s="48"/>
      <c r="I56" s="8"/>
      <c r="J56" s="8"/>
      <c r="K56" s="8"/>
      <c r="L56" s="8"/>
      <c r="M56" s="8"/>
    </row>
    <row r="57" spans="1:13" ht="17.25">
      <c r="A57" s="49">
        <v>4</v>
      </c>
      <c r="B57" s="48" t="s">
        <v>85</v>
      </c>
      <c r="C57" s="48"/>
      <c r="D57" s="48"/>
      <c r="E57" s="48"/>
      <c r="F57" s="48"/>
      <c r="G57" s="48"/>
      <c r="H57" s="8"/>
      <c r="I57" s="8"/>
      <c r="J57" s="8"/>
      <c r="K57" s="8"/>
      <c r="L57" s="8"/>
      <c r="M57" s="8"/>
    </row>
    <row r="58" spans="1:13" ht="17.25">
      <c r="A58" s="49">
        <v>5</v>
      </c>
      <c r="B58" s="50" t="s">
        <v>82</v>
      </c>
      <c r="C58" s="48"/>
      <c r="D58" s="48"/>
      <c r="E58" s="48"/>
      <c r="F58" s="48"/>
      <c r="G58" s="48"/>
      <c r="H58" s="8"/>
      <c r="I58" s="8"/>
      <c r="J58" s="8"/>
      <c r="K58" s="8"/>
      <c r="L58" s="8"/>
      <c r="M58" s="8"/>
    </row>
    <row r="59" spans="1:13" ht="17.25">
      <c r="A59" s="46"/>
      <c r="B59" s="46"/>
      <c r="C59" s="46"/>
      <c r="D59" s="46"/>
      <c r="E59" s="46"/>
      <c r="F59" s="46"/>
      <c r="G59" s="46"/>
    </row>
  </sheetData>
  <mergeCells count="33">
    <mergeCell ref="I33:J33"/>
    <mergeCell ref="I34:J34"/>
    <mergeCell ref="F34:G34"/>
    <mergeCell ref="B24:C24"/>
    <mergeCell ref="D33:E33"/>
    <mergeCell ref="F33:G33"/>
    <mergeCell ref="B14:B15"/>
    <mergeCell ref="C14:C15"/>
    <mergeCell ref="D32:E32"/>
    <mergeCell ref="F32:G32"/>
    <mergeCell ref="K14:K15"/>
    <mergeCell ref="G15:H15"/>
    <mergeCell ref="B25:C25"/>
    <mergeCell ref="D31:E31"/>
    <mergeCell ref="F31:G31"/>
    <mergeCell ref="I31:J31"/>
    <mergeCell ref="I32:J32"/>
    <mergeCell ref="C7:E7"/>
    <mergeCell ref="C8:E8"/>
    <mergeCell ref="D14:D15"/>
    <mergeCell ref="E14:E15"/>
    <mergeCell ref="B40:C40"/>
    <mergeCell ref="D40:E40"/>
    <mergeCell ref="B39:C39"/>
    <mergeCell ref="D39:E39"/>
    <mergeCell ref="B37:C37"/>
    <mergeCell ref="D37:E37"/>
    <mergeCell ref="B38:C38"/>
    <mergeCell ref="D38:E38"/>
    <mergeCell ref="B35:J35"/>
    <mergeCell ref="F14:H14"/>
    <mergeCell ref="I14:J14"/>
    <mergeCell ref="D34:E34"/>
  </mergeCells>
  <pageMargins left="0.39370078740157483" right="0.31496062992125984" top="0.70866141732283472" bottom="0.39370078740157483" header="0.19685039370078741" footer="0.51181102362204722"/>
  <pageSetup paperSize="9" orientation="landscape" verticalDpi="360" r:id="rId1"/>
  <headerFooter>
    <oddHeader>&amp;L&amp;G&amp;RUCM/FR/HCM/06 Rev 00
May 28, 2021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Rincian PerDin</vt:lpstr>
      <vt:lpstr>PJK PerDin DN IDR</vt:lpstr>
      <vt:lpstr>PJK PerDin LN</vt:lpstr>
      <vt:lpstr>'Rincian PerDin'!Print_Area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Lenny Rosita</dc:creator>
  <cp:lastModifiedBy>Netha Eliana Calysta</cp:lastModifiedBy>
  <cp:lastPrinted>2021-05-28T07:45:31Z</cp:lastPrinted>
  <dcterms:created xsi:type="dcterms:W3CDTF">2014-08-25T02:14:32Z</dcterms:created>
  <dcterms:modified xsi:type="dcterms:W3CDTF">2023-08-18T07:44:40Z</dcterms:modified>
</cp:coreProperties>
</file>