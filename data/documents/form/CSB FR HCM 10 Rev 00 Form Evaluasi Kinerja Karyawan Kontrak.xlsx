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11"/>
  <workbookPr/>
  <mc:AlternateContent xmlns:mc="http://schemas.openxmlformats.org/markup-compatibility/2006">
    <mc:Choice Requires="x15">
      <x15ac:absPath xmlns:x15ac="http://schemas.microsoft.com/office/spreadsheetml/2010/11/ac" url="C:\Users\Netha Eliana Calysta\Downloads\"/>
    </mc:Choice>
  </mc:AlternateContent>
  <xr:revisionPtr revIDLastSave="0" documentId="13_ncr:1_{E6D6E8C2-5ECC-437C-8C23-512F98F739E5}" xr6:coauthVersionLast="47" xr6:coauthVersionMax="47" xr10:uidLastSave="{00000000-0000-0000-0000-000000000000}"/>
  <bookViews>
    <workbookView xWindow="-120" yWindow="-120" windowWidth="20730" windowHeight="11310" activeTab="2" xr2:uid="{00000000-000D-0000-FFFF-FFFF00000000}"/>
  </bookViews>
  <sheets>
    <sheet name="Template Fom Evaluasi Karyawan" sheetId="6" r:id="rId1"/>
    <sheet name="Form eval academic support" sheetId="1" r:id="rId2"/>
    <sheet name="Form eval tenaga pendidik - FT" sheetId="2" r:id="rId3"/>
    <sheet name="Form eval tenaga pendidik - PT" sheetId="7" r:id="rId4"/>
    <sheet name="Form eval laboran" sheetId="3" r:id="rId5"/>
    <sheet name="form eval koor lab" sheetId="4" r:id="rId6"/>
  </sheets>
  <externalReferences>
    <externalReference r:id="rId7"/>
  </externalReferences>
  <definedNames>
    <definedName name="_xlnm.Print_Area" localSheetId="2">'Form eval tenaga pendidik - FT'!$A$1:$J$129</definedName>
    <definedName name="_xlnm.Print_Area" localSheetId="3">'Form eval tenaga pendidik - PT'!$A$1:$J$129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3" i="6" l="1"/>
  <c r="E62" i="6" l="1"/>
  <c r="E63" i="6" s="1"/>
  <c r="C14" i="6"/>
  <c r="C16" i="6" l="1"/>
  <c r="C15" i="6"/>
  <c r="B113" i="7"/>
  <c r="J60" i="7"/>
  <c r="E61" i="7" s="1"/>
  <c r="J55" i="7"/>
  <c r="E56" i="7" s="1"/>
  <c r="J38" i="7"/>
  <c r="E39" i="7" s="1"/>
  <c r="B110" i="4"/>
  <c r="J57" i="4"/>
  <c r="E58" i="4" s="1"/>
  <c r="J52" i="4"/>
  <c r="E53" i="4"/>
  <c r="J35" i="4"/>
  <c r="E36" i="4" s="1"/>
  <c r="B109" i="3"/>
  <c r="J56" i="3"/>
  <c r="E57" i="3" s="1"/>
  <c r="J51" i="3"/>
  <c r="E52" i="3" s="1"/>
  <c r="J34" i="3"/>
  <c r="E35" i="3"/>
  <c r="B113" i="2"/>
  <c r="J60" i="2"/>
  <c r="E61" i="2"/>
  <c r="J55" i="2"/>
  <c r="E56" i="2" s="1"/>
  <c r="J38" i="2"/>
  <c r="E39" i="2" s="1"/>
  <c r="B114" i="1"/>
  <c r="J61" i="1"/>
  <c r="E62" i="1"/>
  <c r="J56" i="1"/>
  <c r="E57" i="1" s="1"/>
  <c r="J39" i="1"/>
  <c r="E40" i="1"/>
  <c r="C19" i="1"/>
  <c r="C20" i="1" s="1"/>
  <c r="E59" i="4" l="1"/>
  <c r="E62" i="2"/>
  <c r="E58" i="3"/>
  <c r="E63" i="1"/>
  <c r="E62" i="7"/>
  <c r="C21" i="1"/>
  <c r="C22" i="1"/>
  <c r="C18" i="1"/>
</calcChain>
</file>

<file path=xl/sharedStrings.xml><?xml version="1.0" encoding="utf-8"?>
<sst xmlns="http://schemas.openxmlformats.org/spreadsheetml/2006/main" count="1555" uniqueCount="314">
  <si>
    <t>EVALUASI KINERJA KARYAWAN KONTRAK</t>
  </si>
  <si>
    <t>Form ini digunakan untuk menilai kinerja karyawan kontrak yang akan berakhir masa kontraknya. Dengan menggunakan form ini, HoD dapat memberikan rekomendasi untuk karyawannya dapat diangkat sebagai pegawai tetap atau tidak, atau dilanjutkan masa kontraknya.</t>
  </si>
  <si>
    <t>Yang bertanda tangan di bawah ini:</t>
  </si>
  <si>
    <t>Nama</t>
  </si>
  <si>
    <t>Jabatan</t>
  </si>
  <si>
    <t>Departemen</t>
  </si>
  <si>
    <t>Dengan ini memberikan keterangan bahwa untuk karyawan tersebut dibawah ini:</t>
  </si>
  <si>
    <t>NIK</t>
  </si>
  <si>
    <t>Masa PKWT</t>
  </si>
  <si>
    <t>Periode Kontrak</t>
  </si>
  <si>
    <r>
      <t xml:space="preserve">Beri penilaian dengan mengisikan skor penilaian 1 sampai dengan 5 pada kolom </t>
    </r>
    <r>
      <rPr>
        <b/>
        <i/>
        <sz val="12"/>
        <color theme="1"/>
        <rFont val="Calibri"/>
        <family val="2"/>
        <scheme val="minor"/>
      </rPr>
      <t>NILAI</t>
    </r>
    <r>
      <rPr>
        <i/>
        <sz val="12"/>
        <color theme="1"/>
        <rFont val="Calibri"/>
        <family val="2"/>
        <scheme val="minor"/>
      </rPr>
      <t>. Beri tanda "-" pada kolom Nilai, apabila kategori penilaian tidak diukurkan pada yang bersangkutan</t>
    </r>
  </si>
  <si>
    <t>No</t>
  </si>
  <si>
    <t>Aspek</t>
  </si>
  <si>
    <t>Kategori</t>
  </si>
  <si>
    <t>Pengukuran</t>
  </si>
  <si>
    <t>Keterangan skor penilaian</t>
  </si>
  <si>
    <t>Nilai</t>
  </si>
  <si>
    <t>Perencanaan dan Persiapan Perkuliahan</t>
  </si>
  <si>
    <t xml:space="preserve">Merencanakan jadwal perkuliahan, dosen pengajar (termasuk administrasi DLB) dan ruang perkuliahan semester depan setelah berkoordinasi dengan Kaprodi dan Laboran (bila ada), serta menginput jadwal sesuai deadline dari BAA.
</t>
  </si>
  <si>
    <t>Kurang aktif dalam membuat rencana jadwal perkuliahan, dosen pengajar dan ruang perkuliahan.</t>
  </si>
  <si>
    <t>Membuat rencana jadwal perkuliahan, dosen pengajar dan ruang perkuliahan, namun kurang berkoordinasi dengan Kaprodi dan Laboran (bila ada)</t>
  </si>
  <si>
    <t>Berkoordinasi dan membuat rencana jadwal perkuliahan, dosen pengajar dan ruang perkuliahan, namun disubmit terlambat dari deadline BAA.</t>
  </si>
  <si>
    <t>Berkoordinasi dan membuat rencana jadwal perkuliahan, dosen pengajar dan ruang perkuliahan, serta disubmit sesuai deadline dari BAA.</t>
  </si>
  <si>
    <t>Berkoordinasi dan membuat rencana jadwal perkuliahan, dosen pengajar dan ruang perkuliahan, serta disubmit sebelum deadline dari BAA dan tidak ada revisi.</t>
  </si>
  <si>
    <t>Administrasi Perkuliahan</t>
  </si>
  <si>
    <t>Administrasi perkuliahan (termasuk kuliah tamu dan event lain dalam perkuliahan), dengan  target: 
(1) Menyiapkan lebih awal dari waktu perkuliahan
(2) Berkoordinasi dengan OB untuk menyiapkan ruangan yang tertata dan bersih sesuai setting yang direquest dosen 
(3) Memastikan alat dan kebutuhan dosen (spidol,dll dalam keadaan baik),
(4) Memastikan tertib administrasi dosen (menandatangani lembar presensi, lembar monitoring, memastikan form terisi sesuai) dan mengingatkan dosen apabila belum sesuai dalam pengisian, termasuk pengisian lembar daftar hadir mahasiswa, dan tandatangan ketua kelas di lembar monitoring.</t>
  </si>
  <si>
    <t>Memenuhi  1 kriteria</t>
  </si>
  <si>
    <t>Memenuhi  2 kriteria</t>
  </si>
  <si>
    <t>Memenuhi  3 kriteria</t>
  </si>
  <si>
    <t>Memenuhi  4 kriteria dengan toleransi keterlambatan proses kinerja H+1</t>
  </si>
  <si>
    <t>Memenuhi  4 kriteria tepat waktu dan tidak ada perubahan (revisi)</t>
  </si>
  <si>
    <t xml:space="preserve">Rekap Perkuliahan </t>
  </si>
  <si>
    <t>Rekap perkuliahan dengan target: 
(1) Input data presensi mahasiswa setiap hari 
(2) Input data kehadiran LB  tiap minggu 
(3) Merekap mhs yang tidak hadir ke Dekan, Kaprodi dan dosen PA sesuai jadwal 
(4) Rekap honor dosen LB tidak terlambat</t>
  </si>
  <si>
    <t>Monitoring dan pelaporan mahasiswa yang terancam mendapat surat peringatan</t>
  </si>
  <si>
    <t xml:space="preserve">Secara aktif berkoordinasi dengan dosen PA terkait nama-nama mahasiswa yang terancam mendapat SP1; SP2 dan SP3, serta melaporkan kepada Kaprodi, dan mempersiapkan Surat peringatannya.setiap akhir semester (sebelum KRS) </t>
  </si>
  <si>
    <t xml:space="preserve">Tidak aktif berkoordinasi </t>
  </si>
  <si>
    <t>Jarang berkoordinasi (hanya 1x per semester)  dengan dosen PA sehingga kurang dari 90% mahasiswa yang perlu mendapat SP terpantau.</t>
  </si>
  <si>
    <t>Berkoordinasi 2-3x per semester dengan dosen PA,  90% mahasiswa yang perlu mendapat SP terpantau dan dilaporkan setelah KRS.</t>
  </si>
  <si>
    <t>Berkoordinasi dengan dosen PA secara teratur setiap bulan, Min. 90% mahasiswa yang perlu mendapat SP terpantau dan dilaporkan min 1 minggu sebelum KRS.</t>
  </si>
  <si>
    <t>Berkoordinasi dengan dosen PA secara teratur setiap bulan, 100% mahasiswa yang perlu mendapat SP terpantau dan dilaporkan min 1 minggu sebelum KRS.</t>
  </si>
  <si>
    <t>Persiapan dan Pelaksanaan UTS, UAS, Ujian Skripsi dan Judisium</t>
  </si>
  <si>
    <t>UTS dan UAS: 
(1) Mepersiapkan jadwal, mengatur petugas supervisor UTS dan UAS, 
(2) Mengoordinir pelaksanaan UTS dan UAS serta mengumpulkan semua nilai UTS dan UAS sebelum deadline dari BAA.
(3) Membuat jadwal ujian dan penguji skripsi, serta mengecek persyaratan ujian skripsi &amp; judisium lainnya.
(4) Menata pelaksanaan dan kelengkapan ruang ujian skripsi 
(5) Merekap hasil ujian skripsi</t>
  </si>
  <si>
    <t>Memenuhi  4 kriteria</t>
  </si>
  <si>
    <t>Memenuhi  5 kriteria</t>
  </si>
  <si>
    <t>Surat menyurat, dokumentasi meeting, dan filing database</t>
  </si>
  <si>
    <t>1. Surat menyurat
2. Dokumentasi meeting (pembuatan notulen dan dokumentasi rapat (foto-foto), selesai diemailkan/submit google drive maksimal 3 hari setelah rapat)  
3. Filing dokumen dan database sesuai koding</t>
  </si>
  <si>
    <t>Tidak tepat hasil, sering kali harus direvisi dan mendapat komplain, kurang mempersiapkan dan mengarsip semua daftar hadir briefing, meeting, dan mentoring dengan baik.
Tidak membuat  notulen rapat.</t>
  </si>
  <si>
    <t xml:space="preserve">Tepat hasil namun terlambat (lebih dari 3 hari kerja)
Mempersiapkan namun kurang mengarsip semua daftar hadir briefing, meeting, dan mentoring dengan baik.
Pembuatan notulen rapat,  notulen rapat selesai dan diemailkan lebih lama dari 1 minggu  setelah rapat  </t>
  </si>
  <si>
    <t xml:space="preserve">Tepat hasil, tuntas dan tepat waktu (selesai dalam 3 hari kerja), namun tidak segera mengkomunikasikan kepada requester
Mempersiapkan namun kurang tepat waktu dan mengarsip semua daftar hadir briefing, meeting, dan mentoring dg baik.
Pembuatan notulen rapat,  notulen rapat selesai dan diemailkan maks 1 minggu  setelah rapat  </t>
  </si>
  <si>
    <t xml:space="preserve">Tepat hasil, tuntas dan tepat waktu (selesai dalam 3 hari kerja), mengkomunikasikan kepada requester
Mempersiapkan tepat waktu dan mengarsip semua daftar hadir briefing, meeting, dan mentoring dg baik.
Pembuatan notulen rapat, notulen rapat selesai dan diemailkan 3 hari setelah rapat  </t>
  </si>
  <si>
    <t xml:space="preserve">Tepat hasilnya, tuntas dan lebih cepat dari yang diharapkan (selesai  lebih awal, dalam 2 hari kerja), tuntas, dan mengkomunikasikan kepada requester
Mempersiapkan tepat waktu dan mengarsip semua daftar hadir briefing, meeting, dan mentoring dg baik sehingga saat file dibutuhkan dapat ditemukan dengan mudah
Pembuatan notulen rapat,  notulen rapat selesai dan diemailkan sebelum 3 hari setelah rapat  </t>
  </si>
  <si>
    <t>Administrasi Keuangan Prodi</t>
  </si>
  <si>
    <t>Keuangan prodi, dengan target: 
1) Meremind FA sebelum jatuh tempo, ada upaya untuk mengingatkan, dan mengupdate yang bersangkutan  RF dan pencairan dana sesuai dengan waktu yang dibutuhkan sejauh proposal tidak terlambat 
2) Memiliki pencatatan yang mudah ditelusuri dan dapat dimonitor oleh dekan ataupun kaprodi (terintegrasi dengan monitoring keuangan online 
3) Ada upaya meremind agar PJK dituntaskan dalam 3 hari setelah kegiatan 
4) Pertanggungjawaban kas bon maks. 1 minggu</t>
  </si>
  <si>
    <t>Tidak ada kriteria yang terpenuhi</t>
  </si>
  <si>
    <t>Monitoring dan update pengumuman Prodi</t>
  </si>
  <si>
    <t>Monitoring pengumuman (di web dan di papan pengumuman)</t>
  </si>
  <si>
    <t>Pengumuman di web dan di papan pengumuman tidak dimonitor, 100 % (dari pengumuman yang ada) kadaluarsa</t>
  </si>
  <si>
    <t>Pengumuman di web dan di papan pengumuman kurang dimonitor, 75 % (dari pengumuman yang ada) kadaluarsa</t>
  </si>
  <si>
    <t>Pengumuman di web dan di papan pengumuman kadang dimonitor kadang tidak, 50 % (dari pengumuman yang ada) kadaluarsa</t>
  </si>
  <si>
    <t xml:space="preserve">Pengumuman di web dan papan pengumuman selalu dimonitor, 100 % (dari pengumuman yang ada) relevan dan up to date. Tidak ada yang kadaluarsa. </t>
  </si>
  <si>
    <t>Pengumuman di web dan  papan pengumuman  selalu dimonitor 100 % (dari pengumuman yang ada) relevan dan up to date. Tidak ada yang kadaluarsa. Konsisten dilakukan setiap awal bulan</t>
  </si>
  <si>
    <t>Pengaturan dan penggunaan sarana prasarana prodi, termasuk kebutuhan ATK dan CAPEX Prodi</t>
  </si>
  <si>
    <t>1. Pengaturan dan penggunaan ruang serta sarana-prasarananya, kendaraan dan transportasi lainnya yang dibutuhkan.
2.  Inventaris ATK prodi
3. Membantu Kaprodi dan berkoordinasi dengan laboran dalam monitoring dan follow-up CAPEX.</t>
  </si>
  <si>
    <t xml:space="preserve">Tidak melaksanakan request kebutuhan ruang, sarana dan prasarana serta transportasi lainnya dan tidak memonitor dan follow up CAPEK dan ATK Prodi </t>
  </si>
  <si>
    <t>Terlambat dan jauh dari harapan. Follow up request dilakukan saat hari H kegiatan</t>
  </si>
  <si>
    <t>Terlambat dan tidak sesuai request. Follow up request dikerjakan H+2</t>
  </si>
  <si>
    <t>Tersedia on time dengan sarana lengkap. Follow up request dikerjakan H+1 dari request
Follow up CAPEX dan ATK kurang teratur</t>
  </si>
  <si>
    <t>Dapat mengatur sesuai kebutuhan, melebih ekspektasi. Follow up request dilakukan di hari yg sama saat melakukan request, secara aktif dan teratur memonitoring dan follow-up ATK &amp; CAPEX.</t>
  </si>
  <si>
    <t>Melaporkan kinerja kepada Ketua Program Studi secara berkala.</t>
  </si>
  <si>
    <t xml:space="preserve">Report secara berkala kepada ketua program studi </t>
  </si>
  <si>
    <t>Tidak melaporkan sama sekali</t>
  </si>
  <si>
    <t>Update kinerja 1x/ semester</t>
  </si>
  <si>
    <t>Update Kinerja 3x/ semester</t>
  </si>
  <si>
    <t>Update kinerja tiap bulan (rutin) namun tidak ada tindak lanjut</t>
  </si>
  <si>
    <t>Update kinerja tiap bulan (rutin) dan ada tindak lanjut</t>
  </si>
  <si>
    <r>
      <t xml:space="preserve">B. UNSUR - UNSUR PENUNJANG KHUSUS </t>
    </r>
    <r>
      <rPr>
        <sz val="12"/>
        <color rgb="FF0000FF"/>
        <rFont val="Calibri"/>
        <family val="2"/>
        <scheme val="minor"/>
      </rPr>
      <t>(disebutkan nama kegiatannya)</t>
    </r>
  </si>
  <si>
    <t>Tingkat Pencapaian Target Penugasan</t>
  </si>
  <si>
    <t>Sesuai penilaian pemberi tugas</t>
  </si>
  <si>
    <t>Tidak berpartisipasi dalam kegiatan sama sekali atau capaian target &lt;70%</t>
  </si>
  <si>
    <t>Memenuhi 70% target capaian yang diberikan oleh pemberi tugas</t>
  </si>
  <si>
    <t>Memenuhi 80% target capaian yang diberikan oleh pemberi tugas</t>
  </si>
  <si>
    <t>Memenuhi 90% target capaian yang diberikan oleh pemberi tugas</t>
  </si>
  <si>
    <t>100% memenuhi  target capaian yang diberikan oleh pemberi tugas</t>
  </si>
  <si>
    <t>Skor</t>
  </si>
  <si>
    <t>C. PENGETAHUAN</t>
  </si>
  <si>
    <t>Pengetahuan Teoritis</t>
  </si>
  <si>
    <t>Pengetahuan teoritis tentang pekerjaan yang diperoleh dari pendidikan formal dan/ non formal.</t>
  </si>
  <si>
    <t>Tidak memenuhi persyaratan</t>
  </si>
  <si>
    <t>Sedikit memenuhi persyaratan</t>
  </si>
  <si>
    <t>Sebagian besar memenuhi persyaratan</t>
  </si>
  <si>
    <t>Memenuhi persyaratan</t>
  </si>
  <si>
    <t>Melampaui persyaratan</t>
  </si>
  <si>
    <t>Aplikasi Teknis</t>
  </si>
  <si>
    <t>Kemampuan menerapkan pengetahuan teoritis dalam melaksanakan pekerjaan kemampuan kerja praktis-terapan.</t>
  </si>
  <si>
    <t>D. SOFT SKILL</t>
  </si>
  <si>
    <t>Komitmen</t>
  </si>
  <si>
    <t>Rasa tanggung jawab terhadap pekerjaan. Bekerja mengacu pada tujuan, kebijakan dan prosedur yang telah ditetapkan.</t>
  </si>
  <si>
    <t>Kerja Sama</t>
  </si>
  <si>
    <t>Kemampuan bekerjasama dan  membantu memberi dan menerima masukan ke/dari atasan/rekan kerja/bawahan/orang lain.</t>
  </si>
  <si>
    <t>Inisiatif dan Proaktif</t>
  </si>
  <si>
    <t xml:space="preserve">Kesediaan mengambil langkah/tindakan yang tepat sesuai lingkup kerjanya tanpa menunggu perintah/petunjuk atasan, serta menghasilkan output kerja yang optimal dan bermutu baik. </t>
  </si>
  <si>
    <t xml:space="preserve">Kemauan Belajar </t>
  </si>
  <si>
    <t>Kesediaan membuka diri untuk mempelajari hal-hal baru, serta antusias untuk mengembangkannya dan berkontribusi dalam perbaikan berkesinambungan.</t>
  </si>
  <si>
    <t>Perbaikan Berkesinambungan</t>
  </si>
  <si>
    <t>Kemauan untuk berkontribusi dalam perbaikan berkesinambungan.</t>
  </si>
  <si>
    <t>Komunikasi Lisan</t>
  </si>
  <si>
    <t>Kemampuan berbicara/mengemukakan pendapat secara lisan dengan lancar jelas dan meyakinkan.</t>
  </si>
  <si>
    <t>Komunikasi Tulisan</t>
  </si>
  <si>
    <t>Kemampuan mengemukakan    gagasan/informasi dalam bentuk tulisan secara jelas, logis dan teratur.</t>
  </si>
  <si>
    <t>Organisasi Kerja</t>
  </si>
  <si>
    <t>Kemampuan mengkoordinir dan mengontrol pelaksanaan tugas pekerjaan, sumber daya (biaya &amp; waktu) secara sistematis dan efisien.</t>
  </si>
  <si>
    <t>E. KEMAMPUAN MANAJERIAL (optional tergantung level karyawan)</t>
  </si>
  <si>
    <t>Kepemimpinan</t>
  </si>
  <si>
    <t>Kemampuan memimpin, memotivasi, mengendalikan dan memberi pengarahan; kemampuan mengambil keputusan.</t>
  </si>
  <si>
    <t>F. KEMAMPUAN BERPIKIR</t>
  </si>
  <si>
    <t>Berpikir Kritis</t>
  </si>
  <si>
    <t>Tingkat pemahaman dan daya analisis dalam pelaksanaan tugas pekerjaan sehari-hari. Kemampuan berpikir kritis.</t>
  </si>
  <si>
    <t>Berpikir Inovatif dan kreatif</t>
  </si>
  <si>
    <t>Mampu berpikir dan bekerja dengan memberikan ide-ide yang tidak terpikirkan oleh orang lain (out of the box).</t>
  </si>
  <si>
    <t>G. KEDISIPLINAN</t>
  </si>
  <si>
    <t>Attendance</t>
  </si>
  <si>
    <t>MHL</t>
  </si>
  <si>
    <t>MHL &gt; 3 menit</t>
  </si>
  <si>
    <t>MHL 2.01 - 3 menit</t>
  </si>
  <si>
    <t>MHL 1.1 - 2 menit</t>
  </si>
  <si>
    <t>MHL 0.1 - 1 menit</t>
  </si>
  <si>
    <t>Tidak MHL</t>
  </si>
  <si>
    <t>Total Nilai</t>
  </si>
  <si>
    <t>SKOR HURUF</t>
  </si>
  <si>
    <t>Keterangan Skor:</t>
  </si>
  <si>
    <t>Index</t>
  </si>
  <si>
    <t>&gt; 4.50</t>
  </si>
  <si>
    <t xml:space="preserve"> Excellent</t>
  </si>
  <si>
    <t>A</t>
  </si>
  <si>
    <t>4.25 - 4.50</t>
  </si>
  <si>
    <t xml:space="preserve"> Very Good</t>
  </si>
  <si>
    <t>A-</t>
  </si>
  <si>
    <t>4 - 4.24</t>
  </si>
  <si>
    <t xml:space="preserve"> Good</t>
  </si>
  <si>
    <t>B+</t>
  </si>
  <si>
    <t>3.75 - 3.99</t>
  </si>
  <si>
    <t xml:space="preserve"> Average</t>
  </si>
  <si>
    <t>B</t>
  </si>
  <si>
    <t>3.50 - 3.74</t>
  </si>
  <si>
    <t xml:space="preserve"> Need Improvement</t>
  </si>
  <si>
    <t>B-</t>
  </si>
  <si>
    <t>3.25 - 3.49</t>
  </si>
  <si>
    <t xml:space="preserve"> Poor</t>
  </si>
  <si>
    <t>C</t>
  </si>
  <si>
    <t>&lt;3.25</t>
  </si>
  <si>
    <t xml:space="preserve"> Very Poor</t>
  </si>
  <si>
    <t>D</t>
  </si>
  <si>
    <t>Keterangan tentang prestasi kerja (wajib diisi):</t>
  </si>
  <si>
    <t>(khusus karyawan dengan rekomendasi khusus poin ini wajib diisi)</t>
  </si>
  <si>
    <t>Hasil Psikotes</t>
  </si>
  <si>
    <t>Belum ada perbaikan</t>
  </si>
  <si>
    <t>Sudah ada perbaikan</t>
  </si>
  <si>
    <t>Keterangan</t>
  </si>
  <si>
    <t>Apakah yang bersangkutan pernah mendapatkan Surat Peringatan? Apabila pernah mendapatkan Surat Peringatan, maka ybs tidak dapat langsung diangkat sebagai pegawai tetap ( √ salah satu)</t>
  </si>
  <si>
    <t>□  Ya, jenis Surat Peringatan yang didapatkan adalah…….</t>
  </si>
  <si>
    <t>□  Tidak</t>
  </si>
  <si>
    <t>Dengan mempertimbangkan hasil penilaian dan catatan di atas, maka direkomendasikan karyawan yang bersangkutan : ( √ salah satu)</t>
  </si>
  <si>
    <t xml:space="preserve">□  Dapat diangkat sebagai karyawan tetap </t>
  </si>
  <si>
    <t>□  Diperpanjang lagi masa kontraknya sebagai karyawan full time selama ………… bulan</t>
  </si>
  <si>
    <t xml:space="preserve">□  Diperpanjang lagi masa kontraknya sebagai karyawan part time  </t>
  </si>
  <si>
    <t xml:space="preserve">□  Tidak diperpanjang kontraknya  </t>
  </si>
  <si>
    <t>Dengan keterangan  sebagai berikut : (wajib diisi)</t>
  </si>
  <si>
    <t>Keterangan:</t>
  </si>
  <si>
    <t>Tulisan berwarna biru hanya sebagai panduan/ contoh</t>
  </si>
  <si>
    <t>Surabaya,</t>
  </si>
  <si>
    <t xml:space="preserve">Hormat saya, </t>
  </si>
  <si>
    <t>Diketahui oleh,</t>
  </si>
  <si>
    <t>Diverifikasi oleh,</t>
  </si>
  <si>
    <t>Laij Victor Effendi, S.E., M.M., CMA.</t>
  </si>
  <si>
    <t>Head, Human Capital Management</t>
  </si>
  <si>
    <t>Skor evaluasi perkuliahan</t>
  </si>
  <si>
    <t>Rata-rata skor survei perkuliahan dalam 1 tahun</t>
  </si>
  <si>
    <t>Sesuai dengan perhitungan Courses Survey Riil</t>
  </si>
  <si>
    <t xml:space="preserve">Tertib administrasi 
(soal UTS (10%), soal UAS (10%), nilai UTS (20%), nilai UAS (20%), kehadiran perkuliahan (40%) </t>
  </si>
  <si>
    <t>Rata-rata persentase capaian tertib administrasi per mata kuliah per dosen dalam 1 tahun</t>
  </si>
  <si>
    <t xml:space="preserve"> &lt; 70%</t>
  </si>
  <si>
    <t>70% - 79%</t>
  </si>
  <si>
    <t>80% - 89%</t>
  </si>
  <si>
    <t>90% - 99%</t>
  </si>
  <si>
    <t>B. BIMBINGAN AKADEMIK</t>
  </si>
  <si>
    <t>Menjadi Dosen Pembimbing Akademik (PA)</t>
  </si>
  <si>
    <t>YA / TIDAK (coret salah satu)</t>
  </si>
  <si>
    <t xml:space="preserve">Jika menjadi pembimbing akademik, Frekuensi bimbingan akademik </t>
  </si>
  <si>
    <t>Rata-rata frekuensi bimbingan akademik per tahun</t>
  </si>
  <si>
    <t>Melakukan 0-1 kali bimbingan akedemik</t>
  </si>
  <si>
    <t>Melakukan 2-3 kali bimbingan akademik</t>
  </si>
  <si>
    <t>Melakukan 4-5 kali bimbingan akademik</t>
  </si>
  <si>
    <t>Melakukan 6 kali bimbingan akademik</t>
  </si>
  <si>
    <t>Melakukan &gt;6 kali bimbingan akademik</t>
  </si>
  <si>
    <t>C. BIMBINGAN TUGAS AKHIR</t>
  </si>
  <si>
    <t>Menjadi Dosen Pembimbing Tugas Akhir</t>
  </si>
  <si>
    <t xml:space="preserve">Jika menjadi pembimbing tugas akhir, frekuensi bimbingan tugas akhir </t>
  </si>
  <si>
    <t>Rata-rata frekuensi bimbingan tugas akhir per tahun</t>
  </si>
  <si>
    <t>Melakukan 1-5 kali bimbingan tugas akhir</t>
  </si>
  <si>
    <t>Melakukan 6-10 kali bimbingan tugas akhir</t>
  </si>
  <si>
    <t>Melakukan 11-15 kali bimbingan tugas akhir</t>
  </si>
  <si>
    <t>Melakukan 16 kali bimbingan tugas akhir</t>
  </si>
  <si>
    <t>Melakukan &gt;16 kali bimbingan tugas akhir</t>
  </si>
  <si>
    <t>D. PENELITIAN (RESEARCH &amp; PUBLICATION)</t>
  </si>
  <si>
    <t>Kondisi penelitian saat ini</t>
  </si>
  <si>
    <t>Kondisi penelitian yang sudah/ sedang dilakukan</t>
  </si>
  <si>
    <t>Sedang melakukan penelitian yang ke-2 atau lebih</t>
  </si>
  <si>
    <t>Kondisi publikasi saat ini</t>
  </si>
  <si>
    <t>Kondisi publikasi yang sudah/ sedang dilakukan</t>
  </si>
  <si>
    <t>Belum melakukan publikasi</t>
  </si>
  <si>
    <t>Akan melakukan publikasi</t>
  </si>
  <si>
    <t>Sudah melakukan publikasi, tinggal menunggu hasil</t>
  </si>
  <si>
    <t>Sudah lolos 1 publikasi</t>
  </si>
  <si>
    <t>Sedang melakukan ajuan publikasi yang ke-2 atau lebih</t>
  </si>
  <si>
    <t>E. PENGABDIAN MASYARAKAT</t>
  </si>
  <si>
    <t>Kondisi pengabdian masyarakat saat ini</t>
  </si>
  <si>
    <t>Jumlah kegiatan pengabdian masyarakat dalam setahun</t>
  </si>
  <si>
    <t>tidak melakukan pengabdian masyarakat</t>
  </si>
  <si>
    <t>1 PKm</t>
  </si>
  <si>
    <t>2PKm</t>
  </si>
  <si>
    <t>3 PKm</t>
  </si>
  <si>
    <t>&gt;3 PKm</t>
  </si>
  <si>
    <r>
      <t xml:space="preserve">F. UNSUR - UNSUR PENUNJANG KHUSUS </t>
    </r>
    <r>
      <rPr>
        <sz val="12"/>
        <color rgb="FF0000FF"/>
        <rFont val="Calibri"/>
        <family val="2"/>
        <scheme val="minor"/>
      </rPr>
      <t>(disebutkan nama kegiatannya)</t>
    </r>
  </si>
  <si>
    <t>G. PENGETAHUAN</t>
  </si>
  <si>
    <t>H. SOFT SKILL</t>
  </si>
  <si>
    <t>I. KEMAMPUAN MANAJERIAL (optional tergantung level karyawan)</t>
  </si>
  <si>
    <t>J. KEMAMPUAN BERPIKIR</t>
  </si>
  <si>
    <t>K. KEDISIPLINAN</t>
  </si>
  <si>
    <t>Keterangan tentang prestasi kerja / Hal-hal penting yang pernah terjadi yang berhubungan dengan kinerja (wajib diisi):</t>
  </si>
  <si>
    <t>Tulisan berwarna biru hanya sebagai panduan</t>
  </si>
  <si>
    <t xml:space="preserve">Penjadwalan aktivitas laboratorium
</t>
  </si>
  <si>
    <t>1. Merencanakan jadwal praktikum bersama dengan dosen pegampu
2. Merekrut dan kaderisasi asisten praktikum setelah berkoordinasi dengan kaprodi dan dosen pengampu sebelum semester dimulai
3. Memonitor ketersediaan ruang kelas dan lab untuk praktikum semester depan dengan melakukan koordinasi bersama kaprodi dan academic support</t>
  </si>
  <si>
    <t>Tidak melakukan penjadwalan sehingga pengguna laboratorium sering bentrok</t>
  </si>
  <si>
    <t>Jarang melakukan penjadwalan, sehingga masih ada bentrok penggunaan lab</t>
  </si>
  <si>
    <t xml:space="preserve">Melakukan penjadwalan namun tidak disosialisasikan kepada pengguna Lab, sehingga membuka peluang untuk bentrok </t>
  </si>
  <si>
    <t>Memiliki rekap jadwal pemakaian laboratoriumdan telah disosialisasikan pada saat kuliah berlangsung.</t>
  </si>
  <si>
    <t>Jadwal penggunaan ruangan telah ada dan tersosialisasikan kepada user sebelum perkuliahan dimulai (maks 1 Minggu sebelum)</t>
  </si>
  <si>
    <t xml:space="preserve">Administrasi praktikum
</t>
  </si>
  <si>
    <t>Administrasi praktikum, dengan  target: 
1. Menyiapkan peralatan praktikum dan sarana-prasarana lab lebih awal dari jadwal (H-1) praktikum, 
2.  Berkoordinasi dengan OB untuk menyiapkan ruang kelas atau lab untuk praktikum yang tertata dan bersih sesuai setting yang direquest dosen, 
3. Standby minimal 5 menit sebelum, selama pelaksanaan dan minimal 5 menit setelah pelaksanaan praktikum (sampai beres), 
4. Membantu dosen dalam pembagian kelompok dan ruang praktikum, 
5. Memonitor semua peminjaman dan pengembalian alat serta penggunaan ruang-ruang lab.</t>
  </si>
  <si>
    <t>Hanya terpenuhi 1 kriteria</t>
  </si>
  <si>
    <t>Terpenuhi 2 kriteria</t>
  </si>
  <si>
    <t>Terpenuhi 3 kriteria</t>
  </si>
  <si>
    <t>Terpenuhi 4 kriteria</t>
  </si>
  <si>
    <t>Terpenuhi 5 kriteria</t>
  </si>
  <si>
    <t>Inventarisasi dan perawatan sarana dan prasarana laboratorium secara berkala.</t>
  </si>
  <si>
    <t>Daftar inventaris sarana dan prasarana selalu update</t>
  </si>
  <si>
    <t>Tidak memiliki rekap daftar inventaris sarana dan prasarana</t>
  </si>
  <si>
    <t>Memiliki daftar inventaris  yang tidak pernah diupdate dan tidak melakukan perawatan sarana &amp; prasarana  sama sekali</t>
  </si>
  <si>
    <t>Memiliki daftar inventaris yang tidak pernah diupdate, serta jarang melakukan perawatan sarana &amp; prasarana (hanya 1x per semester)</t>
  </si>
  <si>
    <t>Memiliki daftar inventaris sarana &amp; prasarana dimana secara berkala di update dan melakukan perawatan bila diminta oleh koordinator lab/kaprodi</t>
  </si>
  <si>
    <t>Memiliki daftar inventaris sarana &amp; prasarana dimana secara berkala di update dan melakukan perawatan terjadwal tanpa diminta oleh koordinator lab/kaprodi</t>
  </si>
  <si>
    <t>Administrasi Keuangan Laboratorium</t>
  </si>
  <si>
    <t>Keuangan lab, dengan target: 
1) Meremind FA sebelum jatuh tempo, ada upaya untuk mengingatkan, dan mengupdate yang bersangkutan  RF dan pencairan dana sesuai dengan waktu yang dibutuhkan sejauh proposal tidak terlambat 
2) Memiliki pencatatan yang mudah ditelusuri dan dapat dimonitor oleh dekan ataupun kaprodi (terintegrasi dengan monitoring keuangan online 
3) Ada upaya meremind agar PJK dituntaskan dalam 3 hari setelah kegiatan 
4) Pertanggungjawaban kas bon maks. 1 minggu</t>
  </si>
  <si>
    <t>Laporan kinerja secara berkala kepada Koordinator Laboratorium</t>
  </si>
  <si>
    <t xml:space="preserve">Menyusun dan menyampaikan laproan secara berkala kepada ketua program studi </t>
  </si>
  <si>
    <r>
      <t xml:space="preserve">B. UNSUR - UNSUR PENUNJANG KHUSUS </t>
    </r>
    <r>
      <rPr>
        <sz val="12"/>
        <color rgb="FF0000FF"/>
        <rFont val="Calibri"/>
        <family val="2"/>
      </rPr>
      <t>(disebutkan nama kegiatannya)</t>
    </r>
  </si>
  <si>
    <t>Anggaran pengadaan perangkat-perangkat laboratorium (hardware dan software)</t>
  </si>
  <si>
    <t>Memiliki data perangkat laboratorium yang diperlukan dan memberi usulan anggaran pengadaan barang</t>
  </si>
  <si>
    <t>Tidak memiliki data  apapun</t>
  </si>
  <si>
    <t>Melakukan pendataan hanya jika diminta oleh Kaprodi dan tidak memberikan usulan</t>
  </si>
  <si>
    <t>Melakukan pendataan perangkat laboratorium tidak teratur</t>
  </si>
  <si>
    <t>Melakukan pendataan perangkat laboratorium secara teratur dan memiliki draft usulan anggaran pengadaan barang di akhir semester</t>
  </si>
  <si>
    <t>Melakukan pendataan perangkat laboratorium secara teratur dan memiliki draft usulan anggaran pengadaan barang H-1 bulan akhir semester untuk digunakan semester selanjutnya</t>
  </si>
  <si>
    <t xml:space="preserve">Pengelolaan sarana dan prasarana laboratorium </t>
  </si>
  <si>
    <t xml:space="preserve">Kondisi sarana-prasarana lab praktikum siap digunakan dalam menunjang proses pendidikan dan pengajaran, penelitian, pengabdian kepada masyarakat
</t>
  </si>
  <si>
    <t>Kondisi sarana-prasarana lab praktikum tidak siap digunakan dalam menunjang proses pendidikan dan pengajaran, penelitian, pengabdian kepada masyarakat</t>
  </si>
  <si>
    <t>Kondisi sarana-prasarana lab praktikum hanya siap digunakan dalam menunjang proses pendidikan dan pengajaran saja</t>
  </si>
  <si>
    <t>Kondisi sarana-prasarana lab praktikum hanya siap digunakan dalam menunjang proses pendidikan dan pengajaran serta penelitian saja</t>
  </si>
  <si>
    <t>Kondisi sarana-prasarana lab praktikum siap digunakan dalam menunjang proses pendidikan dan pengajaran, penelitian, pengabdian kepada masyarakat</t>
  </si>
  <si>
    <t>Kondisi sarana-prasarana lab praktikum tidak digunakan dalam menunjang proses pendidikan dan pengajaran, penelitian, pengabdian kepada masyarakat bahkan digunakan oleh pihak luar UC</t>
  </si>
  <si>
    <t xml:space="preserve">Penentuan dan evaluasi materi praktikum </t>
  </si>
  <si>
    <t xml:space="preserve">Catatan umpan balik praktikum untuk bahan evaluasi materi </t>
  </si>
  <si>
    <t>Tidak ada inisiatif untuk menentukan dan melakukan evaluasi materi praktikum</t>
  </si>
  <si>
    <t>Hanya menentukan materi praktikum saja</t>
  </si>
  <si>
    <t>Menentukan dan melakukan evaluasi materi praktikum bila diminta/diingatkan kaprodi</t>
  </si>
  <si>
    <t xml:space="preserve">Menentukan dan melakukan evaluasi materi praktikum secara teratur </t>
  </si>
  <si>
    <t>Menentukan dan melakukan evaluasi materi praktikum secara teratur jauh hari sebelum perkuliahan semester baru dimulai</t>
  </si>
  <si>
    <t>Perencanaan dan pelaksanaan pengembangan laboratorium</t>
  </si>
  <si>
    <t>Draft perencanaan pengembangan lab</t>
  </si>
  <si>
    <t>Tidak melakukan satu kriteria pun.</t>
  </si>
  <si>
    <t>Hanya melakukan salah satu kriteria.</t>
  </si>
  <si>
    <t>Melakukan 2 kriteria namun agak terlambat.</t>
  </si>
  <si>
    <t>Melakukan 2 kriteria sesuai waktu yang ditentukan.</t>
  </si>
  <si>
    <t>Pencapaian standar sertifikasi/akreditasi bidang laboratorium.</t>
  </si>
  <si>
    <t xml:space="preserve">Mempersiapkan lab agar sesuai dengan standar sertifikasi dengan target:
1. Mencari informasi standart laboratorium
2. Melakukan perbaikan sesuai aturang yang ada
3. Berkoordinasi dengan kaprodi 
</t>
  </si>
  <si>
    <t>Tidak ada inisiatif untuk mencari informasi standart lab</t>
  </si>
  <si>
    <t>Mencari informasi namun tidak ada tindak lanjut</t>
  </si>
  <si>
    <t>Mencari informasi dan melakukan analisa namun tidak disampaikan kepada kaprodi.</t>
  </si>
  <si>
    <t>Mencari informasi, melakukan analisa dan menyampaikan saran perbaikan lab sesuai standart akreditasi kepada kaprodi di akhir semester</t>
  </si>
  <si>
    <t>Mencari informasi, melakukan analisa dan menyampaikan saran perbaikan lab sesuai standart akreditasi kepada kaprodi H-1 bulan semester berjalan sehingga dapat diimplementasikan di semester mendatang</t>
  </si>
  <si>
    <t>Laporan kinerja secara berkala kepada Ketua Program Studi</t>
  </si>
  <si>
    <t>Hendro Susanto, S.E., M.M.</t>
  </si>
  <si>
    <t>Ketua Program Studi Akuntansi</t>
  </si>
  <si>
    <t>Akuntansi</t>
  </si>
  <si>
    <r>
      <t xml:space="preserve">A. KLASIFIKASI SESUAI JOBDESC
</t>
    </r>
    <r>
      <rPr>
        <b/>
        <sz val="12"/>
        <color rgb="FF000000"/>
        <rFont val="Calibri"/>
        <family val="2"/>
        <scheme val="minor"/>
      </rPr>
      <t xml:space="preserve">
</t>
    </r>
  </si>
  <si>
    <r>
      <t xml:space="preserve">A. KLASIFIKASI SESUAI JOBDESC
</t>
    </r>
    <r>
      <rPr>
        <i/>
        <sz val="12"/>
        <color theme="1"/>
        <rFont val="Calibri"/>
        <family val="2"/>
        <scheme val="minor"/>
      </rPr>
      <t/>
    </r>
  </si>
  <si>
    <t>(Nama)</t>
  </si>
  <si>
    <t>(Jabatan)</t>
  </si>
  <si>
    <r>
      <t xml:space="preserve">A. KLASIFIKASI SESUAI JOBDESC
</t>
    </r>
    <r>
      <rPr>
        <i/>
        <sz val="12"/>
        <color rgb="FF0000FF"/>
        <rFont val="Calibri"/>
        <family val="2"/>
        <scheme val="minor"/>
      </rPr>
      <t/>
    </r>
  </si>
  <si>
    <t>Persentase kehadiran</t>
  </si>
  <si>
    <t>&lt;60%</t>
  </si>
  <si>
    <t>60 % - 70%</t>
  </si>
  <si>
    <t>70 % - &lt; 80 %</t>
  </si>
  <si>
    <t>80 % - &lt; 90 %</t>
  </si>
  <si>
    <t>&gt;=90 %</t>
  </si>
  <si>
    <r>
      <t xml:space="preserve">A. KLASIFIKASI SESUAI JOBDESC
</t>
    </r>
    <r>
      <rPr>
        <sz val="12"/>
        <color rgb="FF0000FF"/>
        <rFont val="Calibri"/>
        <family val="2"/>
        <scheme val="minor"/>
      </rPr>
      <t>(diisi sesuai KPI masing-masing)</t>
    </r>
    <r>
      <rPr>
        <b/>
        <sz val="12"/>
        <color rgb="FF0000FF"/>
        <rFont val="Calibri"/>
        <family val="2"/>
        <scheme val="minor"/>
      </rPr>
      <t xml:space="preserve">
</t>
    </r>
  </si>
  <si>
    <t>Nama HoD</t>
  </si>
  <si>
    <t>Jabatan HoD</t>
  </si>
  <si>
    <t>Nama atasan HoD</t>
  </si>
  <si>
    <t>Nama Head, HCM</t>
  </si>
  <si>
    <t>isi nama atasan langsung</t>
  </si>
  <si>
    <t>isi nama karyawan yang akan dievaluasi</t>
  </si>
  <si>
    <t>Makassar,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</si>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</sst>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421]dd\ mmmm\ yyyy;@"/>
  </numFmts>
  <fonts count="22" x14ac:knownFonts="1">
    <font>
      <sz val="11"/>
      <color theme="1"/>
      <name val="Calibri"/>
      <family val="2"/>
      <scheme val="minor"/>
    </font>
    <font>
      <sz val="11"/>
      <color theme="1"/>
      <name val="Calibri"/>
      <family val="2"/>
      <scheme val="minor"/>
    </font>
    <font>
      <b/>
      <sz val="14"/>
      <color theme="1"/>
      <name val="Calibri"/>
      <family val="2"/>
      <scheme val="minor"/>
    </font>
    <font>
      <sz val="12"/>
      <color theme="1"/>
      <name val="Calibri"/>
      <family val="2"/>
      <scheme val="minor"/>
    </font>
    <font>
      <i/>
      <sz val="12"/>
      <color theme="1"/>
      <name val="Calibri"/>
      <family val="2"/>
      <scheme val="minor"/>
    </font>
    <font>
      <i/>
      <sz val="12"/>
      <color rgb="FF0000FF"/>
      <name val="Calibri"/>
      <family val="2"/>
      <scheme val="minor"/>
    </font>
    <font>
      <b/>
      <i/>
      <sz val="12"/>
      <color theme="1"/>
      <name val="Calibri"/>
      <family val="2"/>
      <scheme val="minor"/>
    </font>
    <font>
      <b/>
      <sz val="12"/>
      <color rgb="FF000000"/>
      <name val="Calibri"/>
      <family val="2"/>
      <scheme val="minor"/>
    </font>
    <font>
      <sz val="12"/>
      <color rgb="FF000000"/>
      <name val="Calibri"/>
      <family val="2"/>
      <scheme val="minor"/>
    </font>
    <font>
      <sz val="12"/>
      <color rgb="FF0000FF"/>
      <name val="Calibri"/>
      <family val="2"/>
      <scheme val="minor"/>
    </font>
    <font>
      <b/>
      <sz val="12"/>
      <color theme="1"/>
      <name val="Calibri"/>
      <family val="2"/>
      <scheme val="minor"/>
    </font>
    <font>
      <b/>
      <sz val="12"/>
      <color rgb="FF000000"/>
      <name val="Calibri"/>
      <family val="2"/>
    </font>
    <font>
      <i/>
      <sz val="12"/>
      <color rgb="FF0000FF"/>
      <name val="Calibri"/>
      <family val="2"/>
    </font>
    <font>
      <sz val="12"/>
      <color rgb="FF000000"/>
      <name val="Calibri"/>
      <family val="2"/>
    </font>
    <font>
      <sz val="12"/>
      <color theme="1"/>
      <name val="Calibri"/>
      <family val="2"/>
    </font>
    <font>
      <b/>
      <sz val="14"/>
      <color theme="1"/>
      <name val="Calibri"/>
      <family val="2"/>
    </font>
    <font>
      <i/>
      <sz val="12"/>
      <color theme="1"/>
      <name val="Calibri"/>
      <family val="2"/>
    </font>
    <font>
      <sz val="12"/>
      <name val="Calibri"/>
      <family val="2"/>
      <scheme val="minor"/>
    </font>
    <font>
      <sz val="12"/>
      <color theme="1"/>
      <name val="Courier New"/>
      <family val="3"/>
    </font>
    <font>
      <b/>
      <sz val="12"/>
      <color theme="1"/>
      <name val="Calibri"/>
      <family val="2"/>
    </font>
    <font>
      <sz val="12"/>
      <color rgb="FF0000FF"/>
      <name val="Calibri"/>
      <family val="2"/>
    </font>
    <font>
      <b/>
      <sz val="12"/>
      <color rgb="FF0000FF"/>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s>
  <cellStyleXfs count="2">
    <xf numFmtId="0" fontId="0" fillId="0" borderId="0"/>
    <xf numFmtId="164" fontId="1" fillId="0" borderId="0" applyFont="0" applyFill="0" applyBorder="0" applyAlignment="0" applyProtection="0"/>
  </cellStyleXfs>
  <cellXfs count="238">
    <xf numFmtId="0" fontId="0" fillId="0" borderId="0" xfId="0"/>
    <xf numFmtId="0" fontId="3" fillId="0" borderId="0" xfId="0" applyFont="1" applyAlignment="1">
      <alignment horizontal="center" vertical="center"/>
    </xf>
    <xf numFmtId="0" fontId="3" fillId="0" borderId="0" xfId="0" applyFont="1"/>
    <xf numFmtId="0" fontId="3" fillId="0" borderId="0" xfId="0" applyFont="1" applyAlignment="1">
      <alignment vertical="center"/>
    </xf>
    <xf numFmtId="0" fontId="5" fillId="0" borderId="0" xfId="0" applyFont="1" applyAlignment="1">
      <alignment horizontal="justify" vertical="center"/>
    </xf>
    <xf numFmtId="0" fontId="3" fillId="0" borderId="0" xfId="0" applyFont="1" applyAlignment="1">
      <alignment horizontal="left" vertical="center"/>
    </xf>
    <xf numFmtId="0" fontId="4" fillId="0" borderId="0" xfId="0" applyFont="1"/>
    <xf numFmtId="0" fontId="7" fillId="2" borderId="1" xfId="0" applyFont="1" applyFill="1" applyBorder="1" applyAlignment="1">
      <alignment horizontal="center" vertical="center"/>
    </xf>
    <xf numFmtId="0" fontId="3" fillId="0" borderId="1" xfId="0" applyFont="1" applyBorder="1" applyAlignment="1">
      <alignment horizontal="center" vertical="center"/>
    </xf>
    <xf numFmtId="0" fontId="8" fillId="0" borderId="1" xfId="0" applyFont="1" applyBorder="1" applyAlignment="1">
      <alignment vertical="top" wrapText="1"/>
    </xf>
    <xf numFmtId="0" fontId="3" fillId="0" borderId="1" xfId="0" applyFont="1" applyBorder="1" applyAlignment="1">
      <alignment vertical="top" wrapText="1"/>
    </xf>
    <xf numFmtId="0" fontId="3" fillId="0" borderId="0" xfId="0" applyFont="1" applyAlignment="1">
      <alignment vertical="top"/>
    </xf>
    <xf numFmtId="0" fontId="7" fillId="0" borderId="1" xfId="0" applyFont="1" applyBorder="1" applyAlignment="1">
      <alignment vertical="top" wrapText="1"/>
    </xf>
    <xf numFmtId="0" fontId="7" fillId="0" borderId="5" xfId="0" applyFont="1" applyBorder="1" applyAlignment="1">
      <alignment vertical="center" wrapText="1"/>
    </xf>
    <xf numFmtId="0" fontId="7" fillId="0" borderId="5" xfId="0" applyFont="1" applyBorder="1" applyAlignment="1">
      <alignment vertical="top" wrapText="1"/>
    </xf>
    <xf numFmtId="0" fontId="7" fillId="0" borderId="6" xfId="0" applyFont="1" applyBorder="1" applyAlignment="1">
      <alignment vertical="center" wrapText="1"/>
    </xf>
    <xf numFmtId="0" fontId="7" fillId="0" borderId="1" xfId="0" applyFont="1" applyBorder="1" applyAlignment="1">
      <alignment vertical="center" wrapText="1"/>
    </xf>
    <xf numFmtId="0" fontId="3" fillId="0" borderId="1" xfId="0" applyFont="1" applyBorder="1"/>
    <xf numFmtId="0" fontId="7" fillId="0" borderId="7" xfId="0" applyFont="1" applyBorder="1" applyAlignment="1">
      <alignment vertical="center" wrapText="1"/>
    </xf>
    <xf numFmtId="0" fontId="7" fillId="0" borderId="7" xfId="0" applyFont="1" applyBorder="1" applyAlignment="1">
      <alignment vertical="top" wrapText="1"/>
    </xf>
    <xf numFmtId="0" fontId="7" fillId="0" borderId="8" xfId="0" applyFont="1" applyBorder="1" applyAlignment="1">
      <alignment vertical="center" wrapText="1"/>
    </xf>
    <xf numFmtId="164" fontId="10" fillId="0" borderId="2" xfId="1" applyFont="1" applyBorder="1"/>
    <xf numFmtId="0" fontId="3" fillId="0" borderId="9" xfId="0" applyFont="1" applyBorder="1"/>
    <xf numFmtId="0" fontId="3" fillId="0" borderId="5" xfId="0" applyFont="1" applyBorder="1"/>
    <xf numFmtId="0" fontId="3" fillId="0" borderId="5" xfId="0" applyFont="1" applyBorder="1" applyAlignment="1">
      <alignment horizontal="center" vertical="center"/>
    </xf>
    <xf numFmtId="0" fontId="11" fillId="2" borderId="1" xfId="0" applyFont="1" applyFill="1" applyBorder="1" applyAlignment="1">
      <alignment horizontal="center" vertical="center"/>
    </xf>
    <xf numFmtId="0" fontId="8" fillId="0" borderId="1" xfId="0" applyFont="1" applyBorder="1" applyAlignment="1">
      <alignment horizontal="left" vertical="top" wrapText="1"/>
    </xf>
    <xf numFmtId="0" fontId="8" fillId="0" borderId="1" xfId="0" applyFont="1" applyBorder="1" applyAlignment="1">
      <alignment horizontal="left" vertical="center" wrapText="1"/>
    </xf>
    <xf numFmtId="0" fontId="7" fillId="0" borderId="1" xfId="0" applyFont="1" applyBorder="1" applyAlignment="1">
      <alignment horizontal="left" vertical="top" wrapText="1"/>
    </xf>
    <xf numFmtId="0" fontId="8" fillId="0" borderId="1" xfId="0" applyFont="1" applyBorder="1" applyAlignment="1">
      <alignment horizontal="left" wrapText="1"/>
    </xf>
    <xf numFmtId="0" fontId="13" fillId="0" borderId="1" xfId="0" applyFont="1" applyBorder="1" applyAlignment="1">
      <alignment vertical="center"/>
    </xf>
    <xf numFmtId="0" fontId="7" fillId="2" borderId="1" xfId="0" applyFont="1" applyFill="1" applyBorder="1" applyAlignment="1">
      <alignment horizontal="right" vertical="center"/>
    </xf>
    <xf numFmtId="0" fontId="10" fillId="0" borderId="2" xfId="0" applyFont="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vertical="center" wrapText="1"/>
    </xf>
    <xf numFmtId="0" fontId="8" fillId="0" borderId="1" xfId="0" applyFont="1" applyBorder="1" applyAlignment="1">
      <alignment vertical="center"/>
    </xf>
    <xf numFmtId="2" fontId="3" fillId="0" borderId="1" xfId="1" applyNumberFormat="1" applyFont="1" applyBorder="1" applyAlignment="1">
      <alignment horizontal="center" vertical="center" wrapText="1"/>
    </xf>
    <xf numFmtId="0" fontId="7" fillId="0" borderId="0" xfId="0" applyFont="1" applyAlignment="1">
      <alignment vertical="center" wrapText="1"/>
    </xf>
    <xf numFmtId="0" fontId="7" fillId="0" borderId="0" xfId="0" applyFont="1" applyAlignment="1">
      <alignment vertical="top" wrapText="1"/>
    </xf>
    <xf numFmtId="0" fontId="7" fillId="0" borderId="10" xfId="0" applyFont="1" applyBorder="1" applyAlignment="1">
      <alignment vertical="center" wrapText="1"/>
    </xf>
    <xf numFmtId="2" fontId="10" fillId="0" borderId="1" xfId="0" applyNumberFormat="1" applyFont="1" applyBorder="1"/>
    <xf numFmtId="0" fontId="10" fillId="0" borderId="0" xfId="0" applyFont="1" applyAlignment="1">
      <alignment vertical="top"/>
    </xf>
    <xf numFmtId="0" fontId="10" fillId="0" borderId="10" xfId="0" applyFont="1" applyBorder="1" applyAlignment="1">
      <alignment vertical="center"/>
    </xf>
    <xf numFmtId="0" fontId="10" fillId="0" borderId="1" xfId="0" applyFont="1" applyBorder="1" applyAlignment="1">
      <alignment vertical="center"/>
    </xf>
    <xf numFmtId="164" fontId="10" fillId="0" borderId="1" xfId="1" applyFont="1" applyBorder="1" applyAlignment="1">
      <alignment vertical="center"/>
    </xf>
    <xf numFmtId="0" fontId="10" fillId="0" borderId="0" xfId="0" applyFont="1" applyAlignment="1">
      <alignment vertical="center"/>
    </xf>
    <xf numFmtId="0" fontId="7" fillId="0" borderId="0" xfId="0" applyFont="1" applyAlignment="1">
      <alignment horizontal="center" vertical="center" wrapText="1"/>
    </xf>
    <xf numFmtId="0" fontId="8" fillId="0" borderId="0" xfId="0" applyFont="1" applyAlignment="1">
      <alignment horizontal="left" vertical="center" wrapText="1"/>
    </xf>
    <xf numFmtId="0" fontId="7" fillId="0" borderId="1" xfId="0" applyFont="1" applyBorder="1" applyAlignment="1">
      <alignment vertical="center"/>
    </xf>
    <xf numFmtId="0" fontId="5" fillId="0" borderId="5" xfId="0" applyFont="1" applyBorder="1" applyAlignment="1">
      <alignment horizontal="left" vertical="top" wrapText="1"/>
    </xf>
    <xf numFmtId="0" fontId="8" fillId="0" borderId="5" xfId="0" applyFont="1" applyBorder="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center"/>
    </xf>
    <xf numFmtId="0" fontId="14" fillId="0" borderId="0" xfId="0" applyFont="1" applyAlignment="1">
      <alignment horizontal="left" vertical="center" indent="5"/>
    </xf>
    <xf numFmtId="0" fontId="8" fillId="0" borderId="0" xfId="0" applyFont="1" applyAlignment="1">
      <alignment horizontal="left" vertical="center"/>
    </xf>
    <xf numFmtId="0" fontId="3" fillId="0" borderId="0" xfId="0" applyFont="1" applyAlignment="1">
      <alignment horizontal="left" vertical="center" indent="5"/>
    </xf>
    <xf numFmtId="0" fontId="3" fillId="0" borderId="0" xfId="0" applyFont="1" applyAlignment="1">
      <alignment horizontal="left"/>
    </xf>
    <xf numFmtId="165" fontId="3" fillId="0" borderId="0" xfId="0" applyNumberFormat="1" applyFont="1" applyAlignment="1">
      <alignment horizontal="left"/>
    </xf>
    <xf numFmtId="0" fontId="14" fillId="0" borderId="0" xfId="0" applyFont="1" applyAlignment="1">
      <alignment vertical="center"/>
    </xf>
    <xf numFmtId="0" fontId="16" fillId="0" borderId="0" xfId="0" applyFont="1" applyAlignment="1">
      <alignment horizontal="justify" vertical="center"/>
    </xf>
    <xf numFmtId="0" fontId="14" fillId="0" borderId="0" xfId="0" applyFont="1" applyAlignment="1">
      <alignment horizontal="left" vertical="center"/>
    </xf>
    <xf numFmtId="0" fontId="3" fillId="3" borderId="13" xfId="0" applyFont="1" applyFill="1" applyBorder="1" applyAlignment="1">
      <alignment horizontal="center" vertical="center"/>
    </xf>
    <xf numFmtId="0" fontId="17" fillId="0" borderId="14" xfId="0" applyFont="1" applyBorder="1" applyAlignment="1">
      <alignment vertical="top" wrapText="1"/>
    </xf>
    <xf numFmtId="0" fontId="3" fillId="0" borderId="1" xfId="0" applyFont="1" applyBorder="1" applyAlignment="1">
      <alignment horizontal="left" vertical="top" wrapText="1"/>
    </xf>
    <xf numFmtId="0" fontId="7" fillId="0" borderId="2" xfId="0" applyFont="1" applyBorder="1" applyAlignment="1">
      <alignment horizontal="left" vertical="top" wrapText="1"/>
    </xf>
    <xf numFmtId="0" fontId="3" fillId="0" borderId="2" xfId="0" applyFont="1" applyBorder="1"/>
    <xf numFmtId="0" fontId="3" fillId="0" borderId="2" xfId="0" applyFont="1" applyBorder="1" applyAlignment="1">
      <alignment horizontal="center" vertical="center"/>
    </xf>
    <xf numFmtId="164" fontId="3" fillId="0" borderId="1" xfId="1" applyFont="1" applyBorder="1"/>
    <xf numFmtId="0" fontId="3" fillId="0" borderId="11" xfId="0" applyFont="1" applyBorder="1"/>
    <xf numFmtId="164" fontId="3" fillId="0" borderId="1" xfId="1" applyFont="1" applyBorder="1" applyAlignment="1">
      <alignment vertical="center"/>
    </xf>
    <xf numFmtId="0" fontId="11" fillId="0" borderId="0" xfId="0" applyFont="1" applyAlignment="1">
      <alignment horizontal="center" vertical="center" wrapText="1"/>
    </xf>
    <xf numFmtId="0" fontId="11" fillId="0" borderId="1" xfId="0" applyFont="1" applyBorder="1" applyAlignment="1">
      <alignment vertical="center"/>
    </xf>
    <xf numFmtId="0" fontId="13" fillId="0" borderId="5" xfId="0" applyFont="1" applyBorder="1" applyAlignment="1">
      <alignment vertical="center" wrapText="1"/>
    </xf>
    <xf numFmtId="0" fontId="13" fillId="0" borderId="0" xfId="0" applyFont="1" applyAlignment="1">
      <alignment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8" fillId="0" borderId="0" xfId="0" applyFont="1" applyAlignment="1">
      <alignment horizontal="left" vertical="center" indent="5"/>
    </xf>
    <xf numFmtId="0" fontId="11" fillId="2" borderId="1" xfId="0" applyFont="1" applyFill="1" applyBorder="1" applyAlignment="1">
      <alignment horizontal="right" vertical="center"/>
    </xf>
    <xf numFmtId="0" fontId="14" fillId="0" borderId="1" xfId="0" applyFont="1" applyBorder="1" applyAlignment="1">
      <alignment horizontal="center" vertical="center"/>
    </xf>
    <xf numFmtId="0" fontId="13" fillId="0" borderId="1" xfId="0" applyFont="1" applyBorder="1" applyAlignment="1">
      <alignment vertical="top" wrapText="1"/>
    </xf>
    <xf numFmtId="0" fontId="14" fillId="0" borderId="1" xfId="0" applyFont="1" applyBorder="1" applyAlignment="1">
      <alignment vertical="top" wrapText="1"/>
    </xf>
    <xf numFmtId="0" fontId="11" fillId="0" borderId="1" xfId="0" applyFont="1" applyBorder="1" applyAlignment="1">
      <alignment vertical="top" wrapText="1"/>
    </xf>
    <xf numFmtId="0" fontId="11" fillId="0" borderId="5" xfId="0" applyFont="1" applyBorder="1" applyAlignment="1">
      <alignment vertical="center" wrapText="1"/>
    </xf>
    <xf numFmtId="0" fontId="11" fillId="0" borderId="5" xfId="0" applyFont="1" applyBorder="1" applyAlignment="1">
      <alignment vertical="top" wrapText="1"/>
    </xf>
    <xf numFmtId="0" fontId="11" fillId="0" borderId="6" xfId="0" applyFont="1" applyBorder="1" applyAlignment="1">
      <alignment vertical="center" wrapText="1"/>
    </xf>
    <xf numFmtId="0" fontId="11" fillId="0" borderId="1" xfId="0" applyFont="1" applyBorder="1" applyAlignment="1">
      <alignment vertical="center" wrapText="1"/>
    </xf>
    <xf numFmtId="0" fontId="14" fillId="0" borderId="1" xfId="0" applyFont="1" applyBorder="1"/>
    <xf numFmtId="164" fontId="14" fillId="0" borderId="1" xfId="1" applyFont="1" applyBorder="1" applyAlignment="1">
      <alignment horizontal="center" vertical="center"/>
    </xf>
    <xf numFmtId="0" fontId="11" fillId="0" borderId="7" xfId="0" applyFont="1" applyBorder="1" applyAlignment="1">
      <alignment vertical="center" wrapText="1"/>
    </xf>
    <xf numFmtId="0" fontId="11" fillId="0" borderId="7" xfId="0" applyFont="1" applyBorder="1" applyAlignment="1">
      <alignment vertical="top" wrapText="1"/>
    </xf>
    <xf numFmtId="0" fontId="11" fillId="0" borderId="8" xfId="0" applyFont="1" applyBorder="1" applyAlignment="1">
      <alignment vertical="center" wrapText="1"/>
    </xf>
    <xf numFmtId="164" fontId="14" fillId="0" borderId="1" xfId="1" applyFont="1" applyBorder="1"/>
    <xf numFmtId="0" fontId="14" fillId="0" borderId="11" xfId="0" applyFont="1" applyBorder="1"/>
    <xf numFmtId="0" fontId="14" fillId="0" borderId="5" xfId="0" applyFont="1" applyBorder="1"/>
    <xf numFmtId="0" fontId="14" fillId="0" borderId="5" xfId="0" applyFont="1" applyBorder="1" applyAlignment="1">
      <alignment horizontal="center" vertical="center"/>
    </xf>
    <xf numFmtId="0" fontId="19" fillId="0" borderId="2" xfId="0" applyFont="1" applyBorder="1" applyAlignment="1">
      <alignment horizontal="left" vertical="center"/>
    </xf>
    <xf numFmtId="0" fontId="14" fillId="0" borderId="1" xfId="0" applyFont="1" applyBorder="1" applyAlignment="1">
      <alignment vertical="center"/>
    </xf>
    <xf numFmtId="0" fontId="14" fillId="0" borderId="1" xfId="0" applyFont="1" applyBorder="1" applyAlignment="1">
      <alignment vertical="center" wrapText="1"/>
    </xf>
    <xf numFmtId="2" fontId="14" fillId="0" borderId="1" xfId="1" applyNumberFormat="1" applyFont="1" applyBorder="1" applyAlignment="1">
      <alignment horizontal="center" vertical="center" wrapText="1"/>
    </xf>
    <xf numFmtId="0" fontId="11" fillId="0" borderId="0" xfId="0" applyFont="1" applyAlignment="1">
      <alignment vertical="center" wrapText="1"/>
    </xf>
    <xf numFmtId="0" fontId="11" fillId="0" borderId="0" xfId="0" applyFont="1" applyAlignment="1">
      <alignment vertical="top" wrapText="1"/>
    </xf>
    <xf numFmtId="0" fontId="11" fillId="0" borderId="10" xfId="0" applyFont="1" applyBorder="1" applyAlignment="1">
      <alignment vertical="center" wrapText="1"/>
    </xf>
    <xf numFmtId="2" fontId="19" fillId="0" borderId="1" xfId="0" applyNumberFormat="1" applyFont="1" applyBorder="1"/>
    <xf numFmtId="0" fontId="14" fillId="0" borderId="9" xfId="0" applyFont="1" applyBorder="1"/>
    <xf numFmtId="0" fontId="14" fillId="0" borderId="0" xfId="0" applyFont="1"/>
    <xf numFmtId="0" fontId="19" fillId="0" borderId="0" xfId="0" applyFont="1" applyAlignment="1">
      <alignment vertical="top"/>
    </xf>
    <xf numFmtId="0" fontId="19" fillId="0" borderId="10" xfId="0" applyFont="1" applyBorder="1" applyAlignment="1">
      <alignment vertical="center"/>
    </xf>
    <xf numFmtId="0" fontId="19" fillId="0" borderId="1" xfId="0" applyFont="1" applyBorder="1" applyAlignment="1">
      <alignment vertical="center"/>
    </xf>
    <xf numFmtId="164" fontId="14" fillId="0" borderId="1" xfId="1" applyFont="1" applyBorder="1" applyAlignment="1">
      <alignment vertical="center"/>
    </xf>
    <xf numFmtId="0" fontId="14" fillId="0" borderId="0" xfId="0" applyFont="1" applyAlignment="1">
      <alignment horizontal="center" vertical="center"/>
    </xf>
    <xf numFmtId="0" fontId="19" fillId="0" borderId="0" xfId="0" applyFont="1" applyAlignment="1">
      <alignment vertical="center"/>
    </xf>
    <xf numFmtId="0" fontId="13" fillId="0" borderId="0" xfId="0" applyFont="1" applyAlignment="1">
      <alignment vertical="center"/>
    </xf>
    <xf numFmtId="0" fontId="13" fillId="0" borderId="17" xfId="0" applyFont="1" applyBorder="1" applyAlignment="1">
      <alignment vertical="center" wrapText="1"/>
    </xf>
    <xf numFmtId="0" fontId="13" fillId="0" borderId="18" xfId="0" applyFont="1" applyBorder="1" applyAlignment="1">
      <alignment vertical="center" wrapText="1"/>
    </xf>
    <xf numFmtId="0" fontId="13" fillId="0" borderId="19" xfId="0" applyFont="1" applyBorder="1" applyAlignment="1">
      <alignment vertical="center" wrapText="1"/>
    </xf>
    <xf numFmtId="0" fontId="13" fillId="0" borderId="20" xfId="0" applyFont="1" applyBorder="1" applyAlignment="1">
      <alignment vertical="center" wrapText="1"/>
    </xf>
    <xf numFmtId="0" fontId="13" fillId="0" borderId="21" xfId="0" applyFont="1" applyBorder="1" applyAlignment="1">
      <alignment vertical="center" wrapText="1"/>
    </xf>
    <xf numFmtId="0" fontId="4" fillId="0" borderId="0" xfId="0" applyFont="1" applyAlignment="1">
      <alignment horizontal="justify" vertical="center"/>
    </xf>
    <xf numFmtId="164" fontId="3" fillId="0" borderId="1" xfId="1" applyFont="1" applyBorder="1" applyAlignment="1">
      <alignment horizontal="center" vertical="center"/>
    </xf>
    <xf numFmtId="0" fontId="3" fillId="0" borderId="0" xfId="0" applyFont="1" applyAlignment="1">
      <alignment horizontal="center"/>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0" xfId="0" applyFont="1" applyBorder="1" applyAlignment="1">
      <alignment vertical="center" wrapText="1"/>
    </xf>
    <xf numFmtId="0" fontId="8" fillId="0" borderId="21" xfId="0" applyFont="1" applyBorder="1" applyAlignment="1">
      <alignment vertical="center" wrapText="1"/>
    </xf>
    <xf numFmtId="0" fontId="5" fillId="0" borderId="0" xfId="0" applyFont="1" applyAlignment="1">
      <alignment vertical="center"/>
    </xf>
    <xf numFmtId="0" fontId="5" fillId="0" borderId="0" xfId="0" applyFont="1" applyAlignment="1">
      <alignment horizontal="left" vertical="center"/>
    </xf>
    <xf numFmtId="0" fontId="3" fillId="0" borderId="1" xfId="0" applyFont="1" applyBorder="1" applyAlignment="1">
      <alignment horizontal="left" vertical="center"/>
    </xf>
    <xf numFmtId="0" fontId="9" fillId="0" borderId="1" xfId="0" applyFont="1" applyBorder="1" applyAlignment="1">
      <alignment vertical="top" wrapText="1"/>
    </xf>
    <xf numFmtId="0" fontId="9" fillId="0" borderId="1" xfId="0" applyFont="1" applyBorder="1" applyAlignment="1">
      <alignment horizontal="left" vertical="top" wrapText="1"/>
    </xf>
    <xf numFmtId="9" fontId="3" fillId="0" borderId="13" xfId="0" applyNumberFormat="1" applyFont="1" applyBorder="1" applyAlignment="1">
      <alignment vertical="center" wrapText="1"/>
    </xf>
    <xf numFmtId="0" fontId="3" fillId="3" borderId="11" xfId="0" applyFont="1" applyFill="1" applyBorder="1" applyAlignment="1">
      <alignment vertical="center" wrapText="1"/>
    </xf>
    <xf numFmtId="0" fontId="3" fillId="3" borderId="12" xfId="0" applyFont="1" applyFill="1" applyBorder="1" applyAlignment="1">
      <alignment vertical="center" wrapText="1"/>
    </xf>
    <xf numFmtId="0" fontId="3" fillId="3" borderId="7" xfId="0" applyFont="1" applyFill="1" applyBorder="1" applyAlignment="1">
      <alignment vertical="center" wrapText="1"/>
    </xf>
    <xf numFmtId="9" fontId="3"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49" fontId="3" fillId="0" borderId="1" xfId="0" applyNumberFormat="1" applyFont="1" applyBorder="1" applyAlignment="1">
      <alignment vertical="center" wrapText="1"/>
    </xf>
    <xf numFmtId="0" fontId="19" fillId="2" borderId="1" xfId="0" applyFont="1" applyFill="1" applyBorder="1" applyAlignment="1">
      <alignment horizontal="center" vertical="center"/>
    </xf>
    <xf numFmtId="0" fontId="10" fillId="2" borderId="1" xfId="0" applyFont="1" applyFill="1" applyBorder="1" applyAlignment="1">
      <alignment horizontal="right" vertical="center"/>
    </xf>
    <xf numFmtId="0" fontId="14" fillId="0" borderId="1" xfId="0" applyFont="1" applyBorder="1" applyAlignment="1">
      <alignment horizontal="left" vertical="top" wrapText="1"/>
    </xf>
    <xf numFmtId="0" fontId="14" fillId="0" borderId="1" xfId="0" applyFont="1" applyBorder="1" applyAlignment="1">
      <alignment horizontal="left" vertical="center"/>
    </xf>
    <xf numFmtId="0" fontId="20" fillId="0" borderId="0" xfId="0" applyFont="1" applyAlignment="1">
      <alignment vertical="center"/>
    </xf>
    <xf numFmtId="0" fontId="9" fillId="0" borderId="1" xfId="0" applyFont="1" applyBorder="1" applyAlignment="1">
      <alignment horizontal="left" vertical="center"/>
    </xf>
    <xf numFmtId="0" fontId="9" fillId="0" borderId="1" xfId="0" applyFont="1" applyBorder="1" applyAlignment="1">
      <alignment vertical="center" wrapText="1"/>
    </xf>
    <xf numFmtId="0" fontId="0" fillId="0" borderId="0" xfId="0" applyAlignment="1">
      <alignment vertical="center"/>
    </xf>
    <xf numFmtId="164" fontId="10" fillId="0" borderId="0" xfId="1" applyFont="1" applyBorder="1"/>
    <xf numFmtId="164" fontId="10" fillId="0" borderId="1" xfId="1" applyFont="1" applyBorder="1"/>
    <xf numFmtId="0" fontId="9" fillId="0" borderId="0" xfId="0" applyFont="1" applyAlignment="1">
      <alignment vertical="center"/>
    </xf>
    <xf numFmtId="0" fontId="9" fillId="0" borderId="0" xfId="0" applyFont="1" applyAlignment="1">
      <alignment horizontal="left" vertical="center"/>
    </xf>
    <xf numFmtId="165" fontId="9" fillId="0" borderId="0" xfId="0" applyNumberFormat="1" applyFont="1" applyAlignment="1">
      <alignment horizontal="left"/>
    </xf>
    <xf numFmtId="0" fontId="10" fillId="0" borderId="1" xfId="0" applyFont="1" applyBorder="1" applyAlignment="1">
      <alignment horizontal="left"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1"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Alignment="1">
      <alignment horizontal="left" vertical="center" wrapText="1"/>
    </xf>
    <xf numFmtId="0" fontId="21" fillId="0" borderId="1" xfId="0" applyFont="1" applyBorder="1" applyAlignment="1">
      <alignment horizontal="left" vertical="top" wrapText="1"/>
    </xf>
    <xf numFmtId="0" fontId="8" fillId="0" borderId="1" xfId="0" applyFont="1" applyBorder="1" applyAlignment="1">
      <alignment horizontal="center" vertical="center"/>
    </xf>
    <xf numFmtId="0" fontId="7" fillId="0" borderId="1" xfId="0" applyFont="1" applyBorder="1" applyAlignment="1">
      <alignment horizontal="left" vertical="center" wrapText="1"/>
    </xf>
    <xf numFmtId="0" fontId="5" fillId="0" borderId="1" xfId="0" applyFont="1" applyBorder="1" applyAlignment="1">
      <alignment horizontal="left" vertical="top" wrapText="1"/>
    </xf>
    <xf numFmtId="0" fontId="5" fillId="0" borderId="11" xfId="0" applyFont="1" applyBorder="1" applyAlignment="1">
      <alignment vertical="center" wrapText="1"/>
    </xf>
    <xf numFmtId="0" fontId="5" fillId="0" borderId="12" xfId="0" applyFont="1" applyBorder="1" applyAlignment="1">
      <alignment vertical="center" wrapText="1"/>
    </xf>
    <xf numFmtId="0" fontId="5" fillId="0" borderId="13" xfId="0" applyFont="1" applyBorder="1" applyAlignment="1">
      <alignment vertical="center" wrapText="1"/>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8"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3" fillId="0" borderId="1" xfId="0" applyFont="1" applyBorder="1" applyAlignment="1">
      <alignment horizontal="left" vertical="center"/>
    </xf>
    <xf numFmtId="0" fontId="11" fillId="2" borderId="1" xfId="0" applyFont="1" applyFill="1" applyBorder="1" applyAlignment="1">
      <alignment horizontal="center" vertical="center"/>
    </xf>
    <xf numFmtId="0" fontId="7" fillId="0" borderId="1" xfId="0" applyFont="1" applyBorder="1" applyAlignment="1">
      <alignment horizontal="left" vertical="top" wrapText="1"/>
    </xf>
    <xf numFmtId="0" fontId="7" fillId="0" borderId="2" xfId="0" applyFont="1" applyBorder="1" applyAlignment="1">
      <alignment horizontal="left" vertical="top"/>
    </xf>
    <xf numFmtId="0" fontId="7" fillId="0" borderId="4" xfId="0" applyFont="1" applyBorder="1" applyAlignment="1">
      <alignment horizontal="left" vertical="top"/>
    </xf>
    <xf numFmtId="0" fontId="7" fillId="0" borderId="3" xfId="0" applyFont="1" applyBorder="1" applyAlignment="1">
      <alignment horizontal="left" vertical="top"/>
    </xf>
    <xf numFmtId="0" fontId="8" fillId="0" borderId="7" xfId="0" applyFont="1" applyBorder="1" applyAlignment="1">
      <alignment horizontal="left" vertical="center"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5" fillId="0" borderId="0" xfId="0" applyFont="1" applyAlignment="1">
      <alignment horizontal="left" vertical="center"/>
    </xf>
    <xf numFmtId="0" fontId="15" fillId="0" borderId="0" xfId="0" applyFont="1" applyAlignment="1">
      <alignment horizontal="center" vertical="center"/>
    </xf>
    <xf numFmtId="0" fontId="16" fillId="0" borderId="0" xfId="0" applyFont="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11" fillId="0" borderId="11" xfId="0" applyFont="1" applyBorder="1" applyAlignment="1">
      <alignment horizontal="left" vertical="center" wrapText="1"/>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14" fillId="0" borderId="9" xfId="0" applyFont="1" applyBorder="1" applyAlignment="1">
      <alignment horizontal="left" vertical="center"/>
    </xf>
    <xf numFmtId="0" fontId="14" fillId="0" borderId="5" xfId="0" applyFont="1" applyBorder="1" applyAlignment="1">
      <alignment horizontal="left" vertical="center"/>
    </xf>
    <xf numFmtId="0" fontId="14" fillId="0" borderId="6" xfId="0" applyFont="1" applyBorder="1" applyAlignment="1">
      <alignment horizontal="left" vertical="center"/>
    </xf>
    <xf numFmtId="0" fontId="14" fillId="0" borderId="15" xfId="0" applyFont="1" applyBorder="1" applyAlignment="1">
      <alignment horizontal="left" vertical="center"/>
    </xf>
    <xf numFmtId="0" fontId="14" fillId="0" borderId="0" xfId="0" applyFont="1" applyAlignment="1">
      <alignment horizontal="left" vertical="center"/>
    </xf>
    <xf numFmtId="0" fontId="14" fillId="0" borderId="10" xfId="0" applyFont="1" applyBorder="1" applyAlignment="1">
      <alignment horizontal="left" vertical="center"/>
    </xf>
    <xf numFmtId="0" fontId="14" fillId="0" borderId="16" xfId="0" applyFont="1" applyBorder="1" applyAlignment="1">
      <alignment horizontal="left" vertical="center"/>
    </xf>
    <xf numFmtId="0" fontId="14" fillId="0" borderId="7" xfId="0" applyFont="1" applyBorder="1" applyAlignment="1">
      <alignment horizontal="left" vertical="center"/>
    </xf>
    <xf numFmtId="0" fontId="14" fillId="0" borderId="8" xfId="0" applyFont="1" applyBorder="1" applyAlignment="1">
      <alignment horizontal="left" vertical="center"/>
    </xf>
    <xf numFmtId="0" fontId="12" fillId="0" borderId="0" xfId="0" applyFont="1" applyAlignment="1">
      <alignment horizontal="left" vertical="center"/>
    </xf>
    <xf numFmtId="0" fontId="11"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2" fillId="0" borderId="11" xfId="0" applyFont="1" applyBorder="1" applyAlignment="1">
      <alignment vertical="center" wrapText="1"/>
    </xf>
    <xf numFmtId="0" fontId="12" fillId="0" borderId="12" xfId="0" applyFont="1" applyBorder="1" applyAlignment="1">
      <alignment vertical="center" wrapText="1"/>
    </xf>
    <xf numFmtId="0" fontId="12" fillId="0" borderId="13" xfId="0" applyFont="1" applyBorder="1" applyAlignment="1">
      <alignment vertical="center" wrapText="1"/>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19" fillId="0" borderId="0" xfId="0" applyFont="1" applyAlignment="1">
      <alignment horizontal="center" vertical="center"/>
    </xf>
    <xf numFmtId="0" fontId="7" fillId="0" borderId="2" xfId="0" applyFont="1" applyBorder="1" applyAlignment="1">
      <alignment vertical="top" wrapText="1"/>
    </xf>
    <xf numFmtId="0" fontId="11" fillId="0" borderId="4" xfId="0" applyFont="1" applyBorder="1" applyAlignment="1">
      <alignment vertical="top" wrapText="1"/>
    </xf>
    <xf numFmtId="0" fontId="11" fillId="0" borderId="3" xfId="0" applyFont="1" applyBorder="1" applyAlignment="1">
      <alignment vertical="top" wrapText="1"/>
    </xf>
    <xf numFmtId="0" fontId="10" fillId="2" borderId="1" xfId="0" applyFont="1" applyFill="1" applyBorder="1" applyAlignment="1">
      <alignment horizontal="center" vertical="center"/>
    </xf>
    <xf numFmtId="0" fontId="11" fillId="0" borderId="1" xfId="0" applyFont="1" applyBorder="1" applyAlignment="1">
      <alignment horizontal="left" vertical="center" wrapText="1"/>
    </xf>
    <xf numFmtId="0" fontId="14" fillId="0" borderId="1" xfId="0" applyFont="1" applyBorder="1" applyAlignment="1">
      <alignment horizontal="left" vertical="center"/>
    </xf>
    <xf numFmtId="0" fontId="12" fillId="0" borderId="22" xfId="0" applyFont="1" applyBorder="1" applyAlignment="1">
      <alignment vertical="center" wrapText="1"/>
    </xf>
    <xf numFmtId="0" fontId="12" fillId="0" borderId="23" xfId="0" applyFont="1" applyBorder="1" applyAlignment="1">
      <alignment vertical="center" wrapText="1"/>
    </xf>
    <xf numFmtId="0" fontId="12" fillId="0" borderId="24" xfId="0" applyFont="1" applyBorder="1" applyAlignment="1">
      <alignment vertical="center" wrapText="1"/>
    </xf>
    <xf numFmtId="0" fontId="10" fillId="0" borderId="0" xfId="0" applyFont="1" applyAlignment="1">
      <alignment horizontal="center" vertical="center"/>
    </xf>
    <xf numFmtId="0" fontId="7" fillId="0" borderId="4" xfId="0" applyFont="1" applyBorder="1" applyAlignment="1">
      <alignment vertical="top" wrapText="1"/>
    </xf>
    <xf numFmtId="0" fontId="7" fillId="0" borderId="3" xfId="0" applyFont="1" applyBorder="1" applyAlignment="1">
      <alignment vertical="top"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 xfId="0" applyFont="1" applyBorder="1" applyAlignment="1">
      <alignment horizontal="center" vertical="center"/>
    </xf>
    <xf numFmtId="0" fontId="5" fillId="0" borderId="22" xfId="0" applyFont="1" applyBorder="1" applyAlignment="1">
      <alignment vertical="center" wrapText="1"/>
    </xf>
    <xf numFmtId="0" fontId="5" fillId="0" borderId="23" xfId="0" applyFont="1" applyBorder="1" applyAlignment="1">
      <alignment vertical="center" wrapText="1"/>
    </xf>
    <xf numFmtId="0" fontId="5" fillId="0" borderId="24" xfId="0" applyFont="1"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Archive\Data\SURAT-SURAT\Surat%20Rekomendasi%20Kary.%20Tetap\PR%20surat%20rekomendasi%20karyawan\CEK%20Form%20evaluasi%20Juli%202019%20-%200905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ATA PENGANGKATAN"/>
      <sheetName val="Catatan"/>
      <sheetName val="Sheet1"/>
      <sheetName val="Contoh academic s"/>
      <sheetName val="contoh dosen"/>
      <sheetName val="contoh laboran"/>
      <sheetName val="contoh koor lab"/>
      <sheetName val="contoh staff"/>
      <sheetName val="rubrik baswara"/>
      <sheetName val="rubrik sherly"/>
      <sheetName val="Erma Fina"/>
      <sheetName val="Devi Mawarni"/>
    </sheetNames>
    <sheetDataSet>
      <sheetData sheetId="0" refreshError="1">
        <row r="2">
          <cell r="B2" t="str">
            <v>NIK</v>
          </cell>
          <cell r="C2" t="str">
            <v>NAMA</v>
          </cell>
          <cell r="D2" t="str">
            <v>Full Time/ Part time</v>
          </cell>
          <cell r="E2" t="str">
            <v>Posisi</v>
          </cell>
          <cell r="F2" t="str">
            <v>Tempat</v>
          </cell>
          <cell r="G2" t="str">
            <v>Tgl</v>
          </cell>
          <cell r="H2" t="str">
            <v>Bulan</v>
          </cell>
          <cell r="I2" t="str">
            <v>Tahun</v>
          </cell>
          <cell r="J2" t="str">
            <v>Jabatan 1</v>
          </cell>
          <cell r="K2" t="str">
            <v>Tanggal Masuk Kerja</v>
          </cell>
          <cell r="L2" t="str">
            <v>Akhir masa kontrak</v>
          </cell>
          <cell r="M2" t="str">
            <v>Masa Kontrak</v>
          </cell>
          <cell r="N2" t="str">
            <v>Periode Kontrak</v>
          </cell>
          <cell r="O2" t="str">
            <v>Nama atasan langsung</v>
          </cell>
          <cell r="P2" t="str">
            <v>Jabatan 2</v>
          </cell>
          <cell r="Q2" t="str">
            <v>Departemen</v>
          </cell>
          <cell r="R2" t="str">
            <v>Nama Atasan tidak langsung</v>
          </cell>
          <cell r="S2" t="str">
            <v>Jabatan 3</v>
          </cell>
          <cell r="T2" t="str">
            <v>Rekomendasi Khusus</v>
          </cell>
        </row>
        <row r="3">
          <cell r="B3">
            <v>20180511</v>
          </cell>
          <cell r="C3" t="str">
            <v>Erma Fina Terusia, S.E.</v>
          </cell>
          <cell r="D3" t="str">
            <v>Full Time</v>
          </cell>
          <cell r="E3" t="str">
            <v>Academic Support</v>
          </cell>
          <cell r="F3" t="str">
            <v>Surabaya</v>
          </cell>
          <cell r="G3">
            <v>25</v>
          </cell>
          <cell r="H3" t="str">
            <v>September</v>
          </cell>
          <cell r="I3">
            <v>1987</v>
          </cell>
          <cell r="J3" t="str">
            <v>Staf Layanan Akademik</v>
          </cell>
          <cell r="K3" t="str">
            <v>3 September 2018</v>
          </cell>
          <cell r="L3" t="str">
            <v>31 Juli 2019</v>
          </cell>
          <cell r="M3" t="str">
            <v>3 September 2018 sd 31 Juli 2019</v>
          </cell>
          <cell r="N3" t="str">
            <v>Kontrak I</v>
          </cell>
          <cell r="O3" t="str">
            <v>Hendro Susanto, S.E., M.M.</v>
          </cell>
          <cell r="P3" t="str">
            <v>Ketua Program Studi Akuntansi</v>
          </cell>
          <cell r="Q3" t="str">
            <v>Program Studi Akuntansi</v>
          </cell>
          <cell r="R3" t="str">
            <v>Dr. Christina Whidya Utami, M.M.</v>
          </cell>
          <cell r="S3" t="str">
            <v>Dekan Fakultas Manajemen dan Bisnis</v>
          </cell>
        </row>
        <row r="4">
          <cell r="B4">
            <v>20180172</v>
          </cell>
          <cell r="C4" t="str">
            <v>Agustina Gracia Krisantini Wijana, S.Par.</v>
          </cell>
          <cell r="D4" t="str">
            <v>Full Time</v>
          </cell>
          <cell r="E4" t="str">
            <v>Academic Support</v>
          </cell>
          <cell r="F4" t="str">
            <v>Ponorogo</v>
          </cell>
          <cell r="G4">
            <v>10</v>
          </cell>
          <cell r="H4" t="str">
            <v>January</v>
          </cell>
          <cell r="I4">
            <v>1992</v>
          </cell>
          <cell r="J4" t="str">
            <v>Staf Layanan Akademik</v>
          </cell>
          <cell r="K4" t="str">
            <v>16 April 2018</v>
          </cell>
          <cell r="L4" t="str">
            <v>31 Juli 2019</v>
          </cell>
          <cell r="M4" t="str">
            <v>16 April 2018 sd 31 Juli 2019</v>
          </cell>
          <cell r="N4" t="str">
            <v>Kontrak I</v>
          </cell>
          <cell r="O4" t="str">
            <v>dr. Minarni Wartiningsih, M.Kes</v>
          </cell>
          <cell r="P4" t="str">
            <v xml:space="preserve">Ketua Program Studi Prodi Pendidikan Dokter Program Sarjana &amp; Prodi Profesi Dokter </v>
          </cell>
          <cell r="Q4" t="str">
            <v>Program Studi Kedokteran</v>
          </cell>
          <cell r="R4" t="str">
            <v>Dr. dr. Hudi Winarso, M.Kes., Sp.And.</v>
          </cell>
          <cell r="S4" t="str">
            <v>Dekan Fakultas Kedokteran</v>
          </cell>
        </row>
        <row r="5">
          <cell r="B5">
            <v>20180473</v>
          </cell>
          <cell r="C5" t="str">
            <v>Magdalena Dhini Nugraheni, S.TP.</v>
          </cell>
          <cell r="D5" t="str">
            <v>Full Time</v>
          </cell>
          <cell r="E5" t="str">
            <v>Academic Support</v>
          </cell>
          <cell r="F5" t="str">
            <v>Pati</v>
          </cell>
          <cell r="G5">
            <v>3</v>
          </cell>
          <cell r="H5" t="str">
            <v>March</v>
          </cell>
          <cell r="I5">
            <v>1992</v>
          </cell>
          <cell r="J5" t="str">
            <v>Staf Layanan Akademik</v>
          </cell>
          <cell r="K5" t="str">
            <v>1 Agustus 2018</v>
          </cell>
          <cell r="L5" t="str">
            <v>31 Juli 2019</v>
          </cell>
          <cell r="M5" t="str">
            <v>1 Agustus 2018 sd 31 Juli 2019</v>
          </cell>
          <cell r="N5" t="str">
            <v>Kontrak I</v>
          </cell>
          <cell r="O5" t="str">
            <v>Muliasari Kartikawati, S.TP., M.Sc.</v>
          </cell>
          <cell r="P5" t="str">
            <v>Ketua Program Studi Teknologi Hasil Pertanian</v>
          </cell>
          <cell r="Q5" t="str">
            <v>Program Studi Teknologi Pangan</v>
          </cell>
          <cell r="R5" t="str">
            <v>Dr. Thomas Stefanus Kaihatu, M.M.</v>
          </cell>
          <cell r="S5" t="str">
            <v>Dekan Fakultas Pariwisata</v>
          </cell>
        </row>
        <row r="6">
          <cell r="B6">
            <v>20170201</v>
          </cell>
          <cell r="C6" t="str">
            <v>Ivana Grasielda, S.Par.</v>
          </cell>
          <cell r="D6" t="str">
            <v>Full Time</v>
          </cell>
          <cell r="E6" t="str">
            <v>Dosen</v>
          </cell>
          <cell r="F6" t="str">
            <v>Surabaya</v>
          </cell>
          <cell r="G6">
            <v>22</v>
          </cell>
          <cell r="H6" t="str">
            <v>October</v>
          </cell>
          <cell r="I6">
            <v>1994</v>
          </cell>
          <cell r="J6" t="str">
            <v>Dosen</v>
          </cell>
          <cell r="K6" t="str">
            <v>3 Juli 2017</v>
          </cell>
          <cell r="L6" t="str">
            <v>31 Juli 2019</v>
          </cell>
          <cell r="M6" t="str">
            <v>3 Juli 2017 sd 31 Juli 2019</v>
          </cell>
          <cell r="N6" t="str">
            <v>Kontrak II</v>
          </cell>
          <cell r="O6" t="str">
            <v>Moses Soediro, S.E., M.M.</v>
          </cell>
          <cell r="P6" t="str">
            <v>Ketua Program Bisnis Hospitaliti - Kuliner</v>
          </cell>
          <cell r="Q6" t="str">
            <v>Program Bisnis Kuliner</v>
          </cell>
          <cell r="R6" t="str">
            <v>Dr. Thomas Stefanus Kaihatu, M.M.</v>
          </cell>
          <cell r="S6" t="str">
            <v>Dekan Fakultas Pariwisata</v>
          </cell>
        </row>
        <row r="7">
          <cell r="B7">
            <v>20170200</v>
          </cell>
          <cell r="C7" t="str">
            <v>Wike Laurenzia Warrauw, S.E., M.M.</v>
          </cell>
          <cell r="D7" t="str">
            <v>Full Time</v>
          </cell>
          <cell r="E7" t="str">
            <v>Dosen</v>
          </cell>
          <cell r="F7" t="str">
            <v>Surabaya</v>
          </cell>
          <cell r="G7">
            <v>19</v>
          </cell>
          <cell r="H7" t="str">
            <v>February</v>
          </cell>
          <cell r="I7">
            <v>1994</v>
          </cell>
          <cell r="J7" t="str">
            <v>Dosen</v>
          </cell>
          <cell r="K7" t="str">
            <v>3 Juli 2017</v>
          </cell>
          <cell r="L7" t="str">
            <v>31 Juli 2019</v>
          </cell>
          <cell r="M7" t="str">
            <v>3 Juli 2017 sd 31 Juli 2019</v>
          </cell>
          <cell r="N7" t="str">
            <v>Kontrak II</v>
          </cell>
          <cell r="O7" t="str">
            <v>Moses Soediro, S.E., M.M.</v>
          </cell>
          <cell r="P7" t="str">
            <v>Ketua Program Bisnis Hospitaliti - Kuliner</v>
          </cell>
          <cell r="Q7" t="str">
            <v>Program Bisnis Kuliner</v>
          </cell>
          <cell r="R7" t="str">
            <v>Dr. Thomas Stefanus Kaihatu, M.M.</v>
          </cell>
          <cell r="S7" t="str">
            <v>Dekan Fakultas Pariwisata</v>
          </cell>
        </row>
        <row r="8">
          <cell r="B8">
            <v>20170199</v>
          </cell>
          <cell r="C8" t="str">
            <v>Erris Kusumawidjaya, S.E.</v>
          </cell>
          <cell r="D8" t="str">
            <v>Full Time</v>
          </cell>
          <cell r="E8" t="str">
            <v>Dosen</v>
          </cell>
          <cell r="F8" t="str">
            <v>Semarang</v>
          </cell>
          <cell r="G8">
            <v>24</v>
          </cell>
          <cell r="H8" t="str">
            <v>July</v>
          </cell>
          <cell r="I8">
            <v>1994</v>
          </cell>
          <cell r="J8" t="str">
            <v>Dosen</v>
          </cell>
          <cell r="K8" t="str">
            <v>3 Juli 2017</v>
          </cell>
          <cell r="L8" t="str">
            <v>31 Juli 2019</v>
          </cell>
          <cell r="M8" t="str">
            <v>3 Juli 2017 sd 31 Juli 2019</v>
          </cell>
          <cell r="N8" t="str">
            <v>Kontrak II</v>
          </cell>
          <cell r="O8" t="str">
            <v>I Dewa Gde Satrya Widya Dutha, S.E., M.M.</v>
          </cell>
          <cell r="P8" t="str">
            <v>Ketua Program Studi Bisnis Hospitaliti - Pariwisata</v>
          </cell>
          <cell r="Q8" t="str">
            <v>Program Studi Bisnis Hospitaliti</v>
          </cell>
          <cell r="R8" t="str">
            <v>Dr. Thomas Stefanus Kaihatu, M.M.</v>
          </cell>
          <cell r="S8" t="str">
            <v>Dekan Fakultas Pariwisata</v>
          </cell>
        </row>
        <row r="9">
          <cell r="B9" t="str">
            <v>20160216</v>
          </cell>
          <cell r="C9" t="str">
            <v xml:space="preserve">dr. Rahajoe Imam Santoso, </v>
          </cell>
          <cell r="D9" t="str">
            <v>Part Time 24 jam</v>
          </cell>
          <cell r="E9" t="str">
            <v>Dosen</v>
          </cell>
          <cell r="F9" t="str">
            <v>Malang</v>
          </cell>
          <cell r="G9">
            <v>26</v>
          </cell>
          <cell r="H9" t="str">
            <v>January</v>
          </cell>
          <cell r="I9">
            <v>1950</v>
          </cell>
          <cell r="J9" t="str">
            <v>Dosen</v>
          </cell>
          <cell r="K9" t="str">
            <v>1 Juni 2016</v>
          </cell>
          <cell r="L9" t="str">
            <v>31 Juli 2019</v>
          </cell>
          <cell r="M9" t="str">
            <v>1 Juni 2016 sd 31 Juli 2019</v>
          </cell>
          <cell r="N9" t="str">
            <v>Kontrak II</v>
          </cell>
          <cell r="O9" t="str">
            <v>dr. Minarni Wartiningsih, M.Kes</v>
          </cell>
          <cell r="P9" t="str">
            <v xml:space="preserve">Ketua Program Studi Prodi Pendidikan Dokter Program Sarjana &amp; Prodi Profesi Dokter </v>
          </cell>
          <cell r="Q9" t="str">
            <v>Program Studi Kedokteran</v>
          </cell>
          <cell r="R9" t="str">
            <v>Dr. dr. Hudi Winarso, M.Kes., Sp.And.</v>
          </cell>
          <cell r="S9" t="str">
            <v>Dekan Fakultas Kedokteran</v>
          </cell>
        </row>
        <row r="10">
          <cell r="B10">
            <v>20180173</v>
          </cell>
          <cell r="C10" t="str">
            <v>dr. Salmon Charles P.T. Siahaan, Sp.OG.</v>
          </cell>
          <cell r="D10" t="str">
            <v>Part Time 24 Jam</v>
          </cell>
          <cell r="E10" t="str">
            <v>Dosen</v>
          </cell>
          <cell r="F10" t="str">
            <v>Jakarta</v>
          </cell>
          <cell r="G10">
            <v>31</v>
          </cell>
          <cell r="H10" t="str">
            <v>October</v>
          </cell>
          <cell r="I10">
            <v>1980</v>
          </cell>
          <cell r="J10" t="str">
            <v>Dosen</v>
          </cell>
          <cell r="K10" t="str">
            <v>16 April 2018</v>
          </cell>
          <cell r="L10" t="str">
            <v>31 Juli 2019</v>
          </cell>
          <cell r="M10" t="str">
            <v>16 April 2018 sd 31 Juli 2019</v>
          </cell>
          <cell r="N10" t="str">
            <v>Kontrak I</v>
          </cell>
          <cell r="O10" t="str">
            <v>dr. Minarni Wartiningsih, M.Kes</v>
          </cell>
          <cell r="P10" t="str">
            <v xml:space="preserve">Ketua Program Studi Prodi Pendidikan Dokter Program Sarjana &amp; Prodi Profesi Dokter </v>
          </cell>
          <cell r="Q10" t="str">
            <v>Program Studi Kedokteran</v>
          </cell>
          <cell r="R10" t="str">
            <v>Dr. dr. Hudi Winarso, M.Kes., Sp.And.</v>
          </cell>
          <cell r="S10" t="str">
            <v>Dekan Fakultas Kedokteran</v>
          </cell>
        </row>
        <row r="11">
          <cell r="B11">
            <v>20170047</v>
          </cell>
          <cell r="C11" t="str">
            <v>Prof. Tatang Ary Gumanti, M.Buss.Acc., Ph.D.</v>
          </cell>
          <cell r="D11" t="str">
            <v>8 jam /minggu</v>
          </cell>
          <cell r="E11" t="str">
            <v>Dosen</v>
          </cell>
          <cell r="F11" t="str">
            <v>Jember</v>
          </cell>
          <cell r="G11">
            <v>25</v>
          </cell>
          <cell r="H11" t="str">
            <v>November</v>
          </cell>
          <cell r="I11">
            <v>1966</v>
          </cell>
          <cell r="J11" t="str">
            <v>Konsultan</v>
          </cell>
          <cell r="K11" t="str">
            <v>1 Februari 2017</v>
          </cell>
          <cell r="L11" t="str">
            <v>31 Juli 2019</v>
          </cell>
          <cell r="M11" t="str">
            <v>1 Februari 2017 sd 31 Juli 2019</v>
          </cell>
          <cell r="O11" t="str">
            <v>Damelina Basauli Tambunan, S.E., M.M., Ph.D., CLC., CPM (Asia)</v>
          </cell>
          <cell r="P11" t="str">
            <v>Ketua Program Studi Magister Manajemen</v>
          </cell>
          <cell r="Q11" t="str">
            <v>Program Studi Magister Manajemen</v>
          </cell>
          <cell r="R11" t="str">
            <v>Dr. Christina Whidya Utami, M.M.</v>
          </cell>
          <cell r="S11" t="str">
            <v>Dekan Fakultas Manajemen dan Bisnis</v>
          </cell>
        </row>
        <row r="12">
          <cell r="B12">
            <v>20170408</v>
          </cell>
          <cell r="C12" t="str">
            <v>Evan Irianov Purba, S.Kom., M.MT.</v>
          </cell>
          <cell r="D12" t="str">
            <v>Full Time</v>
          </cell>
          <cell r="E12" t="str">
            <v>Dosen</v>
          </cell>
          <cell r="F12" t="str">
            <v>Sidikalang</v>
          </cell>
          <cell r="G12">
            <v>16</v>
          </cell>
          <cell r="H12" t="str">
            <v>June</v>
          </cell>
          <cell r="I12">
            <v>1988</v>
          </cell>
          <cell r="J12" t="str">
            <v xml:space="preserve">Dosen </v>
          </cell>
          <cell r="K12" t="str">
            <v>31 Januari 2019</v>
          </cell>
          <cell r="L12" t="str">
            <v>31 Juli 2019</v>
          </cell>
          <cell r="M12" t="str">
            <v>31 Januari 2019 sd 31 Juli 2019</v>
          </cell>
          <cell r="N12" t="str">
            <v>Kontrak II</v>
          </cell>
          <cell r="O12" t="str">
            <v>Agustiono, S.E., M.Sc.</v>
          </cell>
          <cell r="P12" t="str">
            <v>Ketua Program Studi Manajemen - Kelas Internasional</v>
          </cell>
          <cell r="Q12" t="str">
            <v>Program Studi Manajemen - Kelas Internasional</v>
          </cell>
          <cell r="R12" t="str">
            <v>Dr. Christina Whidya Utami, M.M.</v>
          </cell>
          <cell r="S12" t="str">
            <v>Dekan Fakultas Manajemen dan Bisnis</v>
          </cell>
        </row>
        <row r="13">
          <cell r="B13">
            <v>20180362</v>
          </cell>
          <cell r="C13" t="str">
            <v>Deandra Vidyanata, S.AB., M.M.</v>
          </cell>
          <cell r="D13" t="str">
            <v>Full Time</v>
          </cell>
          <cell r="E13" t="str">
            <v>Dosen</v>
          </cell>
          <cell r="F13" t="str">
            <v>Malang</v>
          </cell>
          <cell r="G13">
            <v>25</v>
          </cell>
          <cell r="H13" t="str">
            <v>February</v>
          </cell>
          <cell r="I13">
            <v>1994</v>
          </cell>
          <cell r="J13" t="str">
            <v>Dosen</v>
          </cell>
          <cell r="K13" t="str">
            <v>2 Juli 2018</v>
          </cell>
          <cell r="L13" t="str">
            <v>31 Juli 2019</v>
          </cell>
          <cell r="M13" t="str">
            <v>2 Juli 2018 sd 31 Juli 2019</v>
          </cell>
          <cell r="N13" t="str">
            <v>Kontrak I</v>
          </cell>
          <cell r="O13" t="str">
            <v>Dr. Christian Herdinata, S.E., M.M.</v>
          </cell>
          <cell r="P13" t="str">
            <v>Ketua Program Studi Manajemen - Kelas Reguler</v>
          </cell>
          <cell r="Q13" t="str">
            <v>Program Studi Manajemen - Kelas Reguler</v>
          </cell>
          <cell r="R13" t="str">
            <v>Dr. Christina Whidya Utami, M.M.</v>
          </cell>
          <cell r="S13" t="str">
            <v>Dekan Fakultas Manajemen dan Bisnis</v>
          </cell>
        </row>
        <row r="14">
          <cell r="B14">
            <v>20180361</v>
          </cell>
          <cell r="C14" t="str">
            <v>Dimas Bagus Prakoso, S.Kom., MBA.</v>
          </cell>
          <cell r="D14" t="str">
            <v>Full Time</v>
          </cell>
          <cell r="E14" t="str">
            <v>Dosen</v>
          </cell>
          <cell r="F14" t="str">
            <v>Jakarta</v>
          </cell>
          <cell r="G14">
            <v>7</v>
          </cell>
          <cell r="H14" t="str">
            <v xml:space="preserve">April </v>
          </cell>
          <cell r="I14">
            <v>1991</v>
          </cell>
          <cell r="J14" t="str">
            <v>Dosen</v>
          </cell>
          <cell r="K14" t="str">
            <v>2 Juli 2018</v>
          </cell>
          <cell r="L14" t="str">
            <v>31 Juli 2019</v>
          </cell>
          <cell r="M14" t="str">
            <v>2 Juli 2018 sd 31 Juli 2019</v>
          </cell>
          <cell r="N14" t="str">
            <v>Kontrak I</v>
          </cell>
          <cell r="O14" t="str">
            <v>Dr. Christian Herdinata, S.E., M.M.</v>
          </cell>
          <cell r="P14" t="str">
            <v>Ketua Program Studi Manajemen - Kelas Reguler</v>
          </cell>
          <cell r="Q14" t="str">
            <v>Program Studi Manajemen - Kelas Reguler</v>
          </cell>
          <cell r="R14" t="str">
            <v>Dr. Christina Whidya Utami, M.M.</v>
          </cell>
          <cell r="S14" t="str">
            <v>Dekan Fakultas Manajemen dan Bisnis</v>
          </cell>
        </row>
        <row r="15">
          <cell r="B15">
            <v>20180472</v>
          </cell>
          <cell r="C15" t="str">
            <v>Dr. Timotius Febry Christian Wahyu Sutrisno, S.T., M.T.</v>
          </cell>
          <cell r="D15" t="str">
            <v>Full Time</v>
          </cell>
          <cell r="E15" t="str">
            <v>Dosen</v>
          </cell>
          <cell r="F15" t="str">
            <v>Surabaya</v>
          </cell>
          <cell r="G15">
            <v>22</v>
          </cell>
          <cell r="H15" t="str">
            <v>February</v>
          </cell>
          <cell r="I15">
            <v>1990</v>
          </cell>
          <cell r="J15" t="str">
            <v>Dosen</v>
          </cell>
          <cell r="K15" t="str">
            <v>1 Agustus 2018</v>
          </cell>
          <cell r="L15" t="str">
            <v>31 Juli 2019</v>
          </cell>
          <cell r="M15" t="str">
            <v>1 Agustus 2018 sd 31 Juli 2019</v>
          </cell>
          <cell r="N15" t="str">
            <v>Kontrak I</v>
          </cell>
          <cell r="O15" t="str">
            <v>Dr. Christian Herdinata, S.E., M.M.</v>
          </cell>
          <cell r="P15" t="str">
            <v>Ketua Program Studi Manajemen - Kelas Reguler</v>
          </cell>
          <cell r="Q15" t="str">
            <v>Program Studi Manajemen - Kelas Reguler</v>
          </cell>
          <cell r="R15" t="str">
            <v>Dr. Christina Whidya Utami, M.M.</v>
          </cell>
          <cell r="S15" t="str">
            <v>Dekan Fakultas Manajemen dan Bisnis</v>
          </cell>
        </row>
        <row r="16">
          <cell r="B16">
            <v>20170364</v>
          </cell>
          <cell r="C16" t="str">
            <v>I Gusti Bagus Yosia Wiryakusuma, S.Si., M.M.</v>
          </cell>
          <cell r="D16" t="str">
            <v>Full Time</v>
          </cell>
          <cell r="E16" t="str">
            <v>Dosen</v>
          </cell>
          <cell r="F16" t="str">
            <v>Sleman</v>
          </cell>
          <cell r="G16">
            <v>6</v>
          </cell>
          <cell r="H16" t="str">
            <v>March</v>
          </cell>
          <cell r="I16">
            <v>1992</v>
          </cell>
          <cell r="J16" t="str">
            <v>Dosen</v>
          </cell>
          <cell r="K16" t="str">
            <v>31 Januari 2019</v>
          </cell>
          <cell r="L16" t="str">
            <v>31 Juli 2019</v>
          </cell>
          <cell r="M16" t="str">
            <v>31 Januari 2019 sd 31 Juli 2019</v>
          </cell>
          <cell r="N16" t="str">
            <v>Kontrak II</v>
          </cell>
          <cell r="O16" t="str">
            <v>Dr. Christian Herdinata, S.E., M.M.</v>
          </cell>
          <cell r="P16" t="str">
            <v>Ketua Program Studi Manajemen - Kelas Reguler</v>
          </cell>
          <cell r="Q16" t="str">
            <v>Program Studi Manajemen - Kelas Reguler</v>
          </cell>
          <cell r="R16" t="str">
            <v>Dr. Christina Whidya Utami, M.M.</v>
          </cell>
          <cell r="S16" t="str">
            <v>Dekan Fakultas Manajemen dan Bisnis</v>
          </cell>
        </row>
        <row r="17">
          <cell r="B17">
            <v>20180198</v>
          </cell>
          <cell r="C17" t="str">
            <v>Maria Dini Gilang Prathivi, S.S., M.M.</v>
          </cell>
          <cell r="D17" t="str">
            <v>Full Time</v>
          </cell>
          <cell r="E17" t="str">
            <v>Dosen</v>
          </cell>
          <cell r="F17" t="str">
            <v>Malang</v>
          </cell>
          <cell r="G17">
            <v>27</v>
          </cell>
          <cell r="H17" t="str">
            <v>July</v>
          </cell>
          <cell r="I17">
            <v>1987</v>
          </cell>
          <cell r="J17" t="str">
            <v>Dosen</v>
          </cell>
          <cell r="K17" t="str">
            <v>2 Mei 2018</v>
          </cell>
          <cell r="L17" t="str">
            <v>31 Juli 2019</v>
          </cell>
          <cell r="M17" t="str">
            <v>2 Mei 2018 sd 31 Juli 2019</v>
          </cell>
          <cell r="N17" t="str">
            <v>Kontrak I</v>
          </cell>
          <cell r="O17" t="str">
            <v>Dr. Christian Herdinata, S.E., M.M.</v>
          </cell>
          <cell r="P17" t="str">
            <v>Ketua Program Studi Manajemen - Kelas Reguler</v>
          </cell>
          <cell r="Q17" t="str">
            <v>Program Studi Manajemen - Kelas Reguler</v>
          </cell>
          <cell r="R17" t="str">
            <v>Dr. Christina Whidya Utami, M.M.</v>
          </cell>
          <cell r="S17" t="str">
            <v>Dekan Fakultas Manajemen dan Bisnis</v>
          </cell>
        </row>
        <row r="18">
          <cell r="B18">
            <v>20180196</v>
          </cell>
          <cell r="C18" t="str">
            <v>Novensia Wongpy, S.Psi., M.Psi., Psikolog.</v>
          </cell>
          <cell r="D18" t="str">
            <v>Full Time</v>
          </cell>
          <cell r="E18" t="str">
            <v>Dosen</v>
          </cell>
          <cell r="F18" t="str">
            <v>Ujung Pandang</v>
          </cell>
          <cell r="G18">
            <v>17</v>
          </cell>
          <cell r="H18" t="str">
            <v>November</v>
          </cell>
          <cell r="I18">
            <v>1993</v>
          </cell>
          <cell r="J18" t="str">
            <v>Dosen</v>
          </cell>
          <cell r="K18" t="str">
            <v>2 Mei 2018</v>
          </cell>
          <cell r="L18" t="str">
            <v>31 Juli 2019</v>
          </cell>
          <cell r="M18" t="str">
            <v>2 Mei 2018 sd 31 Juli 2019</v>
          </cell>
          <cell r="N18" t="str">
            <v>Kontrak I</v>
          </cell>
          <cell r="O18" t="str">
            <v>Stefani Virlia, S.Psi., M.Psi., Psikolog.</v>
          </cell>
          <cell r="P18" t="str">
            <v>Ketua Program Studi Psikologi</v>
          </cell>
          <cell r="Q18" t="str">
            <v>Program Studi Psikologi</v>
          </cell>
          <cell r="R18" t="str">
            <v>Dr. Jimmy Ellya Kurniawan, S.Psi., M.Si., Psikolog.</v>
          </cell>
          <cell r="S18" t="str">
            <v>Dekan Fakultas Psikologi</v>
          </cell>
        </row>
        <row r="19">
          <cell r="B19">
            <v>20180449</v>
          </cell>
          <cell r="C19" t="str">
            <v>James Wijaya, S.Kom., M.Kom.</v>
          </cell>
          <cell r="D19" t="str">
            <v>Full Time</v>
          </cell>
          <cell r="E19" t="str">
            <v>Dosen</v>
          </cell>
          <cell r="F19" t="str">
            <v>Ujung Pandang</v>
          </cell>
          <cell r="G19">
            <v>4</v>
          </cell>
          <cell r="H19" t="str">
            <v>July</v>
          </cell>
          <cell r="I19">
            <v>1990</v>
          </cell>
          <cell r="J19" t="str">
            <v>Dosen</v>
          </cell>
          <cell r="K19" t="str">
            <v>12 Juli 2018</v>
          </cell>
          <cell r="L19" t="str">
            <v>31 Juli 2019</v>
          </cell>
          <cell r="M19" t="str">
            <v>12 Juli 2018 sd 31 Juli 2019</v>
          </cell>
          <cell r="N19" t="str">
            <v>Kontrak I</v>
          </cell>
          <cell r="O19" t="str">
            <v>Adi Suryaputra Paramita, S.Kom., M.Kom.</v>
          </cell>
          <cell r="P19" t="str">
            <v>Ketua Program Studi Sistem Infomasi</v>
          </cell>
          <cell r="Q19" t="str">
            <v>Program Studi Sistem Infomasi</v>
          </cell>
          <cell r="R19" t="str">
            <v>Dr. Trianggoro Wiradinata, S.T., M.Eng.Sc.</v>
          </cell>
          <cell r="S19" t="str">
            <v>Dekan Fakultas Teknologi Informasi</v>
          </cell>
        </row>
        <row r="20">
          <cell r="B20">
            <v>20180326</v>
          </cell>
          <cell r="C20" t="str">
            <v>Indri Reswari Mustika Peni, S.Tr.Keb.</v>
          </cell>
          <cell r="D20" t="str">
            <v>Full Time</v>
          </cell>
          <cell r="E20" t="str">
            <v>Laboran</v>
          </cell>
          <cell r="F20" t="str">
            <v>Sidoarjo</v>
          </cell>
          <cell r="G20">
            <v>26</v>
          </cell>
          <cell r="H20" t="str">
            <v>March</v>
          </cell>
          <cell r="I20">
            <v>1990</v>
          </cell>
          <cell r="J20" t="str">
            <v>Staf Laboran</v>
          </cell>
          <cell r="K20" t="str">
            <v>14 Mei 2018</v>
          </cell>
          <cell r="L20" t="str">
            <v>31 Juli 2019</v>
          </cell>
          <cell r="M20" t="str">
            <v>14 Mei 2018 sd 31 Juli 2019</v>
          </cell>
          <cell r="N20" t="str">
            <v>Kontrak I</v>
          </cell>
          <cell r="O20" t="str">
            <v>dr. Minarni Wartiningsih, M.Kes</v>
          </cell>
          <cell r="P20" t="str">
            <v xml:space="preserve">Ketua Program Studi Prodi Pendidikan Dokter Program Sarjana &amp; Prodi Profesi Dokter </v>
          </cell>
          <cell r="Q20" t="str">
            <v>Program Studi Kedokteran</v>
          </cell>
          <cell r="R20" t="str">
            <v>Dr. dr. Hudi Winarso, M.Kes., Sp.And.</v>
          </cell>
          <cell r="S20" t="str">
            <v>Dekan Fakultas Kedokteran</v>
          </cell>
        </row>
        <row r="21">
          <cell r="B21">
            <v>20180539</v>
          </cell>
          <cell r="C21" t="str">
            <v>Sherly Natalia, S.S.</v>
          </cell>
          <cell r="D21" t="str">
            <v>Full Time</v>
          </cell>
          <cell r="E21" t="str">
            <v>Staff</v>
          </cell>
          <cell r="F21" t="str">
            <v>Probolinggo</v>
          </cell>
          <cell r="G21">
            <v>25</v>
          </cell>
          <cell r="H21" t="str">
            <v>December</v>
          </cell>
          <cell r="I21">
            <v>1991</v>
          </cell>
          <cell r="J21" t="str">
            <v>Staf</v>
          </cell>
          <cell r="K21" t="str">
            <v>17 September 2018</v>
          </cell>
          <cell r="L21" t="str">
            <v>31 Juli 2019</v>
          </cell>
          <cell r="M21" t="str">
            <v>17 September 2018 sd 31 Juli 2019</v>
          </cell>
          <cell r="N21" t="str">
            <v>Kontrak I</v>
          </cell>
          <cell r="O21" t="str">
            <v>Suryani Halim  , S.E.</v>
          </cell>
          <cell r="P21" t="str">
            <v>Kepala Biro Jejaring dan Kerjasama (NNP)</v>
          </cell>
          <cell r="Q21" t="str">
            <v>Biro Jejaring dan Kerjasama (NNP)</v>
          </cell>
          <cell r="R21" t="str">
            <v>Ir. Yohanes Somawiharja, M.Sc.</v>
          </cell>
          <cell r="S21" t="str">
            <v>Wakil Rektor Bidang Kerjasama dan Pengembangan</v>
          </cell>
        </row>
        <row r="22">
          <cell r="B22">
            <v>20180325</v>
          </cell>
          <cell r="C22" t="str">
            <v>Solagratica Gloryandi, S.TP.</v>
          </cell>
          <cell r="D22" t="str">
            <v>Full Time</v>
          </cell>
          <cell r="E22" t="str">
            <v>Staff</v>
          </cell>
          <cell r="F22" t="str">
            <v>Kediri</v>
          </cell>
          <cell r="G22">
            <v>8</v>
          </cell>
          <cell r="H22" t="str">
            <v>May</v>
          </cell>
          <cell r="I22">
            <v>1993</v>
          </cell>
          <cell r="J22" t="str">
            <v>Staf Kemahasiswaan dan Alumni</v>
          </cell>
          <cell r="K22" t="str">
            <v>14 Mei 2018</v>
          </cell>
          <cell r="L22" t="str">
            <v>31 Juli 2019</v>
          </cell>
          <cell r="M22" t="str">
            <v>14 Mei 2018 sd 31 Juli 2019</v>
          </cell>
          <cell r="N22" t="str">
            <v>Kontrak I</v>
          </cell>
          <cell r="O22" t="str">
            <v>Ida Kristin Sianipar, S.Th.</v>
          </cell>
          <cell r="P22" t="str">
            <v>Kepala Biro Mahasiswa &amp; Alumni</v>
          </cell>
          <cell r="Q22" t="str">
            <v>Biro Mahasiswa dan Alumni (BMA)</v>
          </cell>
          <cell r="R22" t="str">
            <v>Prof. Dra. Jenny Lukito Setiawan, M.A., Ph.D., Psikolog.</v>
          </cell>
          <cell r="S22" t="str">
            <v>Wakil Rektor Bidang Akademik</v>
          </cell>
        </row>
        <row r="23">
          <cell r="B23">
            <v>20170435</v>
          </cell>
          <cell r="C23" t="str">
            <v>Devi Mawarni, S.Kom.</v>
          </cell>
          <cell r="D23" t="str">
            <v>Full Time</v>
          </cell>
          <cell r="E23" t="str">
            <v>Staff</v>
          </cell>
          <cell r="F23" t="str">
            <v>Jombang</v>
          </cell>
          <cell r="G23">
            <v>13</v>
          </cell>
          <cell r="H23" t="str">
            <v>December</v>
          </cell>
          <cell r="I23">
            <v>1994</v>
          </cell>
          <cell r="J23" t="str">
            <v>Staf Administrasi</v>
          </cell>
          <cell r="K23" t="str">
            <v>1 November 2017</v>
          </cell>
          <cell r="L23" t="str">
            <v>31 Juli 2019</v>
          </cell>
          <cell r="M23" t="str">
            <v>1 November 2017 sd 31 Juli 2019</v>
          </cell>
          <cell r="N23" t="str">
            <v>Kontrak II</v>
          </cell>
          <cell r="O23" t="str">
            <v>Melissa Christina, ST.</v>
          </cell>
          <cell r="P23" t="str">
            <v>Manajer Biro Pengelolaan Aset &amp; Gedung</v>
          </cell>
          <cell r="Q23" t="str">
            <v>Biro Pengelolaan Aset dan Gedung</v>
          </cell>
          <cell r="R23" t="str">
            <v>Laij Victor Effendi, S.E., M.M., CMA.</v>
          </cell>
          <cell r="S23" t="str">
            <v>Wakil Rektor Bidang Operasional</v>
          </cell>
          <cell r="T23" t="str">
            <v>Kurang tahan dalam menyelesaikan tugas yang mendetil, butuh ketelatenan, mempelajari, dan menganalisis</v>
          </cell>
        </row>
        <row r="24">
          <cell r="B24">
            <v>20180147</v>
          </cell>
          <cell r="C24" t="str">
            <v>Franata Rizki Aryanto, S.Kom.</v>
          </cell>
          <cell r="D24" t="str">
            <v>Full Time</v>
          </cell>
          <cell r="E24" t="str">
            <v>Staff</v>
          </cell>
          <cell r="F24" t="str">
            <v>Magetan</v>
          </cell>
          <cell r="G24">
            <v>20</v>
          </cell>
          <cell r="H24" t="str">
            <v>July</v>
          </cell>
          <cell r="I24">
            <v>1993</v>
          </cell>
          <cell r="J24" t="str">
            <v>Staf</v>
          </cell>
          <cell r="K24" t="str">
            <v>2 April 2018</v>
          </cell>
          <cell r="L24" t="str">
            <v>31 Juli 2019</v>
          </cell>
          <cell r="M24" t="str">
            <v>2 April 2018 sd 31 Juli 2019</v>
          </cell>
          <cell r="N24" t="str">
            <v>Kontrak I</v>
          </cell>
          <cell r="O24" t="str">
            <v>Lili Kristanti, S.S., M.Si.</v>
          </cell>
          <cell r="P24" t="str">
            <v>Dekan Fakultas Entrepreneurship &amp; Humaniora</v>
          </cell>
          <cell r="Q24" t="str">
            <v>Fakultas Entrepreneurship dan Humaniora</v>
          </cell>
          <cell r="R24" t="str">
            <v>Prof. Dra. Jenny Lukito Setiawan, M.A., Ph.D., Psikolog.</v>
          </cell>
          <cell r="S24" t="str">
            <v>Wakil Rektor Bidang Akademik</v>
          </cell>
        </row>
        <row r="25">
          <cell r="B25">
            <v>20180189</v>
          </cell>
          <cell r="C25" t="str">
            <v>Johanes Fabou Putera Koraag, S.Th., M.H.</v>
          </cell>
          <cell r="D25" t="str">
            <v>Full Time</v>
          </cell>
          <cell r="E25" t="str">
            <v>Staff</v>
          </cell>
          <cell r="F25" t="str">
            <v>Surabaya</v>
          </cell>
          <cell r="G25">
            <v>26</v>
          </cell>
          <cell r="H25" t="str">
            <v>October</v>
          </cell>
          <cell r="I25">
            <v>1974</v>
          </cell>
          <cell r="J25" t="str">
            <v>Koordinator Mata Kuliah Umum</v>
          </cell>
          <cell r="K25" t="str">
            <v>23 April 2018</v>
          </cell>
          <cell r="L25" t="str">
            <v>31 Juli 2019</v>
          </cell>
          <cell r="M25" t="str">
            <v>23 April 2018 sd 31 Juli 2019</v>
          </cell>
          <cell r="N25" t="str">
            <v>Kontrak I</v>
          </cell>
          <cell r="O25" t="str">
            <v>Lili Kristanti, S.S., M.Si.</v>
          </cell>
          <cell r="P25" t="str">
            <v>Dekan Fakultas Entrepreneurship &amp; Humaniora</v>
          </cell>
          <cell r="Q25" t="str">
            <v>Fakultas Entrepreneurship dan Humaniora</v>
          </cell>
          <cell r="R25" t="str">
            <v>Prof. Dra. Jenny Lukito Setiawan, M.A., Ph.D., Psikolog.</v>
          </cell>
          <cell r="S25" t="str">
            <v>Wakil Rektor Bidang Akademik</v>
          </cell>
        </row>
        <row r="26">
          <cell r="B26">
            <v>20180342</v>
          </cell>
          <cell r="C26" t="str">
            <v>Baswara Yua Kristama, S.Sosio., M.Sosio.</v>
          </cell>
          <cell r="D26" t="str">
            <v>Full Time</v>
          </cell>
          <cell r="E26" t="str">
            <v>Staff</v>
          </cell>
          <cell r="F26" t="str">
            <v>Jombang</v>
          </cell>
          <cell r="G26">
            <v>1</v>
          </cell>
          <cell r="H26" t="str">
            <v>September</v>
          </cell>
          <cell r="I26">
            <v>1985</v>
          </cell>
          <cell r="J26" t="str">
            <v>Staf</v>
          </cell>
          <cell r="K26" t="str">
            <v>4 Juni 2018</v>
          </cell>
          <cell r="L26" t="str">
            <v>31 Juli 2019</v>
          </cell>
          <cell r="M26" t="str">
            <v>4 Juni 2018 sd 31 Juli 2019</v>
          </cell>
          <cell r="N26" t="str">
            <v>Kontrak I</v>
          </cell>
          <cell r="O26" t="str">
            <v>Dr. Wirawan Endro Dwi Radianto, S.E., M.Sc.Ak.</v>
          </cell>
          <cell r="P26" t="str">
            <v>Kepala Lembaga Penelitian dan Pengabdian Masyarakat (LPPM)</v>
          </cell>
          <cell r="Q26" t="str">
            <v>Lembaga Penelitian dan Pengabdian Masyarakat (LPPM)</v>
          </cell>
          <cell r="R26" t="str">
            <v>Ir. Yohanes Somawiharja, M.Sc.</v>
          </cell>
          <cell r="S26" t="str">
            <v>Wakil Rektor Bidang Kerjasama dan Pengembangan</v>
          </cell>
        </row>
        <row r="27">
          <cell r="B27">
            <v>20170364</v>
          </cell>
          <cell r="C27" t="str">
            <v>I Gusti Bagus Yosia Wiryakusuma, S.Si., M.M.</v>
          </cell>
          <cell r="D27" t="str">
            <v>Full Time</v>
          </cell>
          <cell r="E27" t="str">
            <v>Staff</v>
          </cell>
          <cell r="F27" t="str">
            <v>Sleman</v>
          </cell>
          <cell r="G27">
            <v>6</v>
          </cell>
          <cell r="H27" t="str">
            <v>March</v>
          </cell>
          <cell r="I27">
            <v>1992</v>
          </cell>
          <cell r="J27" t="str">
            <v>Staff</v>
          </cell>
          <cell r="K27" t="str">
            <v>31 Januari 2019</v>
          </cell>
          <cell r="L27" t="str">
            <v>31 Juli 2019</v>
          </cell>
          <cell r="M27" t="str">
            <v>31 Januari 2019 sd 31 Juli 2019</v>
          </cell>
          <cell r="N27" t="str">
            <v>Kontrak II</v>
          </cell>
          <cell r="O27" t="str">
            <v>Lucky Cahyana Subadi, S.Pd., M.M.</v>
          </cell>
          <cell r="P27" t="str">
            <v>Kepala Pusat Pengembangan Pendidikan dan Aktivitas Instruksional</v>
          </cell>
          <cell r="Q27" t="str">
            <v>Pusat Pengembangan Pendidikan dan Aktivitas Instruksional</v>
          </cell>
          <cell r="R27" t="str">
            <v>Prof. Dra. Jenny Lukito Setiawan, M.A., Ph.D., Psikolog.</v>
          </cell>
          <cell r="S27" t="str">
            <v>Wakil Rektor bidang Akademik</v>
          </cell>
        </row>
        <row r="28">
          <cell r="B28">
            <v>20180343</v>
          </cell>
          <cell r="C28" t="str">
            <v>Septaria Luliana Rohani Dewi, S.E.</v>
          </cell>
          <cell r="D28" t="str">
            <v>Full Time</v>
          </cell>
          <cell r="E28" t="str">
            <v>Staff</v>
          </cell>
          <cell r="F28" t="str">
            <v>Yogyakarta</v>
          </cell>
          <cell r="G28">
            <v>23</v>
          </cell>
          <cell r="H28" t="str">
            <v>September</v>
          </cell>
          <cell r="I28">
            <v>1993</v>
          </cell>
          <cell r="J28" t="str">
            <v xml:space="preserve">Sekretaris </v>
          </cell>
          <cell r="K28" t="str">
            <v>4 Juni 2018</v>
          </cell>
          <cell r="L28" t="str">
            <v>31 Juli 2019</v>
          </cell>
          <cell r="M28" t="str">
            <v>4 Juni 2018 sd 31 Juli 2019</v>
          </cell>
          <cell r="N28" t="str">
            <v>Kontrak I</v>
          </cell>
          <cell r="O28" t="str">
            <v>Laij Victor Effendi, S.E., M.M., CMA.</v>
          </cell>
          <cell r="Q28" t="str">
            <v>Rektorat</v>
          </cell>
          <cell r="R28" t="str">
            <v>Ir. Yohanes Somawiharja, M.Sc.</v>
          </cell>
          <cell r="S28" t="str">
            <v>Rektor</v>
          </cell>
        </row>
        <row r="29">
          <cell r="B29">
            <v>20140299</v>
          </cell>
          <cell r="C29" t="str">
            <v>Matthew Lantz Blaylock, B.S., Ph.D., MP NLP.</v>
          </cell>
          <cell r="D29" t="str">
            <v>Full Time</v>
          </cell>
          <cell r="F29" t="str">
            <v>Alabama</v>
          </cell>
          <cell r="G29">
            <v>19</v>
          </cell>
          <cell r="H29" t="str">
            <v>November</v>
          </cell>
          <cell r="I29">
            <v>1976</v>
          </cell>
          <cell r="J29" t="str">
            <v>Staf</v>
          </cell>
          <cell r="K29" t="str">
            <v>2 September 2014</v>
          </cell>
          <cell r="L29" t="str">
            <v>31 Juli 2019</v>
          </cell>
          <cell r="M29" t="str">
            <v>2 September 2014 sd 31 Juli 2019</v>
          </cell>
          <cell r="O29" t="str">
            <v>Agustiono, S.E., M.Sc.</v>
          </cell>
          <cell r="P29" t="str">
            <v>Ketua Program Studi Manajemen - Kelas Internasional</v>
          </cell>
          <cell r="Q29" t="str">
            <v>Program Studi Manajemen - Kelas Internasional</v>
          </cell>
          <cell r="R29" t="str">
            <v>Dr. Christina Whidya Utami, M.M.</v>
          </cell>
          <cell r="S29" t="str">
            <v>Dekan Fakultas Manajemen dan Bisnis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2:J126"/>
  <sheetViews>
    <sheetView view="pageLayout" topLeftCell="A52" zoomScale="73" zoomScaleNormal="70" zoomScaleSheetLayoutView="56" zoomScalePageLayoutView="73" workbookViewId="0">
      <selection activeCell="D130" sqref="D130"/>
    </sheetView>
  </sheetViews>
  <sheetFormatPr defaultColWidth="9.140625" defaultRowHeight="15.75" x14ac:dyDescent="0.25"/>
  <cols>
    <col min="1" max="1" width="12.7109375" style="2" customWidth="1"/>
    <col min="2" max="2" width="20" style="2" customWidth="1"/>
    <col min="3" max="3" width="16.7109375" style="2" customWidth="1"/>
    <col min="4" max="4" width="43.5703125" style="2" customWidth="1"/>
    <col min="5" max="5" width="23.85546875" style="2" customWidth="1"/>
    <col min="6" max="6" width="24.5703125" style="2" customWidth="1"/>
    <col min="7" max="7" width="25.7109375" style="2" customWidth="1"/>
    <col min="8" max="8" width="23.5703125" style="2" customWidth="1"/>
    <col min="9" max="9" width="32" style="2" customWidth="1"/>
    <col min="10" max="10" width="9.7109375" style="1" bestFit="1" customWidth="1"/>
    <col min="11" max="16384" width="9.140625" style="2"/>
  </cols>
  <sheetData>
    <row r="2" spans="1:10" ht="18.75" x14ac:dyDescent="0.25">
      <c r="A2" s="163" t="s">
        <v>0</v>
      </c>
      <c r="B2" s="163"/>
      <c r="C2" s="163"/>
      <c r="D2" s="163"/>
      <c r="E2" s="163"/>
      <c r="F2" s="163"/>
      <c r="G2" s="163"/>
      <c r="H2" s="163"/>
      <c r="I2" s="163"/>
    </row>
    <row r="3" spans="1:10" x14ac:dyDescent="0.25">
      <c r="A3" s="3"/>
    </row>
    <row r="4" spans="1:10" x14ac:dyDescent="0.25">
      <c r="A4" s="164" t="s">
        <v>1</v>
      </c>
      <c r="B4" s="164"/>
      <c r="C4" s="164"/>
      <c r="D4" s="164"/>
      <c r="E4" s="164"/>
      <c r="F4" s="164"/>
      <c r="G4" s="164"/>
      <c r="H4" s="164"/>
      <c r="I4" s="164"/>
      <c r="J4" s="164"/>
    </row>
    <row r="5" spans="1:10" x14ac:dyDescent="0.25">
      <c r="A5" s="4"/>
    </row>
    <row r="6" spans="1:10" x14ac:dyDescent="0.25">
      <c r="A6" s="3" t="s">
        <v>2</v>
      </c>
    </row>
    <row r="7" spans="1:10" x14ac:dyDescent="0.25">
      <c r="B7" s="3" t="s">
        <v>3</v>
      </c>
      <c r="C7" s="156" t="s">
        <v>310</v>
      </c>
    </row>
    <row r="8" spans="1:10" x14ac:dyDescent="0.25">
      <c r="B8" s="3" t="s">
        <v>4</v>
      </c>
      <c r="C8" s="156"/>
    </row>
    <row r="9" spans="1:10" x14ac:dyDescent="0.25">
      <c r="B9" s="3" t="s">
        <v>5</v>
      </c>
      <c r="C9" s="156"/>
    </row>
    <row r="10" spans="1:10" x14ac:dyDescent="0.25">
      <c r="A10" s="3"/>
    </row>
    <row r="11" spans="1:10" x14ac:dyDescent="0.25">
      <c r="A11" s="3" t="s">
        <v>6</v>
      </c>
    </row>
    <row r="12" spans="1:10" x14ac:dyDescent="0.25">
      <c r="B12" s="3" t="s">
        <v>3</v>
      </c>
      <c r="C12" s="156" t="s">
        <v>311</v>
      </c>
    </row>
    <row r="13" spans="1:10" x14ac:dyDescent="0.25">
      <c r="B13" s="3" t="s">
        <v>7</v>
      </c>
      <c r="C13" s="157">
        <f>'[1]MASTER DATA PENGANGKATAN'!B3</f>
        <v>20180511</v>
      </c>
    </row>
    <row r="14" spans="1:10" x14ac:dyDescent="0.25">
      <c r="B14" s="3" t="s">
        <v>4</v>
      </c>
      <c r="C14" s="156" t="str">
        <f>VLOOKUP($C$13,'[1]MASTER DATA PENGANGKATAN'!$B$2:$T$29,9,0)</f>
        <v>Staf Layanan Akademik</v>
      </c>
    </row>
    <row r="15" spans="1:10" x14ac:dyDescent="0.25">
      <c r="B15" s="3" t="s">
        <v>8</v>
      </c>
      <c r="C15" s="156" t="str">
        <f>VLOOKUP($C$13,'[1]MASTER DATA PENGANGKATAN'!$B$2:$T$29,11,0)</f>
        <v>31 Juli 2019</v>
      </c>
    </row>
    <row r="16" spans="1:10" x14ac:dyDescent="0.25">
      <c r="B16" s="2" t="s">
        <v>9</v>
      </c>
      <c r="C16" s="156" t="str">
        <f>VLOOKUP($C$13,'[1]MASTER DATA PENGANGKATAN'!$B$2:$T$29,12,0)</f>
        <v>3 September 2018 sd 31 Juli 2019</v>
      </c>
    </row>
    <row r="18" spans="1:10" x14ac:dyDescent="0.25">
      <c r="A18" s="6" t="s">
        <v>10</v>
      </c>
    </row>
    <row r="20" spans="1:10" x14ac:dyDescent="0.25">
      <c r="A20" s="162" t="s">
        <v>11</v>
      </c>
      <c r="B20" s="162" t="s">
        <v>12</v>
      </c>
      <c r="C20" s="162" t="s">
        <v>13</v>
      </c>
      <c r="D20" s="162" t="s">
        <v>14</v>
      </c>
      <c r="E20" s="162" t="s">
        <v>15</v>
      </c>
      <c r="F20" s="162"/>
      <c r="G20" s="162"/>
      <c r="H20" s="162"/>
      <c r="I20" s="162"/>
      <c r="J20" s="160" t="s">
        <v>16</v>
      </c>
    </row>
    <row r="21" spans="1:10" x14ac:dyDescent="0.25">
      <c r="A21" s="162"/>
      <c r="B21" s="162"/>
      <c r="C21" s="162"/>
      <c r="D21" s="162"/>
      <c r="E21" s="7">
        <v>1</v>
      </c>
      <c r="F21" s="7">
        <v>2</v>
      </c>
      <c r="G21" s="7">
        <v>3</v>
      </c>
      <c r="H21" s="7">
        <v>4</v>
      </c>
      <c r="I21" s="7">
        <v>5</v>
      </c>
      <c r="J21" s="161"/>
    </row>
    <row r="22" spans="1:10" ht="126" x14ac:dyDescent="0.25">
      <c r="A22" s="8">
        <v>1</v>
      </c>
      <c r="B22" s="165" t="s">
        <v>305</v>
      </c>
      <c r="C22" s="137" t="s">
        <v>17</v>
      </c>
      <c r="D22" s="137" t="s">
        <v>18</v>
      </c>
      <c r="E22" s="138" t="s">
        <v>19</v>
      </c>
      <c r="F22" s="138" t="s">
        <v>20</v>
      </c>
      <c r="G22" s="138" t="s">
        <v>21</v>
      </c>
      <c r="H22" s="138" t="s">
        <v>22</v>
      </c>
      <c r="I22" s="138" t="s">
        <v>23</v>
      </c>
      <c r="J22" s="8"/>
    </row>
    <row r="23" spans="1:10" ht="283.5" x14ac:dyDescent="0.25">
      <c r="A23" s="8">
        <v>2</v>
      </c>
      <c r="B23" s="165"/>
      <c r="C23" s="137" t="s">
        <v>24</v>
      </c>
      <c r="D23" s="137" t="s">
        <v>25</v>
      </c>
      <c r="E23" s="138" t="s">
        <v>26</v>
      </c>
      <c r="F23" s="138" t="s">
        <v>27</v>
      </c>
      <c r="G23" s="138" t="s">
        <v>28</v>
      </c>
      <c r="H23" s="138" t="s">
        <v>29</v>
      </c>
      <c r="I23" s="138" t="s">
        <v>30</v>
      </c>
      <c r="J23" s="8"/>
    </row>
    <row r="24" spans="1:10" x14ac:dyDescent="0.25">
      <c r="A24" s="162" t="s">
        <v>11</v>
      </c>
      <c r="B24" s="162" t="s">
        <v>12</v>
      </c>
      <c r="C24" s="162" t="s">
        <v>13</v>
      </c>
      <c r="D24" s="162" t="s">
        <v>14</v>
      </c>
      <c r="E24" s="162" t="s">
        <v>15</v>
      </c>
      <c r="F24" s="162"/>
      <c r="G24" s="162"/>
      <c r="H24" s="162"/>
      <c r="I24" s="162"/>
      <c r="J24" s="160" t="s">
        <v>16</v>
      </c>
    </row>
    <row r="25" spans="1:10" x14ac:dyDescent="0.25">
      <c r="A25" s="162"/>
      <c r="B25" s="162"/>
      <c r="C25" s="162"/>
      <c r="D25" s="162"/>
      <c r="E25" s="7">
        <v>1</v>
      </c>
      <c r="F25" s="7">
        <v>2</v>
      </c>
      <c r="G25" s="7">
        <v>3</v>
      </c>
      <c r="H25" s="7">
        <v>4</v>
      </c>
      <c r="I25" s="7">
        <v>5</v>
      </c>
      <c r="J25" s="161"/>
    </row>
    <row r="26" spans="1:10" ht="110.25" x14ac:dyDescent="0.25">
      <c r="A26" s="8">
        <v>3</v>
      </c>
      <c r="B26" s="165" t="s">
        <v>305</v>
      </c>
      <c r="C26" s="137" t="s">
        <v>31</v>
      </c>
      <c r="D26" s="137" t="s">
        <v>32</v>
      </c>
      <c r="E26" s="138" t="s">
        <v>26</v>
      </c>
      <c r="F26" s="138" t="s">
        <v>27</v>
      </c>
      <c r="G26" s="138" t="s">
        <v>28</v>
      </c>
      <c r="H26" s="138" t="s">
        <v>29</v>
      </c>
      <c r="I26" s="138" t="s">
        <v>30</v>
      </c>
      <c r="J26" s="8"/>
    </row>
    <row r="27" spans="1:10" ht="110.25" x14ac:dyDescent="0.25">
      <c r="A27" s="8">
        <v>4</v>
      </c>
      <c r="B27" s="165"/>
      <c r="C27" s="137" t="s">
        <v>33</v>
      </c>
      <c r="D27" s="137" t="s">
        <v>34</v>
      </c>
      <c r="E27" s="138" t="s">
        <v>35</v>
      </c>
      <c r="F27" s="138" t="s">
        <v>36</v>
      </c>
      <c r="G27" s="138" t="s">
        <v>37</v>
      </c>
      <c r="H27" s="138" t="s">
        <v>38</v>
      </c>
      <c r="I27" s="138" t="s">
        <v>39</v>
      </c>
      <c r="J27" s="8"/>
    </row>
    <row r="28" spans="1:10" ht="189" x14ac:dyDescent="0.25">
      <c r="A28" s="8">
        <v>5</v>
      </c>
      <c r="B28" s="165"/>
      <c r="C28" s="137" t="s">
        <v>40</v>
      </c>
      <c r="D28" s="137" t="s">
        <v>41</v>
      </c>
      <c r="E28" s="138" t="s">
        <v>26</v>
      </c>
      <c r="F28" s="138" t="s">
        <v>27</v>
      </c>
      <c r="G28" s="138" t="s">
        <v>28</v>
      </c>
      <c r="H28" s="138" t="s">
        <v>42</v>
      </c>
      <c r="I28" s="138" t="s">
        <v>43</v>
      </c>
      <c r="J28" s="8"/>
    </row>
    <row r="29" spans="1:10" ht="252" x14ac:dyDescent="0.25">
      <c r="A29" s="8">
        <v>6</v>
      </c>
      <c r="B29" s="165"/>
      <c r="C29" s="137" t="s">
        <v>44</v>
      </c>
      <c r="D29" s="137" t="s">
        <v>45</v>
      </c>
      <c r="E29" s="138" t="s">
        <v>46</v>
      </c>
      <c r="F29" s="138" t="s">
        <v>47</v>
      </c>
      <c r="G29" s="138" t="s">
        <v>48</v>
      </c>
      <c r="H29" s="138" t="s">
        <v>49</v>
      </c>
      <c r="I29" s="138" t="s">
        <v>50</v>
      </c>
      <c r="J29" s="8"/>
    </row>
    <row r="30" spans="1:10" ht="15.6" customHeight="1" x14ac:dyDescent="0.25">
      <c r="A30" s="162" t="s">
        <v>11</v>
      </c>
      <c r="B30" s="162" t="s">
        <v>12</v>
      </c>
      <c r="C30" s="162" t="s">
        <v>13</v>
      </c>
      <c r="D30" s="162" t="s">
        <v>14</v>
      </c>
      <c r="E30" s="162" t="s">
        <v>15</v>
      </c>
      <c r="F30" s="162"/>
      <c r="G30" s="162"/>
      <c r="H30" s="162"/>
      <c r="I30" s="162"/>
      <c r="J30" s="160" t="s">
        <v>16</v>
      </c>
    </row>
    <row r="31" spans="1:10" ht="15.6" customHeight="1" x14ac:dyDescent="0.25">
      <c r="A31" s="162"/>
      <c r="B31" s="162"/>
      <c r="C31" s="162"/>
      <c r="D31" s="162"/>
      <c r="E31" s="7">
        <v>1</v>
      </c>
      <c r="F31" s="7">
        <v>2</v>
      </c>
      <c r="G31" s="7">
        <v>3</v>
      </c>
      <c r="H31" s="7">
        <v>4</v>
      </c>
      <c r="I31" s="7">
        <v>5</v>
      </c>
      <c r="J31" s="161"/>
    </row>
    <row r="32" spans="1:10" ht="220.5" x14ac:dyDescent="0.25">
      <c r="A32" s="8">
        <v>7</v>
      </c>
      <c r="B32" s="165" t="s">
        <v>305</v>
      </c>
      <c r="C32" s="137" t="s">
        <v>51</v>
      </c>
      <c r="D32" s="137" t="s">
        <v>52</v>
      </c>
      <c r="E32" s="138" t="s">
        <v>53</v>
      </c>
      <c r="F32" s="138" t="s">
        <v>26</v>
      </c>
      <c r="G32" s="138" t="s">
        <v>27</v>
      </c>
      <c r="H32" s="138" t="s">
        <v>28</v>
      </c>
      <c r="I32" s="138" t="s">
        <v>42</v>
      </c>
      <c r="J32" s="8"/>
    </row>
    <row r="33" spans="1:10" s="11" customFormat="1" ht="126" x14ac:dyDescent="0.25">
      <c r="A33" s="8">
        <v>8</v>
      </c>
      <c r="B33" s="165"/>
      <c r="C33" s="137" t="s">
        <v>54</v>
      </c>
      <c r="D33" s="137" t="s">
        <v>55</v>
      </c>
      <c r="E33" s="138" t="s">
        <v>56</v>
      </c>
      <c r="F33" s="138" t="s">
        <v>57</v>
      </c>
      <c r="G33" s="138" t="s">
        <v>58</v>
      </c>
      <c r="H33" s="138" t="s">
        <v>59</v>
      </c>
      <c r="I33" s="138" t="s">
        <v>60</v>
      </c>
      <c r="J33" s="8"/>
    </row>
    <row r="34" spans="1:10" ht="126" x14ac:dyDescent="0.25">
      <c r="A34" s="8">
        <v>9</v>
      </c>
      <c r="B34" s="165"/>
      <c r="C34" s="137" t="s">
        <v>61</v>
      </c>
      <c r="D34" s="137" t="s">
        <v>62</v>
      </c>
      <c r="E34" s="138" t="s">
        <v>63</v>
      </c>
      <c r="F34" s="138" t="s">
        <v>64</v>
      </c>
      <c r="G34" s="138" t="s">
        <v>65</v>
      </c>
      <c r="H34" s="138" t="s">
        <v>66</v>
      </c>
      <c r="I34" s="138" t="s">
        <v>67</v>
      </c>
      <c r="J34" s="8"/>
    </row>
    <row r="35" spans="1:10" ht="78.75" x14ac:dyDescent="0.25">
      <c r="A35" s="8">
        <v>10</v>
      </c>
      <c r="B35" s="165"/>
      <c r="C35" s="137" t="s">
        <v>68</v>
      </c>
      <c r="D35" s="137" t="s">
        <v>69</v>
      </c>
      <c r="E35" s="138" t="s">
        <v>70</v>
      </c>
      <c r="F35" s="138" t="s">
        <v>71</v>
      </c>
      <c r="G35" s="138" t="s">
        <v>72</v>
      </c>
      <c r="H35" s="138" t="s">
        <v>73</v>
      </c>
      <c r="I35" s="138" t="s">
        <v>74</v>
      </c>
      <c r="J35" s="8"/>
    </row>
    <row r="36" spans="1:10" ht="78.75" x14ac:dyDescent="0.25">
      <c r="A36" s="8">
        <v>11</v>
      </c>
      <c r="B36" s="12" t="s">
        <v>75</v>
      </c>
      <c r="C36" s="9" t="s">
        <v>76</v>
      </c>
      <c r="D36" s="10" t="s">
        <v>77</v>
      </c>
      <c r="E36" s="138" t="s">
        <v>78</v>
      </c>
      <c r="F36" s="138" t="s">
        <v>79</v>
      </c>
      <c r="G36" s="138" t="s">
        <v>80</v>
      </c>
      <c r="H36" s="138" t="s">
        <v>81</v>
      </c>
      <c r="I36" s="138" t="s">
        <v>82</v>
      </c>
      <c r="J36" s="8"/>
    </row>
    <row r="37" spans="1:10" x14ac:dyDescent="0.25">
      <c r="A37" s="13"/>
      <c r="B37" s="14"/>
      <c r="C37" s="15"/>
      <c r="D37" s="16" t="s">
        <v>83</v>
      </c>
      <c r="E37" s="17"/>
      <c r="F37" s="17"/>
      <c r="G37" s="17"/>
      <c r="H37" s="17"/>
      <c r="I37" s="17"/>
      <c r="J37" s="8"/>
    </row>
    <row r="38" spans="1:10" x14ac:dyDescent="0.25">
      <c r="A38" s="37"/>
      <c r="B38" s="38"/>
      <c r="C38" s="39"/>
      <c r="D38" s="16" t="s">
        <v>16</v>
      </c>
      <c r="E38" s="155"/>
      <c r="F38" s="17"/>
      <c r="G38" s="17"/>
      <c r="H38" s="17"/>
      <c r="I38" s="17"/>
      <c r="J38" s="24"/>
    </row>
    <row r="39" spans="1:10" x14ac:dyDescent="0.25">
      <c r="A39" s="37"/>
      <c r="B39" s="38"/>
      <c r="C39" s="37"/>
      <c r="D39" s="37"/>
      <c r="E39" s="154"/>
      <c r="H39" s="23"/>
      <c r="I39" s="23"/>
      <c r="J39" s="24"/>
    </row>
    <row r="40" spans="1:10" x14ac:dyDescent="0.25">
      <c r="A40" s="176" t="s">
        <v>11</v>
      </c>
      <c r="B40" s="176" t="s">
        <v>12</v>
      </c>
      <c r="C40" s="176" t="s">
        <v>13</v>
      </c>
      <c r="D40" s="176" t="s">
        <v>14</v>
      </c>
      <c r="E40" s="162" t="s">
        <v>15</v>
      </c>
      <c r="F40" s="162"/>
      <c r="G40" s="162"/>
      <c r="H40" s="162"/>
      <c r="I40" s="162"/>
      <c r="J40" s="178" t="s">
        <v>16</v>
      </c>
    </row>
    <row r="41" spans="1:10" x14ac:dyDescent="0.25">
      <c r="A41" s="176"/>
      <c r="B41" s="176"/>
      <c r="C41" s="176"/>
      <c r="D41" s="176"/>
      <c r="E41" s="25">
        <v>1</v>
      </c>
      <c r="F41" s="25">
        <v>2</v>
      </c>
      <c r="G41" s="25">
        <v>3</v>
      </c>
      <c r="H41" s="25">
        <v>4</v>
      </c>
      <c r="I41" s="25">
        <v>5</v>
      </c>
      <c r="J41" s="178"/>
    </row>
    <row r="42" spans="1:10" ht="47.25" x14ac:dyDescent="0.25">
      <c r="A42" s="8">
        <v>1</v>
      </c>
      <c r="B42" s="179" t="s">
        <v>84</v>
      </c>
      <c r="C42" s="26" t="s">
        <v>85</v>
      </c>
      <c r="D42" s="27" t="s">
        <v>86</v>
      </c>
      <c r="E42" s="106" t="s">
        <v>87</v>
      </c>
      <c r="F42" s="106" t="s">
        <v>88</v>
      </c>
      <c r="G42" s="106" t="s">
        <v>89</v>
      </c>
      <c r="H42" s="106" t="s">
        <v>90</v>
      </c>
      <c r="I42" s="106" t="s">
        <v>91</v>
      </c>
      <c r="J42" s="8"/>
    </row>
    <row r="43" spans="1:10" ht="47.25" x14ac:dyDescent="0.25">
      <c r="A43" s="8">
        <v>2</v>
      </c>
      <c r="B43" s="179"/>
      <c r="C43" s="26" t="s">
        <v>92</v>
      </c>
      <c r="D43" s="27" t="s">
        <v>93</v>
      </c>
      <c r="E43" s="106" t="s">
        <v>87</v>
      </c>
      <c r="F43" s="106" t="s">
        <v>88</v>
      </c>
      <c r="G43" s="106" t="s">
        <v>89</v>
      </c>
      <c r="H43" s="106" t="s">
        <v>90</v>
      </c>
      <c r="I43" s="106" t="s">
        <v>91</v>
      </c>
      <c r="J43" s="8"/>
    </row>
    <row r="44" spans="1:10" ht="47.25" x14ac:dyDescent="0.25">
      <c r="A44" s="8">
        <v>3</v>
      </c>
      <c r="B44" s="180" t="s">
        <v>94</v>
      </c>
      <c r="C44" s="26" t="s">
        <v>95</v>
      </c>
      <c r="D44" s="27" t="s">
        <v>96</v>
      </c>
      <c r="E44" s="106" t="s">
        <v>87</v>
      </c>
      <c r="F44" s="106" t="s">
        <v>88</v>
      </c>
      <c r="G44" s="106" t="s">
        <v>89</v>
      </c>
      <c r="H44" s="106" t="s">
        <v>90</v>
      </c>
      <c r="I44" s="106" t="s">
        <v>91</v>
      </c>
      <c r="J44" s="8"/>
    </row>
    <row r="45" spans="1:10" ht="47.25" x14ac:dyDescent="0.25">
      <c r="A45" s="8">
        <v>4</v>
      </c>
      <c r="B45" s="181"/>
      <c r="C45" s="26" t="s">
        <v>97</v>
      </c>
      <c r="D45" s="27" t="s">
        <v>98</v>
      </c>
      <c r="E45" s="106" t="s">
        <v>87</v>
      </c>
      <c r="F45" s="106" t="s">
        <v>88</v>
      </c>
      <c r="G45" s="106" t="s">
        <v>89</v>
      </c>
      <c r="H45" s="106" t="s">
        <v>90</v>
      </c>
      <c r="I45" s="106" t="s">
        <v>91</v>
      </c>
      <c r="J45" s="8"/>
    </row>
    <row r="46" spans="1:10" ht="78.75" x14ac:dyDescent="0.25">
      <c r="A46" s="8">
        <v>5</v>
      </c>
      <c r="B46" s="181"/>
      <c r="C46" s="26" t="s">
        <v>99</v>
      </c>
      <c r="D46" s="27" t="s">
        <v>100</v>
      </c>
      <c r="E46" s="106" t="s">
        <v>87</v>
      </c>
      <c r="F46" s="106" t="s">
        <v>88</v>
      </c>
      <c r="G46" s="106" t="s">
        <v>89</v>
      </c>
      <c r="H46" s="106" t="s">
        <v>90</v>
      </c>
      <c r="I46" s="106" t="s">
        <v>91</v>
      </c>
      <c r="J46" s="8"/>
    </row>
    <row r="47" spans="1:10" ht="63" x14ac:dyDescent="0.25">
      <c r="A47" s="8">
        <v>6</v>
      </c>
      <c r="B47" s="181"/>
      <c r="C47" s="26" t="s">
        <v>101</v>
      </c>
      <c r="D47" s="27" t="s">
        <v>102</v>
      </c>
      <c r="E47" s="106" t="s">
        <v>87</v>
      </c>
      <c r="F47" s="106" t="s">
        <v>88</v>
      </c>
      <c r="G47" s="106" t="s">
        <v>89</v>
      </c>
      <c r="H47" s="106" t="s">
        <v>90</v>
      </c>
      <c r="I47" s="106" t="s">
        <v>91</v>
      </c>
      <c r="J47" s="8"/>
    </row>
    <row r="48" spans="1:10" ht="47.25" x14ac:dyDescent="0.25">
      <c r="A48" s="8">
        <v>7</v>
      </c>
      <c r="B48" s="181"/>
      <c r="C48" s="26" t="s">
        <v>103</v>
      </c>
      <c r="D48" s="27" t="s">
        <v>104</v>
      </c>
      <c r="E48" s="106" t="s">
        <v>87</v>
      </c>
      <c r="F48" s="106" t="s">
        <v>88</v>
      </c>
      <c r="G48" s="106" t="s">
        <v>89</v>
      </c>
      <c r="H48" s="106" t="s">
        <v>90</v>
      </c>
      <c r="I48" s="106" t="s">
        <v>91</v>
      </c>
      <c r="J48" s="8"/>
    </row>
    <row r="49" spans="1:10" ht="47.25" x14ac:dyDescent="0.25">
      <c r="A49" s="8">
        <v>8</v>
      </c>
      <c r="B49" s="181"/>
      <c r="C49" s="26" t="s">
        <v>105</v>
      </c>
      <c r="D49" s="27" t="s">
        <v>106</v>
      </c>
      <c r="E49" s="106" t="s">
        <v>87</v>
      </c>
      <c r="F49" s="106" t="s">
        <v>88</v>
      </c>
      <c r="G49" s="106" t="s">
        <v>89</v>
      </c>
      <c r="H49" s="106" t="s">
        <v>90</v>
      </c>
      <c r="I49" s="106" t="s">
        <v>91</v>
      </c>
      <c r="J49" s="8"/>
    </row>
    <row r="50" spans="1:10" ht="47.25" x14ac:dyDescent="0.25">
      <c r="A50" s="8">
        <v>9</v>
      </c>
      <c r="B50" s="181"/>
      <c r="C50" s="26" t="s">
        <v>107</v>
      </c>
      <c r="D50" s="27" t="s">
        <v>108</v>
      </c>
      <c r="E50" s="106" t="s">
        <v>87</v>
      </c>
      <c r="F50" s="106" t="s">
        <v>88</v>
      </c>
      <c r="G50" s="106" t="s">
        <v>89</v>
      </c>
      <c r="H50" s="106" t="s">
        <v>90</v>
      </c>
      <c r="I50" s="106" t="s">
        <v>91</v>
      </c>
      <c r="J50" s="8"/>
    </row>
    <row r="51" spans="1:10" ht="63" x14ac:dyDescent="0.25">
      <c r="A51" s="8">
        <v>10</v>
      </c>
      <c r="B51" s="182"/>
      <c r="C51" s="26" t="s">
        <v>109</v>
      </c>
      <c r="D51" s="27" t="s">
        <v>110</v>
      </c>
      <c r="E51" s="106" t="s">
        <v>87</v>
      </c>
      <c r="F51" s="106" t="s">
        <v>88</v>
      </c>
      <c r="G51" s="106" t="s">
        <v>89</v>
      </c>
      <c r="H51" s="106" t="s">
        <v>90</v>
      </c>
      <c r="I51" s="106" t="s">
        <v>91</v>
      </c>
      <c r="J51" s="8"/>
    </row>
    <row r="52" spans="1:10" ht="78.75" x14ac:dyDescent="0.25">
      <c r="A52" s="8">
        <v>11</v>
      </c>
      <c r="B52" s="28" t="s">
        <v>111</v>
      </c>
      <c r="C52" s="26" t="s">
        <v>112</v>
      </c>
      <c r="D52" s="27" t="s">
        <v>113</v>
      </c>
      <c r="E52" s="106" t="s">
        <v>87</v>
      </c>
      <c r="F52" s="106" t="s">
        <v>88</v>
      </c>
      <c r="G52" s="106" t="s">
        <v>89</v>
      </c>
      <c r="H52" s="106" t="s">
        <v>90</v>
      </c>
      <c r="I52" s="106" t="s">
        <v>91</v>
      </c>
      <c r="J52" s="8"/>
    </row>
    <row r="53" spans="1:10" ht="47.25" x14ac:dyDescent="0.25">
      <c r="A53" s="8">
        <v>12</v>
      </c>
      <c r="B53" s="179" t="s">
        <v>114</v>
      </c>
      <c r="C53" s="26" t="s">
        <v>115</v>
      </c>
      <c r="D53" s="27" t="s">
        <v>116</v>
      </c>
      <c r="E53" s="106" t="s">
        <v>87</v>
      </c>
      <c r="F53" s="106" t="s">
        <v>88</v>
      </c>
      <c r="G53" s="106" t="s">
        <v>89</v>
      </c>
      <c r="H53" s="106" t="s">
        <v>90</v>
      </c>
      <c r="I53" s="106" t="s">
        <v>91</v>
      </c>
      <c r="J53" s="8"/>
    </row>
    <row r="54" spans="1:10" ht="47.25" x14ac:dyDescent="0.25">
      <c r="A54" s="8">
        <v>13</v>
      </c>
      <c r="B54" s="179"/>
      <c r="C54" s="26" t="s">
        <v>117</v>
      </c>
      <c r="D54" s="29" t="s">
        <v>118</v>
      </c>
      <c r="E54" s="106" t="s">
        <v>87</v>
      </c>
      <c r="F54" s="106" t="s">
        <v>88</v>
      </c>
      <c r="G54" s="106" t="s">
        <v>89</v>
      </c>
      <c r="H54" s="106" t="s">
        <v>90</v>
      </c>
      <c r="I54" s="106" t="s">
        <v>91</v>
      </c>
      <c r="J54" s="8"/>
    </row>
    <row r="55" spans="1:10" x14ac:dyDescent="0.25">
      <c r="A55" s="13"/>
      <c r="B55" s="14"/>
      <c r="C55" s="15"/>
      <c r="D55" s="16" t="s">
        <v>83</v>
      </c>
      <c r="E55" s="30"/>
      <c r="F55" s="30"/>
      <c r="G55" s="30"/>
      <c r="H55" s="30"/>
      <c r="I55" s="30"/>
      <c r="J55" s="8"/>
    </row>
    <row r="56" spans="1:10" x14ac:dyDescent="0.25">
      <c r="A56" s="37"/>
      <c r="B56" s="38"/>
      <c r="C56" s="39"/>
      <c r="D56" s="16" t="s">
        <v>16</v>
      </c>
      <c r="E56" s="155"/>
      <c r="F56" s="17"/>
      <c r="G56" s="17"/>
      <c r="H56" s="17"/>
      <c r="I56" s="17"/>
      <c r="J56" s="8"/>
    </row>
    <row r="57" spans="1:10" x14ac:dyDescent="0.25">
      <c r="A57" s="37"/>
      <c r="B57" s="38"/>
      <c r="C57" s="37"/>
      <c r="D57" s="37"/>
      <c r="E57" s="154"/>
    </row>
    <row r="58" spans="1:10" x14ac:dyDescent="0.25">
      <c r="A58" s="162" t="s">
        <v>11</v>
      </c>
      <c r="B58" s="162" t="s">
        <v>12</v>
      </c>
      <c r="C58" s="162" t="s">
        <v>13</v>
      </c>
      <c r="D58" s="162" t="s">
        <v>14</v>
      </c>
      <c r="E58" s="162" t="s">
        <v>15</v>
      </c>
      <c r="F58" s="162"/>
      <c r="G58" s="162"/>
      <c r="H58" s="162"/>
      <c r="I58" s="162"/>
      <c r="J58" s="162" t="s">
        <v>16</v>
      </c>
    </row>
    <row r="59" spans="1:10" x14ac:dyDescent="0.25">
      <c r="A59" s="162"/>
      <c r="B59" s="162"/>
      <c r="C59" s="162"/>
      <c r="D59" s="162"/>
      <c r="E59" s="31">
        <v>1</v>
      </c>
      <c r="F59" s="31">
        <v>2</v>
      </c>
      <c r="G59" s="31">
        <v>3</v>
      </c>
      <c r="H59" s="31">
        <v>4</v>
      </c>
      <c r="I59" s="31">
        <v>5</v>
      </c>
      <c r="J59" s="162"/>
    </row>
    <row r="60" spans="1:10" s="3" customFormat="1" x14ac:dyDescent="0.25">
      <c r="A60" s="8">
        <v>1</v>
      </c>
      <c r="B60" s="159" t="s">
        <v>119</v>
      </c>
      <c r="C60" s="33" t="s">
        <v>120</v>
      </c>
      <c r="D60" s="152" t="s">
        <v>121</v>
      </c>
      <c r="E60" s="151" t="s">
        <v>122</v>
      </c>
      <c r="F60" s="151" t="s">
        <v>123</v>
      </c>
      <c r="G60" s="151" t="s">
        <v>124</v>
      </c>
      <c r="H60" s="151" t="s">
        <v>125</v>
      </c>
      <c r="I60" s="151" t="s">
        <v>126</v>
      </c>
      <c r="J60" s="8"/>
    </row>
    <row r="61" spans="1:10" x14ac:dyDescent="0.25">
      <c r="A61" s="13"/>
      <c r="B61" s="14"/>
      <c r="C61" s="15"/>
      <c r="D61" s="16" t="s">
        <v>83</v>
      </c>
      <c r="E61" s="35"/>
      <c r="F61" s="35"/>
      <c r="G61" s="35"/>
      <c r="H61" s="35"/>
      <c r="I61" s="35"/>
      <c r="J61" s="36"/>
    </row>
    <row r="62" spans="1:10" x14ac:dyDescent="0.25">
      <c r="A62" s="37"/>
      <c r="B62" s="38"/>
      <c r="C62" s="39"/>
      <c r="D62" s="16" t="s">
        <v>16</v>
      </c>
      <c r="E62" s="40">
        <f>10%*J61</f>
        <v>0</v>
      </c>
      <c r="F62" s="22"/>
      <c r="G62" s="23"/>
      <c r="H62" s="23"/>
      <c r="I62" s="23"/>
      <c r="J62" s="24"/>
    </row>
    <row r="63" spans="1:10" x14ac:dyDescent="0.25">
      <c r="B63" s="41"/>
      <c r="C63" s="42"/>
      <c r="D63" s="43" t="s">
        <v>127</v>
      </c>
      <c r="E63" s="44">
        <f>E38+E56+E62</f>
        <v>0</v>
      </c>
    </row>
    <row r="64" spans="1:10" x14ac:dyDescent="0.25">
      <c r="B64" s="45"/>
      <c r="C64" s="42"/>
      <c r="D64" s="43" t="s">
        <v>128</v>
      </c>
      <c r="E64" s="33"/>
    </row>
    <row r="65" spans="1:7" x14ac:dyDescent="0.25">
      <c r="A65" s="46"/>
      <c r="B65" s="46"/>
      <c r="C65" s="46"/>
      <c r="D65" s="46"/>
    </row>
    <row r="66" spans="1:7" x14ac:dyDescent="0.25">
      <c r="A66" s="183" t="s">
        <v>129</v>
      </c>
      <c r="B66" s="183"/>
      <c r="C66" s="46"/>
      <c r="D66" s="46"/>
    </row>
    <row r="67" spans="1:7" x14ac:dyDescent="0.25">
      <c r="A67" s="48" t="s">
        <v>83</v>
      </c>
      <c r="B67" s="48" t="s">
        <v>13</v>
      </c>
      <c r="C67" s="48" t="s">
        <v>130</v>
      </c>
    </row>
    <row r="68" spans="1:7" x14ac:dyDescent="0.25">
      <c r="A68" s="35" t="s">
        <v>131</v>
      </c>
      <c r="B68" s="35" t="s">
        <v>132</v>
      </c>
      <c r="C68" s="35" t="s">
        <v>133</v>
      </c>
    </row>
    <row r="69" spans="1:7" x14ac:dyDescent="0.25">
      <c r="A69" s="35" t="s">
        <v>134</v>
      </c>
      <c r="B69" s="35" t="s">
        <v>135</v>
      </c>
      <c r="C69" s="35" t="s">
        <v>136</v>
      </c>
    </row>
    <row r="70" spans="1:7" x14ac:dyDescent="0.25">
      <c r="A70" s="35" t="s">
        <v>137</v>
      </c>
      <c r="B70" s="35" t="s">
        <v>138</v>
      </c>
      <c r="C70" s="35" t="s">
        <v>139</v>
      </c>
    </row>
    <row r="71" spans="1:7" x14ac:dyDescent="0.25">
      <c r="A71" s="35" t="s">
        <v>140</v>
      </c>
      <c r="B71" s="35" t="s">
        <v>141</v>
      </c>
      <c r="C71" s="35" t="s">
        <v>142</v>
      </c>
    </row>
    <row r="72" spans="1:7" x14ac:dyDescent="0.25">
      <c r="A72" s="35" t="s">
        <v>143</v>
      </c>
      <c r="B72" s="35" t="s">
        <v>144</v>
      </c>
      <c r="C72" s="35" t="s">
        <v>145</v>
      </c>
    </row>
    <row r="73" spans="1:7" x14ac:dyDescent="0.25">
      <c r="A73" s="35" t="s">
        <v>146</v>
      </c>
      <c r="B73" s="35" t="s">
        <v>147</v>
      </c>
      <c r="C73" s="35" t="s">
        <v>148</v>
      </c>
    </row>
    <row r="74" spans="1:7" x14ac:dyDescent="0.25">
      <c r="A74" s="35" t="s">
        <v>149</v>
      </c>
      <c r="B74" s="35" t="s">
        <v>150</v>
      </c>
      <c r="C74" s="35" t="s">
        <v>151</v>
      </c>
    </row>
    <row r="75" spans="1:7" x14ac:dyDescent="0.25">
      <c r="A75" s="46"/>
      <c r="B75" s="46"/>
      <c r="C75" s="46"/>
      <c r="D75" s="46"/>
    </row>
    <row r="76" spans="1:7" x14ac:dyDescent="0.25">
      <c r="A76" s="167" t="s">
        <v>152</v>
      </c>
      <c r="B76" s="167"/>
      <c r="C76" s="167"/>
      <c r="D76" s="167"/>
      <c r="E76" s="167"/>
      <c r="F76" s="167"/>
      <c r="G76" s="167"/>
    </row>
    <row r="77" spans="1:7" x14ac:dyDescent="0.25">
      <c r="A77" s="168"/>
      <c r="B77" s="168"/>
      <c r="C77" s="168"/>
      <c r="D77" s="168"/>
      <c r="E77" s="168"/>
      <c r="F77" s="168"/>
      <c r="G77" s="168"/>
    </row>
    <row r="78" spans="1:7" x14ac:dyDescent="0.25">
      <c r="A78" s="168"/>
      <c r="B78" s="168"/>
      <c r="C78" s="168"/>
      <c r="D78" s="168"/>
      <c r="E78" s="168"/>
      <c r="F78" s="168"/>
      <c r="G78" s="168"/>
    </row>
    <row r="79" spans="1:7" x14ac:dyDescent="0.25">
      <c r="A79" s="168"/>
      <c r="B79" s="168"/>
      <c r="C79" s="168"/>
      <c r="D79" s="168"/>
      <c r="E79" s="168"/>
      <c r="F79" s="168"/>
      <c r="G79" s="168"/>
    </row>
    <row r="80" spans="1:7" x14ac:dyDescent="0.25">
      <c r="A80" s="168"/>
      <c r="B80" s="168"/>
      <c r="C80" s="168"/>
      <c r="D80" s="168"/>
      <c r="E80" s="168"/>
      <c r="F80" s="168"/>
      <c r="G80" s="168"/>
    </row>
    <row r="81" spans="1:7" x14ac:dyDescent="0.25">
      <c r="A81" s="168"/>
      <c r="B81" s="168"/>
      <c r="C81" s="168"/>
      <c r="D81" s="168"/>
      <c r="E81" s="168"/>
      <c r="F81" s="168"/>
      <c r="G81" s="168"/>
    </row>
    <row r="82" spans="1:7" x14ac:dyDescent="0.25">
      <c r="A82" s="168"/>
      <c r="B82" s="168"/>
      <c r="C82" s="168"/>
      <c r="D82" s="168"/>
      <c r="E82" s="168"/>
      <c r="F82" s="168"/>
      <c r="G82" s="168"/>
    </row>
    <row r="83" spans="1:7" x14ac:dyDescent="0.25">
      <c r="A83" s="49"/>
      <c r="B83" s="49"/>
      <c r="C83" s="49"/>
      <c r="D83" s="49"/>
      <c r="E83" s="49"/>
      <c r="F83" s="49"/>
      <c r="G83" s="49"/>
    </row>
    <row r="84" spans="1:7" x14ac:dyDescent="0.25">
      <c r="A84" s="169" t="s">
        <v>153</v>
      </c>
      <c r="B84" s="170"/>
      <c r="C84" s="170"/>
      <c r="D84" s="170"/>
      <c r="E84" s="170"/>
      <c r="F84" s="170"/>
      <c r="G84" s="171"/>
    </row>
    <row r="85" spans="1:7" x14ac:dyDescent="0.25">
      <c r="A85" s="51" t="s">
        <v>11</v>
      </c>
      <c r="B85" s="172" t="s">
        <v>154</v>
      </c>
      <c r="C85" s="173"/>
      <c r="D85" s="174"/>
      <c r="E85" s="52" t="s">
        <v>155</v>
      </c>
      <c r="F85" s="52" t="s">
        <v>156</v>
      </c>
      <c r="G85" s="52" t="s">
        <v>157</v>
      </c>
    </row>
    <row r="86" spans="1:7" x14ac:dyDescent="0.25">
      <c r="A86" s="53"/>
      <c r="B86" s="175"/>
      <c r="C86" s="175"/>
      <c r="D86" s="175"/>
      <c r="E86" s="54"/>
      <c r="F86" s="54"/>
      <c r="G86" s="54"/>
    </row>
    <row r="87" spans="1:7" x14ac:dyDescent="0.25">
      <c r="A87" s="35"/>
      <c r="B87" s="166"/>
      <c r="C87" s="166"/>
      <c r="D87" s="166"/>
      <c r="E87" s="55"/>
      <c r="F87" s="55"/>
      <c r="G87" s="55"/>
    </row>
    <row r="88" spans="1:7" x14ac:dyDescent="0.25">
      <c r="A88" s="53"/>
      <c r="B88" s="175"/>
      <c r="C88" s="175"/>
      <c r="D88" s="175"/>
      <c r="E88" s="54"/>
      <c r="F88" s="54"/>
      <c r="G88" s="54"/>
    </row>
    <row r="89" spans="1:7" x14ac:dyDescent="0.25">
      <c r="A89" s="35"/>
      <c r="B89" s="166"/>
      <c r="C89" s="166"/>
      <c r="D89" s="166"/>
      <c r="E89" s="55"/>
      <c r="F89" s="55"/>
      <c r="G89" s="55"/>
    </row>
    <row r="90" spans="1:7" x14ac:dyDescent="0.25">
      <c r="A90" s="53"/>
      <c r="B90" s="175"/>
      <c r="C90" s="175"/>
      <c r="D90" s="175"/>
      <c r="E90" s="54"/>
      <c r="F90" s="54"/>
      <c r="G90" s="54"/>
    </row>
    <row r="91" spans="1:7" x14ac:dyDescent="0.25">
      <c r="A91" s="56"/>
      <c r="B91" s="57"/>
      <c r="C91" s="57"/>
      <c r="D91" s="57"/>
      <c r="E91" s="57"/>
      <c r="F91" s="57"/>
      <c r="G91" s="57"/>
    </row>
    <row r="92" spans="1:7" x14ac:dyDescent="0.25">
      <c r="A92" s="58" t="s">
        <v>158</v>
      </c>
      <c r="B92" s="57"/>
      <c r="C92" s="57"/>
      <c r="D92" s="57"/>
      <c r="E92" s="57"/>
      <c r="F92" s="57"/>
      <c r="G92" s="57"/>
    </row>
    <row r="93" spans="1:7" x14ac:dyDescent="0.25">
      <c r="A93" s="59" t="s">
        <v>159</v>
      </c>
      <c r="B93" s="60"/>
      <c r="C93" s="57"/>
      <c r="D93" s="57"/>
      <c r="E93" s="57"/>
      <c r="F93" s="57"/>
      <c r="G93" s="57"/>
    </row>
    <row r="94" spans="1:7" x14ac:dyDescent="0.25">
      <c r="A94" s="61" t="s">
        <v>160</v>
      </c>
      <c r="B94" s="47"/>
      <c r="C94" s="57"/>
      <c r="D94" s="57"/>
      <c r="E94" s="57"/>
      <c r="F94" s="57"/>
      <c r="G94" s="57"/>
    </row>
    <row r="95" spans="1:7" x14ac:dyDescent="0.25">
      <c r="A95" s="56"/>
      <c r="B95" s="57"/>
      <c r="C95" s="57"/>
      <c r="D95" s="57"/>
      <c r="E95" s="57"/>
      <c r="F95" s="57"/>
      <c r="G95" s="57"/>
    </row>
    <row r="96" spans="1:7" x14ac:dyDescent="0.25">
      <c r="A96" s="3" t="s">
        <v>161</v>
      </c>
    </row>
    <row r="97" spans="1:7" x14ac:dyDescent="0.25">
      <c r="A97" s="61" t="s">
        <v>162</v>
      </c>
      <c r="B97" s="62"/>
    </row>
    <row r="98" spans="1:7" x14ac:dyDescent="0.25">
      <c r="A98" s="61" t="s">
        <v>163</v>
      </c>
      <c r="B98" s="62"/>
    </row>
    <row r="99" spans="1:7" x14ac:dyDescent="0.25">
      <c r="A99" s="61" t="s">
        <v>164</v>
      </c>
    </row>
    <row r="100" spans="1:7" x14ac:dyDescent="0.25">
      <c r="A100" s="61" t="s">
        <v>165</v>
      </c>
    </row>
    <row r="101" spans="1:7" x14ac:dyDescent="0.25">
      <c r="A101" s="61"/>
    </row>
    <row r="102" spans="1:7" x14ac:dyDescent="0.25">
      <c r="A102" s="3" t="s">
        <v>166</v>
      </c>
    </row>
    <row r="103" spans="1:7" x14ac:dyDescent="0.25">
      <c r="A103" s="177"/>
      <c r="B103" s="177"/>
      <c r="C103" s="177"/>
      <c r="D103" s="177"/>
      <c r="E103" s="177"/>
      <c r="F103" s="177"/>
      <c r="G103" s="177"/>
    </row>
    <row r="104" spans="1:7" x14ac:dyDescent="0.25">
      <c r="A104" s="177"/>
      <c r="B104" s="177"/>
      <c r="C104" s="177"/>
      <c r="D104" s="177"/>
      <c r="E104" s="177"/>
      <c r="F104" s="177"/>
      <c r="G104" s="177"/>
    </row>
    <row r="105" spans="1:7" x14ac:dyDescent="0.25">
      <c r="A105" s="177"/>
      <c r="B105" s="177"/>
      <c r="C105" s="177"/>
      <c r="D105" s="177"/>
      <c r="E105" s="177"/>
      <c r="F105" s="177"/>
      <c r="G105" s="177"/>
    </row>
    <row r="106" spans="1:7" x14ac:dyDescent="0.25">
      <c r="A106" s="177"/>
      <c r="B106" s="177"/>
      <c r="C106" s="177"/>
      <c r="D106" s="177"/>
      <c r="E106" s="177"/>
      <c r="F106" s="177"/>
      <c r="G106" s="177"/>
    </row>
    <row r="107" spans="1:7" x14ac:dyDescent="0.25">
      <c r="A107" s="177"/>
      <c r="B107" s="177"/>
      <c r="C107" s="177"/>
      <c r="D107" s="177"/>
      <c r="E107" s="177"/>
      <c r="F107" s="177"/>
      <c r="G107" s="177"/>
    </row>
    <row r="108" spans="1:7" x14ac:dyDescent="0.25">
      <c r="A108" s="5"/>
      <c r="B108" s="5"/>
      <c r="C108" s="5"/>
      <c r="D108" s="5"/>
      <c r="E108" s="5"/>
      <c r="F108" s="5"/>
      <c r="G108" s="5"/>
    </row>
    <row r="110" spans="1:7" x14ac:dyDescent="0.25">
      <c r="A110" s="3" t="s">
        <v>312</v>
      </c>
      <c r="B110" s="158" t="s">
        <v>313</v>
      </c>
    </row>
    <row r="111" spans="1:7" x14ac:dyDescent="0.25">
      <c r="A111" s="3" t="s">
        <v>170</v>
      </c>
    </row>
    <row r="112" spans="1:7" x14ac:dyDescent="0.25">
      <c r="A112" s="3"/>
    </row>
    <row r="113" spans="1:6" x14ac:dyDescent="0.25">
      <c r="A113" s="3"/>
    </row>
    <row r="114" spans="1:6" x14ac:dyDescent="0.25">
      <c r="A114" s="3"/>
    </row>
    <row r="115" spans="1:6" x14ac:dyDescent="0.25">
      <c r="A115" s="3"/>
    </row>
    <row r="116" spans="1:6" x14ac:dyDescent="0.25">
      <c r="A116" s="134" t="s">
        <v>306</v>
      </c>
    </row>
    <row r="117" spans="1:6" x14ac:dyDescent="0.25">
      <c r="A117" s="134" t="s">
        <v>307</v>
      </c>
    </row>
    <row r="118" spans="1:6" x14ac:dyDescent="0.25">
      <c r="A118" s="3"/>
    </row>
    <row r="119" spans="1:6" x14ac:dyDescent="0.25">
      <c r="A119" s="3"/>
    </row>
    <row r="120" spans="1:6" x14ac:dyDescent="0.25">
      <c r="A120" s="3" t="s">
        <v>171</v>
      </c>
      <c r="D120" s="3"/>
      <c r="F120" s="3" t="s">
        <v>172</v>
      </c>
    </row>
    <row r="121" spans="1:6" x14ac:dyDescent="0.25">
      <c r="A121" s="3"/>
    </row>
    <row r="122" spans="1:6" x14ac:dyDescent="0.25">
      <c r="A122" s="3"/>
    </row>
    <row r="123" spans="1:6" x14ac:dyDescent="0.25">
      <c r="A123" s="3"/>
    </row>
    <row r="124" spans="1:6" x14ac:dyDescent="0.25">
      <c r="A124" s="3"/>
    </row>
    <row r="125" spans="1:6" x14ac:dyDescent="0.25">
      <c r="A125" s="134" t="s">
        <v>308</v>
      </c>
      <c r="B125" s="3"/>
      <c r="F125" s="134" t="s">
        <v>309</v>
      </c>
    </row>
    <row r="126" spans="1:6" x14ac:dyDescent="0.25">
      <c r="A126" s="134" t="s">
        <v>307</v>
      </c>
      <c r="D126" s="3"/>
      <c r="F126" s="3" t="s">
        <v>174</v>
      </c>
    </row>
  </sheetData>
  <mergeCells count="49">
    <mergeCell ref="B88:D88"/>
    <mergeCell ref="B89:D89"/>
    <mergeCell ref="B90:D90"/>
    <mergeCell ref="A103:G107"/>
    <mergeCell ref="J40:J41"/>
    <mergeCell ref="B42:B43"/>
    <mergeCell ref="B44:B51"/>
    <mergeCell ref="B53:B54"/>
    <mergeCell ref="J58:J59"/>
    <mergeCell ref="E40:I40"/>
    <mergeCell ref="B58:B59"/>
    <mergeCell ref="C58:C59"/>
    <mergeCell ref="D58:D59"/>
    <mergeCell ref="A66:B66"/>
    <mergeCell ref="B22:B23"/>
    <mergeCell ref="B26:B29"/>
    <mergeCell ref="B32:B35"/>
    <mergeCell ref="E24:I24"/>
    <mergeCell ref="B87:D87"/>
    <mergeCell ref="A76:G76"/>
    <mergeCell ref="A77:G82"/>
    <mergeCell ref="A84:G84"/>
    <mergeCell ref="B85:D85"/>
    <mergeCell ref="B86:D86"/>
    <mergeCell ref="A58:A59"/>
    <mergeCell ref="E58:I58"/>
    <mergeCell ref="A40:A41"/>
    <mergeCell ref="B40:B41"/>
    <mergeCell ref="C40:C41"/>
    <mergeCell ref="D40:D41"/>
    <mergeCell ref="A2:I2"/>
    <mergeCell ref="A4:J4"/>
    <mergeCell ref="A20:A21"/>
    <mergeCell ref="B20:B21"/>
    <mergeCell ref="C20:C21"/>
    <mergeCell ref="D20:D21"/>
    <mergeCell ref="E20:I20"/>
    <mergeCell ref="J20:J21"/>
    <mergeCell ref="A24:A25"/>
    <mergeCell ref="B24:B25"/>
    <mergeCell ref="C24:C25"/>
    <mergeCell ref="D24:D25"/>
    <mergeCell ref="J24:J25"/>
    <mergeCell ref="J30:J31"/>
    <mergeCell ref="A30:A31"/>
    <mergeCell ref="B30:B31"/>
    <mergeCell ref="C30:C31"/>
    <mergeCell ref="D30:D31"/>
    <mergeCell ref="E30:I30"/>
  </mergeCells>
  <printOptions horizontalCentered="1"/>
  <pageMargins left="0" right="0" top="0.6692913385826772" bottom="0" header="0.31496062992125984" footer="0.31496062992125984"/>
  <pageSetup paperSize="9" scale="62" orientation="landscape" verticalDpi="360" r:id="rId1"/>
  <headerFooter>
    <oddHeader>&amp;L&amp;G&amp;RUCM/FR/HCM/10 Rev 00
June 17, 2021</oddHeader>
    <oddFooter>&amp;R&amp;P of &amp;N</oddFooter>
  </headerFooter>
  <rowBreaks count="5" manualBreakCount="5">
    <brk id="23" max="16383" man="1"/>
    <brk id="29" max="16383" man="1"/>
    <brk id="39" max="16383" man="1"/>
    <brk id="57" max="16383" man="1"/>
    <brk id="9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4:J130"/>
  <sheetViews>
    <sheetView view="pageLayout" zoomScale="70" zoomScaleNormal="70" zoomScaleSheetLayoutView="66" zoomScalePageLayoutView="70" workbookViewId="0">
      <selection activeCell="B17" sqref="B17"/>
    </sheetView>
  </sheetViews>
  <sheetFormatPr defaultColWidth="9.140625" defaultRowHeight="15.75" x14ac:dyDescent="0.25"/>
  <cols>
    <col min="1" max="1" width="11.42578125" style="2" customWidth="1"/>
    <col min="2" max="2" width="28.28515625" style="2" customWidth="1"/>
    <col min="3" max="3" width="23.5703125" style="2" customWidth="1"/>
    <col min="4" max="4" width="35.5703125" style="2" customWidth="1"/>
    <col min="5" max="5" width="23.85546875" style="2" customWidth="1"/>
    <col min="6" max="6" width="24.5703125" style="2" customWidth="1"/>
    <col min="7" max="9" width="23.5703125" style="2" customWidth="1"/>
    <col min="10" max="10" width="9.7109375" style="1" bestFit="1" customWidth="1"/>
    <col min="11" max="16384" width="9.140625" style="2"/>
  </cols>
  <sheetData>
    <row r="4" spans="1:10" ht="18.75" x14ac:dyDescent="0.25">
      <c r="A4" s="163" t="s">
        <v>0</v>
      </c>
      <c r="B4" s="163"/>
      <c r="C4" s="163"/>
      <c r="D4" s="163"/>
      <c r="E4" s="163"/>
      <c r="F4" s="163"/>
      <c r="G4" s="163"/>
      <c r="H4" s="163"/>
      <c r="I4" s="163"/>
    </row>
    <row r="5" spans="1:10" x14ac:dyDescent="0.25">
      <c r="A5" s="3"/>
    </row>
    <row r="6" spans="1:10" ht="35.25" customHeight="1" x14ac:dyDescent="0.25">
      <c r="A6" s="164" t="s">
        <v>1</v>
      </c>
      <c r="B6" s="164"/>
      <c r="C6" s="164"/>
      <c r="D6" s="164"/>
      <c r="E6" s="164"/>
      <c r="F6" s="164"/>
      <c r="G6" s="164"/>
      <c r="H6" s="164"/>
      <c r="I6" s="164"/>
      <c r="J6" s="164"/>
    </row>
    <row r="7" spans="1:10" x14ac:dyDescent="0.25">
      <c r="A7" s="4"/>
    </row>
    <row r="8" spans="1:10" x14ac:dyDescent="0.25">
      <c r="A8" s="3"/>
    </row>
    <row r="9" spans="1:10" x14ac:dyDescent="0.25">
      <c r="A9" s="3" t="s">
        <v>2</v>
      </c>
    </row>
    <row r="10" spans="1:10" x14ac:dyDescent="0.25">
      <c r="A10" s="3"/>
    </row>
    <row r="11" spans="1:10" x14ac:dyDescent="0.25">
      <c r="B11" s="3" t="s">
        <v>3</v>
      </c>
      <c r="C11" s="134" t="s">
        <v>291</v>
      </c>
    </row>
    <row r="12" spans="1:10" x14ac:dyDescent="0.25">
      <c r="B12" s="3" t="s">
        <v>4</v>
      </c>
      <c r="C12" s="134" t="s">
        <v>292</v>
      </c>
    </row>
    <row r="13" spans="1:10" x14ac:dyDescent="0.25">
      <c r="B13" s="3" t="s">
        <v>5</v>
      </c>
      <c r="C13" s="134" t="s">
        <v>293</v>
      </c>
    </row>
    <row r="14" spans="1:10" x14ac:dyDescent="0.25">
      <c r="A14" s="3"/>
    </row>
    <row r="15" spans="1:10" x14ac:dyDescent="0.25">
      <c r="A15" s="3"/>
    </row>
    <row r="16" spans="1:10" x14ac:dyDescent="0.25">
      <c r="A16" s="3" t="s">
        <v>6</v>
      </c>
    </row>
    <row r="17" spans="1:10" x14ac:dyDescent="0.25">
      <c r="A17" s="3"/>
    </row>
    <row r="18" spans="1:10" x14ac:dyDescent="0.25">
      <c r="B18" s="3" t="s">
        <v>3</v>
      </c>
      <c r="C18" s="134" t="str">
        <f>VLOOKUP($C$19,'[1]MASTER DATA PENGANGKATAN'!$B$2:$T$29,2,0)</f>
        <v>Erma Fina Terusia, S.E.</v>
      </c>
    </row>
    <row r="19" spans="1:10" x14ac:dyDescent="0.25">
      <c r="B19" s="3" t="s">
        <v>7</v>
      </c>
      <c r="C19" s="135">
        <f>'[1]MASTER DATA PENGANGKATAN'!B3</f>
        <v>20180511</v>
      </c>
    </row>
    <row r="20" spans="1:10" x14ac:dyDescent="0.25">
      <c r="B20" s="3" t="s">
        <v>4</v>
      </c>
      <c r="C20" s="134" t="str">
        <f>VLOOKUP($C$19,'[1]MASTER DATA PENGANGKATAN'!$B$2:$T$29,9,0)</f>
        <v>Staf Layanan Akademik</v>
      </c>
    </row>
    <row r="21" spans="1:10" x14ac:dyDescent="0.25">
      <c r="B21" s="3" t="s">
        <v>8</v>
      </c>
      <c r="C21" s="134" t="str">
        <f>VLOOKUP($C$19,'[1]MASTER DATA PENGANGKATAN'!$B$2:$T$29,11,0)</f>
        <v>31 Juli 2019</v>
      </c>
    </row>
    <row r="22" spans="1:10" x14ac:dyDescent="0.25">
      <c r="B22" s="2" t="s">
        <v>9</v>
      </c>
      <c r="C22" s="134" t="str">
        <f>VLOOKUP($C$19,'[1]MASTER DATA PENGANGKATAN'!$B$2:$T$29,12,0)</f>
        <v>3 September 2018 sd 31 Juli 2019</v>
      </c>
    </row>
    <row r="24" spans="1:10" x14ac:dyDescent="0.25">
      <c r="A24" s="6" t="s">
        <v>10</v>
      </c>
    </row>
    <row r="26" spans="1:10" x14ac:dyDescent="0.25">
      <c r="A26" s="162" t="s">
        <v>11</v>
      </c>
      <c r="B26" s="162" t="s">
        <v>12</v>
      </c>
      <c r="C26" s="162" t="s">
        <v>13</v>
      </c>
      <c r="D26" s="162" t="s">
        <v>14</v>
      </c>
      <c r="E26" s="162" t="s">
        <v>15</v>
      </c>
      <c r="F26" s="162"/>
      <c r="G26" s="162"/>
      <c r="H26" s="162"/>
      <c r="I26" s="162"/>
      <c r="J26" s="160" t="s">
        <v>16</v>
      </c>
    </row>
    <row r="27" spans="1:10" x14ac:dyDescent="0.25">
      <c r="A27" s="162"/>
      <c r="B27" s="162"/>
      <c r="C27" s="162"/>
      <c r="D27" s="162"/>
      <c r="E27" s="7">
        <v>1</v>
      </c>
      <c r="F27" s="7">
        <v>2</v>
      </c>
      <c r="G27" s="7">
        <v>3</v>
      </c>
      <c r="H27" s="7">
        <v>4</v>
      </c>
      <c r="I27" s="7">
        <v>5</v>
      </c>
      <c r="J27" s="161"/>
    </row>
    <row r="28" spans="1:10" ht="146.25" customHeight="1" x14ac:dyDescent="0.25">
      <c r="A28" s="8">
        <v>1</v>
      </c>
      <c r="B28" s="184" t="s">
        <v>295</v>
      </c>
      <c r="C28" s="10" t="s">
        <v>17</v>
      </c>
      <c r="D28" s="10" t="s">
        <v>18</v>
      </c>
      <c r="E28" s="69" t="s">
        <v>19</v>
      </c>
      <c r="F28" s="69" t="s">
        <v>20</v>
      </c>
      <c r="G28" s="69" t="s">
        <v>21</v>
      </c>
      <c r="H28" s="69" t="s">
        <v>22</v>
      </c>
      <c r="I28" s="69" t="s">
        <v>23</v>
      </c>
      <c r="J28" s="8"/>
    </row>
    <row r="29" spans="1:10" ht="341.25" customHeight="1" x14ac:dyDescent="0.25">
      <c r="A29" s="8">
        <v>2</v>
      </c>
      <c r="B29" s="185"/>
      <c r="C29" s="10" t="s">
        <v>24</v>
      </c>
      <c r="D29" s="10" t="s">
        <v>25</v>
      </c>
      <c r="E29" s="69" t="s">
        <v>26</v>
      </c>
      <c r="F29" s="69" t="s">
        <v>27</v>
      </c>
      <c r="G29" s="69" t="s">
        <v>28</v>
      </c>
      <c r="H29" s="69" t="s">
        <v>29</v>
      </c>
      <c r="I29" s="69" t="s">
        <v>30</v>
      </c>
      <c r="J29" s="8"/>
    </row>
    <row r="30" spans="1:10" ht="157.5" x14ac:dyDescent="0.25">
      <c r="A30" s="8">
        <v>3</v>
      </c>
      <c r="B30" s="185"/>
      <c r="C30" s="10" t="s">
        <v>31</v>
      </c>
      <c r="D30" s="10" t="s">
        <v>32</v>
      </c>
      <c r="E30" s="69" t="s">
        <v>26</v>
      </c>
      <c r="F30" s="69" t="s">
        <v>27</v>
      </c>
      <c r="G30" s="69" t="s">
        <v>28</v>
      </c>
      <c r="H30" s="69" t="s">
        <v>29</v>
      </c>
      <c r="I30" s="69" t="s">
        <v>30</v>
      </c>
      <c r="J30" s="8"/>
    </row>
    <row r="31" spans="1:10" ht="126" x14ac:dyDescent="0.25">
      <c r="A31" s="8">
        <v>4</v>
      </c>
      <c r="B31" s="185"/>
      <c r="C31" s="10" t="s">
        <v>33</v>
      </c>
      <c r="D31" s="10" t="s">
        <v>34</v>
      </c>
      <c r="E31" s="69" t="s">
        <v>35</v>
      </c>
      <c r="F31" s="69" t="s">
        <v>36</v>
      </c>
      <c r="G31" s="69" t="s">
        <v>37</v>
      </c>
      <c r="H31" s="69" t="s">
        <v>38</v>
      </c>
      <c r="I31" s="69" t="s">
        <v>39</v>
      </c>
      <c r="J31" s="8"/>
    </row>
    <row r="32" spans="1:10" ht="231.75" customHeight="1" x14ac:dyDescent="0.25">
      <c r="A32" s="8">
        <v>5</v>
      </c>
      <c r="B32" s="185"/>
      <c r="C32" s="10" t="s">
        <v>40</v>
      </c>
      <c r="D32" s="10" t="s">
        <v>41</v>
      </c>
      <c r="E32" s="69" t="s">
        <v>26</v>
      </c>
      <c r="F32" s="69" t="s">
        <v>27</v>
      </c>
      <c r="G32" s="69" t="s">
        <v>28</v>
      </c>
      <c r="H32" s="69" t="s">
        <v>42</v>
      </c>
      <c r="I32" s="69" t="s">
        <v>43</v>
      </c>
      <c r="J32" s="8"/>
    </row>
    <row r="33" spans="1:10" ht="346.5" x14ac:dyDescent="0.25">
      <c r="A33" s="8">
        <v>6</v>
      </c>
      <c r="B33" s="185"/>
      <c r="C33" s="10" t="s">
        <v>44</v>
      </c>
      <c r="D33" s="10" t="s">
        <v>45</v>
      </c>
      <c r="E33" s="69" t="s">
        <v>46</v>
      </c>
      <c r="F33" s="69" t="s">
        <v>47</v>
      </c>
      <c r="G33" s="69" t="s">
        <v>48</v>
      </c>
      <c r="H33" s="69" t="s">
        <v>49</v>
      </c>
      <c r="I33" s="69" t="s">
        <v>50</v>
      </c>
      <c r="J33" s="8"/>
    </row>
    <row r="34" spans="1:10" ht="267.75" x14ac:dyDescent="0.25">
      <c r="A34" s="8">
        <v>7</v>
      </c>
      <c r="B34" s="185"/>
      <c r="C34" s="10" t="s">
        <v>51</v>
      </c>
      <c r="D34" s="10" t="s">
        <v>52</v>
      </c>
      <c r="E34" s="69" t="s">
        <v>53</v>
      </c>
      <c r="F34" s="69" t="s">
        <v>26</v>
      </c>
      <c r="G34" s="69" t="s">
        <v>27</v>
      </c>
      <c r="H34" s="69" t="s">
        <v>28</v>
      </c>
      <c r="I34" s="69" t="s">
        <v>42</v>
      </c>
      <c r="J34" s="8"/>
    </row>
    <row r="35" spans="1:10" s="11" customFormat="1" ht="157.5" x14ac:dyDescent="0.25">
      <c r="A35" s="8">
        <v>8</v>
      </c>
      <c r="B35" s="185"/>
      <c r="C35" s="10" t="s">
        <v>54</v>
      </c>
      <c r="D35" s="10" t="s">
        <v>55</v>
      </c>
      <c r="E35" s="69" t="s">
        <v>56</v>
      </c>
      <c r="F35" s="69" t="s">
        <v>57</v>
      </c>
      <c r="G35" s="69" t="s">
        <v>58</v>
      </c>
      <c r="H35" s="69" t="s">
        <v>59</v>
      </c>
      <c r="I35" s="69" t="s">
        <v>60</v>
      </c>
      <c r="J35" s="8"/>
    </row>
    <row r="36" spans="1:10" ht="141.75" x14ac:dyDescent="0.25">
      <c r="A36" s="8">
        <v>9</v>
      </c>
      <c r="B36" s="185"/>
      <c r="C36" s="10" t="s">
        <v>61</v>
      </c>
      <c r="D36" s="10" t="s">
        <v>62</v>
      </c>
      <c r="E36" s="69" t="s">
        <v>63</v>
      </c>
      <c r="F36" s="69" t="s">
        <v>64</v>
      </c>
      <c r="G36" s="69" t="s">
        <v>65</v>
      </c>
      <c r="H36" s="69" t="s">
        <v>66</v>
      </c>
      <c r="I36" s="69" t="s">
        <v>67</v>
      </c>
      <c r="J36" s="8"/>
    </row>
    <row r="37" spans="1:10" ht="59.25" customHeight="1" x14ac:dyDescent="0.25">
      <c r="A37" s="8">
        <v>10</v>
      </c>
      <c r="B37" s="185"/>
      <c r="C37" s="10" t="s">
        <v>68</v>
      </c>
      <c r="D37" s="10" t="s">
        <v>69</v>
      </c>
      <c r="E37" s="69" t="s">
        <v>70</v>
      </c>
      <c r="F37" s="69" t="s">
        <v>71</v>
      </c>
      <c r="G37" s="69" t="s">
        <v>72</v>
      </c>
      <c r="H37" s="69" t="s">
        <v>73</v>
      </c>
      <c r="I37" s="69" t="s">
        <v>74</v>
      </c>
      <c r="J37" s="8"/>
    </row>
    <row r="38" spans="1:10" ht="85.5" customHeight="1" x14ac:dyDescent="0.25">
      <c r="A38" s="8">
        <v>11</v>
      </c>
      <c r="B38" s="12" t="s">
        <v>75</v>
      </c>
      <c r="C38" s="9" t="s">
        <v>76</v>
      </c>
      <c r="D38" s="10" t="s">
        <v>77</v>
      </c>
      <c r="E38" s="69" t="s">
        <v>78</v>
      </c>
      <c r="F38" s="69" t="s">
        <v>79</v>
      </c>
      <c r="G38" s="69" t="s">
        <v>80</v>
      </c>
      <c r="H38" s="69" t="s">
        <v>81</v>
      </c>
      <c r="I38" s="69" t="s">
        <v>82</v>
      </c>
      <c r="J38" s="8"/>
    </row>
    <row r="39" spans="1:10" x14ac:dyDescent="0.25">
      <c r="A39" s="13"/>
      <c r="B39" s="14"/>
      <c r="C39" s="15"/>
      <c r="D39" s="16" t="s">
        <v>83</v>
      </c>
      <c r="E39" s="17"/>
      <c r="F39" s="17"/>
      <c r="G39" s="17"/>
      <c r="H39" s="17"/>
      <c r="I39" s="17"/>
      <c r="J39" s="8" t="e">
        <f>AVERAGE(J28:J38)</f>
        <v>#DIV/0!</v>
      </c>
    </row>
    <row r="40" spans="1:10" x14ac:dyDescent="0.25">
      <c r="A40" s="18"/>
      <c r="B40" s="19"/>
      <c r="C40" s="20"/>
      <c r="D40" s="16" t="s">
        <v>16</v>
      </c>
      <c r="E40" s="21" t="e">
        <f>70%*J39</f>
        <v>#DIV/0!</v>
      </c>
      <c r="F40" s="22"/>
      <c r="G40" s="23"/>
      <c r="H40" s="23"/>
      <c r="I40" s="23"/>
      <c r="J40" s="24"/>
    </row>
    <row r="41" spans="1:10" x14ac:dyDescent="0.25">
      <c r="A41" s="176" t="s">
        <v>11</v>
      </c>
      <c r="B41" s="176" t="s">
        <v>12</v>
      </c>
      <c r="C41" s="176" t="s">
        <v>13</v>
      </c>
      <c r="D41" s="176" t="s">
        <v>14</v>
      </c>
      <c r="E41" s="162" t="s">
        <v>15</v>
      </c>
      <c r="F41" s="162"/>
      <c r="G41" s="162"/>
      <c r="H41" s="162"/>
      <c r="I41" s="162"/>
      <c r="J41" s="186" t="s">
        <v>16</v>
      </c>
    </row>
    <row r="42" spans="1:10" x14ac:dyDescent="0.25">
      <c r="A42" s="176"/>
      <c r="B42" s="176"/>
      <c r="C42" s="176"/>
      <c r="D42" s="176"/>
      <c r="E42" s="25">
        <v>1</v>
      </c>
      <c r="F42" s="25">
        <v>2</v>
      </c>
      <c r="G42" s="25">
        <v>3</v>
      </c>
      <c r="H42" s="25">
        <v>4</v>
      </c>
      <c r="I42" s="25">
        <v>5</v>
      </c>
      <c r="J42" s="187"/>
    </row>
    <row r="43" spans="1:10" ht="47.25" x14ac:dyDescent="0.25">
      <c r="A43" s="8">
        <v>1</v>
      </c>
      <c r="B43" s="179" t="s">
        <v>84</v>
      </c>
      <c r="C43" s="26" t="s">
        <v>85</v>
      </c>
      <c r="D43" s="27" t="s">
        <v>86</v>
      </c>
      <c r="E43" s="106" t="s">
        <v>87</v>
      </c>
      <c r="F43" s="106" t="s">
        <v>88</v>
      </c>
      <c r="G43" s="106" t="s">
        <v>89</v>
      </c>
      <c r="H43" s="106" t="s">
        <v>90</v>
      </c>
      <c r="I43" s="106" t="s">
        <v>91</v>
      </c>
      <c r="J43" s="8"/>
    </row>
    <row r="44" spans="1:10" ht="63" x14ac:dyDescent="0.25">
      <c r="A44" s="8">
        <v>2</v>
      </c>
      <c r="B44" s="179"/>
      <c r="C44" s="26" t="s">
        <v>92</v>
      </c>
      <c r="D44" s="27" t="s">
        <v>93</v>
      </c>
      <c r="E44" s="106" t="s">
        <v>87</v>
      </c>
      <c r="F44" s="106" t="s">
        <v>88</v>
      </c>
      <c r="G44" s="106" t="s">
        <v>89</v>
      </c>
      <c r="H44" s="106" t="s">
        <v>90</v>
      </c>
      <c r="I44" s="106" t="s">
        <v>91</v>
      </c>
      <c r="J44" s="8"/>
    </row>
    <row r="45" spans="1:10" ht="63" x14ac:dyDescent="0.25">
      <c r="A45" s="8">
        <v>3</v>
      </c>
      <c r="B45" s="180" t="s">
        <v>94</v>
      </c>
      <c r="C45" s="26" t="s">
        <v>95</v>
      </c>
      <c r="D45" s="27" t="s">
        <v>96</v>
      </c>
      <c r="E45" s="106" t="s">
        <v>87</v>
      </c>
      <c r="F45" s="106" t="s">
        <v>88</v>
      </c>
      <c r="G45" s="106" t="s">
        <v>89</v>
      </c>
      <c r="H45" s="106" t="s">
        <v>90</v>
      </c>
      <c r="I45" s="106" t="s">
        <v>91</v>
      </c>
      <c r="J45" s="8"/>
    </row>
    <row r="46" spans="1:10" ht="63" x14ac:dyDescent="0.25">
      <c r="A46" s="8">
        <v>4</v>
      </c>
      <c r="B46" s="181"/>
      <c r="C46" s="26" t="s">
        <v>97</v>
      </c>
      <c r="D46" s="27" t="s">
        <v>98</v>
      </c>
      <c r="E46" s="106" t="s">
        <v>87</v>
      </c>
      <c r="F46" s="106" t="s">
        <v>88</v>
      </c>
      <c r="G46" s="106" t="s">
        <v>89</v>
      </c>
      <c r="H46" s="106" t="s">
        <v>90</v>
      </c>
      <c r="I46" s="106" t="s">
        <v>91</v>
      </c>
      <c r="J46" s="8"/>
    </row>
    <row r="47" spans="1:10" ht="94.5" x14ac:dyDescent="0.25">
      <c r="A47" s="8">
        <v>5</v>
      </c>
      <c r="B47" s="181"/>
      <c r="C47" s="26" t="s">
        <v>99</v>
      </c>
      <c r="D47" s="27" t="s">
        <v>100</v>
      </c>
      <c r="E47" s="106" t="s">
        <v>87</v>
      </c>
      <c r="F47" s="106" t="s">
        <v>88</v>
      </c>
      <c r="G47" s="106" t="s">
        <v>89</v>
      </c>
      <c r="H47" s="106" t="s">
        <v>90</v>
      </c>
      <c r="I47" s="106" t="s">
        <v>91</v>
      </c>
      <c r="J47" s="8"/>
    </row>
    <row r="48" spans="1:10" ht="78.75" x14ac:dyDescent="0.25">
      <c r="A48" s="8">
        <v>6</v>
      </c>
      <c r="B48" s="181"/>
      <c r="C48" s="26" t="s">
        <v>101</v>
      </c>
      <c r="D48" s="27" t="s">
        <v>102</v>
      </c>
      <c r="E48" s="106" t="s">
        <v>87</v>
      </c>
      <c r="F48" s="106" t="s">
        <v>88</v>
      </c>
      <c r="G48" s="106" t="s">
        <v>89</v>
      </c>
      <c r="H48" s="106" t="s">
        <v>90</v>
      </c>
      <c r="I48" s="106" t="s">
        <v>91</v>
      </c>
      <c r="J48" s="8"/>
    </row>
    <row r="49" spans="1:10" ht="51" customHeight="1" x14ac:dyDescent="0.25">
      <c r="A49" s="8">
        <v>7</v>
      </c>
      <c r="B49" s="181"/>
      <c r="C49" s="26" t="s">
        <v>103</v>
      </c>
      <c r="D49" s="27" t="s">
        <v>104</v>
      </c>
      <c r="E49" s="106" t="s">
        <v>87</v>
      </c>
      <c r="F49" s="106" t="s">
        <v>88</v>
      </c>
      <c r="G49" s="106" t="s">
        <v>89</v>
      </c>
      <c r="H49" s="106" t="s">
        <v>90</v>
      </c>
      <c r="I49" s="106" t="s">
        <v>91</v>
      </c>
      <c r="J49" s="8"/>
    </row>
    <row r="50" spans="1:10" ht="63" x14ac:dyDescent="0.25">
      <c r="A50" s="8">
        <v>8</v>
      </c>
      <c r="B50" s="181"/>
      <c r="C50" s="26" t="s">
        <v>105</v>
      </c>
      <c r="D50" s="27" t="s">
        <v>106</v>
      </c>
      <c r="E50" s="106" t="s">
        <v>87</v>
      </c>
      <c r="F50" s="106" t="s">
        <v>88</v>
      </c>
      <c r="G50" s="106" t="s">
        <v>89</v>
      </c>
      <c r="H50" s="106" t="s">
        <v>90</v>
      </c>
      <c r="I50" s="106" t="s">
        <v>91</v>
      </c>
      <c r="J50" s="8"/>
    </row>
    <row r="51" spans="1:10" ht="63" x14ac:dyDescent="0.25">
      <c r="A51" s="8">
        <v>9</v>
      </c>
      <c r="B51" s="181"/>
      <c r="C51" s="26" t="s">
        <v>107</v>
      </c>
      <c r="D51" s="27" t="s">
        <v>108</v>
      </c>
      <c r="E51" s="106" t="s">
        <v>87</v>
      </c>
      <c r="F51" s="106" t="s">
        <v>88</v>
      </c>
      <c r="G51" s="106" t="s">
        <v>89</v>
      </c>
      <c r="H51" s="106" t="s">
        <v>90</v>
      </c>
      <c r="I51" s="106" t="s">
        <v>91</v>
      </c>
      <c r="J51" s="8"/>
    </row>
    <row r="52" spans="1:10" ht="78.75" x14ac:dyDescent="0.25">
      <c r="A52" s="8">
        <v>10</v>
      </c>
      <c r="B52" s="182"/>
      <c r="C52" s="26" t="s">
        <v>109</v>
      </c>
      <c r="D52" s="27" t="s">
        <v>110</v>
      </c>
      <c r="E52" s="106" t="s">
        <v>87</v>
      </c>
      <c r="F52" s="106" t="s">
        <v>88</v>
      </c>
      <c r="G52" s="106" t="s">
        <v>89</v>
      </c>
      <c r="H52" s="106" t="s">
        <v>90</v>
      </c>
      <c r="I52" s="106" t="s">
        <v>91</v>
      </c>
      <c r="J52" s="8"/>
    </row>
    <row r="53" spans="1:10" ht="72.75" customHeight="1" x14ac:dyDescent="0.25">
      <c r="A53" s="8">
        <v>11</v>
      </c>
      <c r="B53" s="28" t="s">
        <v>111</v>
      </c>
      <c r="C53" s="26" t="s">
        <v>112</v>
      </c>
      <c r="D53" s="27" t="s">
        <v>113</v>
      </c>
      <c r="E53" s="106" t="s">
        <v>87</v>
      </c>
      <c r="F53" s="106" t="s">
        <v>88</v>
      </c>
      <c r="G53" s="106" t="s">
        <v>89</v>
      </c>
      <c r="H53" s="106" t="s">
        <v>90</v>
      </c>
      <c r="I53" s="106" t="s">
        <v>91</v>
      </c>
      <c r="J53" s="8"/>
    </row>
    <row r="54" spans="1:10" ht="63" x14ac:dyDescent="0.25">
      <c r="A54" s="8">
        <v>12</v>
      </c>
      <c r="B54" s="179" t="s">
        <v>114</v>
      </c>
      <c r="C54" s="26" t="s">
        <v>115</v>
      </c>
      <c r="D54" s="27" t="s">
        <v>116</v>
      </c>
      <c r="E54" s="106" t="s">
        <v>87</v>
      </c>
      <c r="F54" s="106" t="s">
        <v>88</v>
      </c>
      <c r="G54" s="106" t="s">
        <v>89</v>
      </c>
      <c r="H54" s="106" t="s">
        <v>90</v>
      </c>
      <c r="I54" s="106" t="s">
        <v>91</v>
      </c>
      <c r="J54" s="8"/>
    </row>
    <row r="55" spans="1:10" ht="63" x14ac:dyDescent="0.25">
      <c r="A55" s="8">
        <v>13</v>
      </c>
      <c r="B55" s="179"/>
      <c r="C55" s="26" t="s">
        <v>117</v>
      </c>
      <c r="D55" s="29" t="s">
        <v>118</v>
      </c>
      <c r="E55" s="106" t="s">
        <v>87</v>
      </c>
      <c r="F55" s="106" t="s">
        <v>88</v>
      </c>
      <c r="G55" s="106" t="s">
        <v>89</v>
      </c>
      <c r="H55" s="106" t="s">
        <v>90</v>
      </c>
      <c r="I55" s="106" t="s">
        <v>91</v>
      </c>
      <c r="J55" s="8"/>
    </row>
    <row r="56" spans="1:10" x14ac:dyDescent="0.25">
      <c r="A56" s="13"/>
      <c r="B56" s="14"/>
      <c r="C56" s="15"/>
      <c r="D56" s="16" t="s">
        <v>83</v>
      </c>
      <c r="E56" s="30"/>
      <c r="F56" s="30"/>
      <c r="G56" s="30"/>
      <c r="H56" s="30"/>
      <c r="I56" s="30"/>
      <c r="J56" s="8" t="e">
        <f>AVERAGE(J43:J55)</f>
        <v>#DIV/0!</v>
      </c>
    </row>
    <row r="57" spans="1:10" x14ac:dyDescent="0.25">
      <c r="A57" s="18"/>
      <c r="B57" s="19"/>
      <c r="C57" s="20"/>
      <c r="D57" s="16" t="s">
        <v>16</v>
      </c>
      <c r="E57" s="21" t="e">
        <f>20%*J56</f>
        <v>#DIV/0!</v>
      </c>
      <c r="F57" s="22"/>
      <c r="G57" s="23"/>
      <c r="H57" s="23"/>
      <c r="I57" s="23"/>
      <c r="J57" s="24"/>
    </row>
    <row r="58" spans="1:10" x14ac:dyDescent="0.25">
      <c r="A58" s="162" t="s">
        <v>11</v>
      </c>
      <c r="B58" s="162" t="s">
        <v>12</v>
      </c>
      <c r="C58" s="162" t="s">
        <v>13</v>
      </c>
      <c r="D58" s="162" t="s">
        <v>14</v>
      </c>
      <c r="E58" s="162" t="s">
        <v>15</v>
      </c>
      <c r="F58" s="162"/>
      <c r="G58" s="162"/>
      <c r="H58" s="162"/>
      <c r="I58" s="162"/>
      <c r="J58" s="162" t="s">
        <v>16</v>
      </c>
    </row>
    <row r="59" spans="1:10" x14ac:dyDescent="0.25">
      <c r="A59" s="162"/>
      <c r="B59" s="162"/>
      <c r="C59" s="162"/>
      <c r="D59" s="162"/>
      <c r="E59" s="31">
        <v>1</v>
      </c>
      <c r="F59" s="31">
        <v>2</v>
      </c>
      <c r="G59" s="31">
        <v>3</v>
      </c>
      <c r="H59" s="31">
        <v>4</v>
      </c>
      <c r="I59" s="31">
        <v>5</v>
      </c>
      <c r="J59" s="162"/>
    </row>
    <row r="60" spans="1:10" s="3" customFormat="1" ht="33.75" customHeight="1" x14ac:dyDescent="0.25">
      <c r="A60" s="8">
        <v>1</v>
      </c>
      <c r="B60" s="32" t="s">
        <v>119</v>
      </c>
      <c r="C60" s="33" t="s">
        <v>120</v>
      </c>
      <c r="D60" s="34" t="s">
        <v>121</v>
      </c>
      <c r="E60" s="136" t="s">
        <v>122</v>
      </c>
      <c r="F60" s="136" t="s">
        <v>123</v>
      </c>
      <c r="G60" s="136" t="s">
        <v>124</v>
      </c>
      <c r="H60" s="136" t="s">
        <v>125</v>
      </c>
      <c r="I60" s="136" t="s">
        <v>126</v>
      </c>
      <c r="J60" s="8"/>
    </row>
    <row r="61" spans="1:10" x14ac:dyDescent="0.25">
      <c r="A61" s="13"/>
      <c r="B61" s="14"/>
      <c r="C61" s="15"/>
      <c r="D61" s="16" t="s">
        <v>83</v>
      </c>
      <c r="E61" s="35"/>
      <c r="F61" s="35"/>
      <c r="G61" s="35"/>
      <c r="H61" s="35"/>
      <c r="I61" s="35"/>
      <c r="J61" s="36" t="e">
        <f>AVERAGE(J60:J60)</f>
        <v>#DIV/0!</v>
      </c>
    </row>
    <row r="62" spans="1:10" x14ac:dyDescent="0.25">
      <c r="A62" s="37"/>
      <c r="B62" s="38"/>
      <c r="C62" s="39"/>
      <c r="D62" s="16" t="s">
        <v>16</v>
      </c>
      <c r="E62" s="40" t="e">
        <f>10%*J61</f>
        <v>#DIV/0!</v>
      </c>
      <c r="F62" s="22"/>
      <c r="G62" s="23"/>
      <c r="H62" s="23"/>
      <c r="I62" s="23"/>
      <c r="J62" s="24"/>
    </row>
    <row r="63" spans="1:10" x14ac:dyDescent="0.25">
      <c r="B63" s="41"/>
      <c r="C63" s="42"/>
      <c r="D63" s="43" t="s">
        <v>127</v>
      </c>
      <c r="E63" s="44" t="e">
        <f>E40+E57+E62</f>
        <v>#DIV/0!</v>
      </c>
    </row>
    <row r="64" spans="1:10" x14ac:dyDescent="0.25">
      <c r="B64" s="45"/>
      <c r="C64" s="42"/>
      <c r="D64" s="43" t="s">
        <v>128</v>
      </c>
      <c r="E64" s="33"/>
    </row>
    <row r="65" spans="1:7" x14ac:dyDescent="0.25">
      <c r="A65" s="46"/>
      <c r="B65" s="46"/>
      <c r="C65" s="46"/>
      <c r="D65" s="46"/>
    </row>
    <row r="66" spans="1:7" x14ac:dyDescent="0.25">
      <c r="A66" s="46"/>
      <c r="B66" s="47" t="s">
        <v>129</v>
      </c>
      <c r="C66" s="46"/>
      <c r="D66" s="46"/>
    </row>
    <row r="67" spans="1:7" x14ac:dyDescent="0.25">
      <c r="B67" s="48" t="s">
        <v>83</v>
      </c>
      <c r="C67" s="48" t="s">
        <v>13</v>
      </c>
      <c r="D67" s="48" t="s">
        <v>130</v>
      </c>
    </row>
    <row r="68" spans="1:7" x14ac:dyDescent="0.25">
      <c r="B68" s="35" t="s">
        <v>131</v>
      </c>
      <c r="C68" s="35" t="s">
        <v>132</v>
      </c>
      <c r="D68" s="35" t="s">
        <v>133</v>
      </c>
    </row>
    <row r="69" spans="1:7" x14ac:dyDescent="0.25">
      <c r="B69" s="35" t="s">
        <v>134</v>
      </c>
      <c r="C69" s="35" t="s">
        <v>135</v>
      </c>
      <c r="D69" s="35" t="s">
        <v>136</v>
      </c>
    </row>
    <row r="70" spans="1:7" x14ac:dyDescent="0.25">
      <c r="B70" s="35" t="s">
        <v>137</v>
      </c>
      <c r="C70" s="35" t="s">
        <v>138</v>
      </c>
      <c r="D70" s="35" t="s">
        <v>139</v>
      </c>
    </row>
    <row r="71" spans="1:7" x14ac:dyDescent="0.25">
      <c r="B71" s="35" t="s">
        <v>140</v>
      </c>
      <c r="C71" s="35" t="s">
        <v>141</v>
      </c>
      <c r="D71" s="35" t="s">
        <v>142</v>
      </c>
    </row>
    <row r="72" spans="1:7" x14ac:dyDescent="0.25">
      <c r="B72" s="35" t="s">
        <v>143</v>
      </c>
      <c r="C72" s="35" t="s">
        <v>144</v>
      </c>
      <c r="D72" s="35" t="s">
        <v>145</v>
      </c>
    </row>
    <row r="73" spans="1:7" x14ac:dyDescent="0.25">
      <c r="B73" s="35" t="s">
        <v>146</v>
      </c>
      <c r="C73" s="35" t="s">
        <v>147</v>
      </c>
      <c r="D73" s="35" t="s">
        <v>148</v>
      </c>
    </row>
    <row r="74" spans="1:7" x14ac:dyDescent="0.25">
      <c r="B74" s="35" t="s">
        <v>149</v>
      </c>
      <c r="C74" s="35" t="s">
        <v>150</v>
      </c>
      <c r="D74" s="35" t="s">
        <v>151</v>
      </c>
    </row>
    <row r="75" spans="1:7" x14ac:dyDescent="0.25">
      <c r="A75" s="46"/>
      <c r="B75" s="46"/>
      <c r="C75" s="46"/>
      <c r="D75" s="46"/>
    </row>
    <row r="77" spans="1:7" ht="30" customHeight="1" x14ac:dyDescent="0.25">
      <c r="A77" s="167" t="s">
        <v>152</v>
      </c>
      <c r="B77" s="167"/>
      <c r="C77" s="167"/>
      <c r="D77" s="167"/>
      <c r="E77" s="167"/>
      <c r="F77" s="167"/>
      <c r="G77" s="167"/>
    </row>
    <row r="78" spans="1:7" x14ac:dyDescent="0.25">
      <c r="A78" s="168"/>
      <c r="B78" s="168"/>
      <c r="C78" s="168"/>
      <c r="D78" s="168"/>
      <c r="E78" s="168"/>
      <c r="F78" s="168"/>
      <c r="G78" s="168"/>
    </row>
    <row r="79" spans="1:7" x14ac:dyDescent="0.25">
      <c r="A79" s="168"/>
      <c r="B79" s="168"/>
      <c r="C79" s="168"/>
      <c r="D79" s="168"/>
      <c r="E79" s="168"/>
      <c r="F79" s="168"/>
      <c r="G79" s="168"/>
    </row>
    <row r="80" spans="1:7" x14ac:dyDescent="0.25">
      <c r="A80" s="168"/>
      <c r="B80" s="168"/>
      <c r="C80" s="168"/>
      <c r="D80" s="168"/>
      <c r="E80" s="168"/>
      <c r="F80" s="168"/>
      <c r="G80" s="168"/>
    </row>
    <row r="81" spans="1:7" x14ac:dyDescent="0.25">
      <c r="A81" s="168"/>
      <c r="B81" s="168"/>
      <c r="C81" s="168"/>
      <c r="D81" s="168"/>
      <c r="E81" s="168"/>
      <c r="F81" s="168"/>
      <c r="G81" s="168"/>
    </row>
    <row r="82" spans="1:7" x14ac:dyDescent="0.25">
      <c r="A82" s="168"/>
      <c r="B82" s="168"/>
      <c r="C82" s="168"/>
      <c r="D82" s="168"/>
      <c r="E82" s="168"/>
      <c r="F82" s="168"/>
      <c r="G82" s="168"/>
    </row>
    <row r="83" spans="1:7" x14ac:dyDescent="0.25">
      <c r="A83" s="168"/>
      <c r="B83" s="168"/>
      <c r="C83" s="168"/>
      <c r="D83" s="168"/>
      <c r="E83" s="168"/>
      <c r="F83" s="168"/>
      <c r="G83" s="168"/>
    </row>
    <row r="84" spans="1:7" x14ac:dyDescent="0.25">
      <c r="A84" s="49"/>
      <c r="B84" s="49"/>
      <c r="C84" s="49"/>
      <c r="D84" s="49"/>
      <c r="E84" s="49"/>
      <c r="F84" s="49"/>
      <c r="G84" s="49"/>
    </row>
    <row r="85" spans="1:7" ht="15" customHeight="1" x14ac:dyDescent="0.25">
      <c r="A85" s="50"/>
      <c r="B85" s="50"/>
      <c r="C85" s="50"/>
      <c r="D85" s="50"/>
      <c r="E85" s="50"/>
      <c r="F85" s="50"/>
      <c r="G85" s="50"/>
    </row>
    <row r="86" spans="1:7" ht="15.75" customHeight="1" x14ac:dyDescent="0.25">
      <c r="A86" s="169" t="s">
        <v>153</v>
      </c>
      <c r="B86" s="170"/>
      <c r="C86" s="170"/>
      <c r="D86" s="170"/>
      <c r="E86" s="170"/>
      <c r="F86" s="170"/>
      <c r="G86" s="171"/>
    </row>
    <row r="87" spans="1:7" x14ac:dyDescent="0.25">
      <c r="A87" s="51" t="s">
        <v>11</v>
      </c>
      <c r="B87" s="172" t="s">
        <v>154</v>
      </c>
      <c r="C87" s="173"/>
      <c r="D87" s="174"/>
      <c r="E87" s="52" t="s">
        <v>155</v>
      </c>
      <c r="F87" s="52" t="s">
        <v>156</v>
      </c>
      <c r="G87" s="52" t="s">
        <v>157</v>
      </c>
    </row>
    <row r="88" spans="1:7" ht="25.5" customHeight="1" x14ac:dyDescent="0.25">
      <c r="A88" s="53"/>
      <c r="B88" s="175"/>
      <c r="C88" s="175"/>
      <c r="D88" s="175"/>
      <c r="E88" s="54"/>
      <c r="F88" s="54"/>
      <c r="G88" s="54"/>
    </row>
    <row r="89" spans="1:7" ht="25.5" customHeight="1" x14ac:dyDescent="0.25">
      <c r="A89" s="35"/>
      <c r="B89" s="166"/>
      <c r="C89" s="166"/>
      <c r="D89" s="166"/>
      <c r="E89" s="55"/>
      <c r="F89" s="55"/>
      <c r="G89" s="55"/>
    </row>
    <row r="90" spans="1:7" ht="25.5" customHeight="1" x14ac:dyDescent="0.25">
      <c r="A90" s="53"/>
      <c r="B90" s="175"/>
      <c r="C90" s="175"/>
      <c r="D90" s="175"/>
      <c r="E90" s="54"/>
      <c r="F90" s="54"/>
      <c r="G90" s="54"/>
    </row>
    <row r="91" spans="1:7" ht="25.5" customHeight="1" x14ac:dyDescent="0.25">
      <c r="A91" s="35"/>
      <c r="B91" s="166"/>
      <c r="C91" s="166"/>
      <c r="D91" s="166"/>
      <c r="E91" s="55"/>
      <c r="F91" s="55"/>
      <c r="G91" s="55"/>
    </row>
    <row r="92" spans="1:7" ht="25.5" customHeight="1" x14ac:dyDescent="0.25">
      <c r="A92" s="53"/>
      <c r="B92" s="175"/>
      <c r="C92" s="175"/>
      <c r="D92" s="175"/>
      <c r="E92" s="54"/>
      <c r="F92" s="54"/>
      <c r="G92" s="54"/>
    </row>
    <row r="93" spans="1:7" x14ac:dyDescent="0.25">
      <c r="A93" s="56"/>
      <c r="B93" s="57"/>
      <c r="C93" s="57"/>
      <c r="D93" s="57"/>
      <c r="E93" s="57"/>
      <c r="F93" s="57"/>
      <c r="G93" s="57"/>
    </row>
    <row r="94" spans="1:7" x14ac:dyDescent="0.25">
      <c r="A94" s="58" t="s">
        <v>158</v>
      </c>
      <c r="B94" s="57"/>
      <c r="C94" s="57"/>
      <c r="D94" s="57"/>
      <c r="E94" s="57"/>
      <c r="F94" s="57"/>
      <c r="G94" s="57"/>
    </row>
    <row r="95" spans="1:7" ht="24" customHeight="1" x14ac:dyDescent="0.25">
      <c r="A95" s="59" t="s">
        <v>159</v>
      </c>
      <c r="B95" s="60"/>
      <c r="C95" s="57"/>
      <c r="D95" s="57"/>
      <c r="E95" s="57"/>
      <c r="F95" s="57"/>
      <c r="G95" s="57"/>
    </row>
    <row r="96" spans="1:7" ht="21.75" customHeight="1" x14ac:dyDescent="0.25">
      <c r="A96" s="61" t="s">
        <v>160</v>
      </c>
      <c r="B96" s="47"/>
      <c r="C96" s="57"/>
      <c r="D96" s="57"/>
      <c r="E96" s="57"/>
      <c r="F96" s="57"/>
      <c r="G96" s="57"/>
    </row>
    <row r="97" spans="1:7" x14ac:dyDescent="0.25">
      <c r="A97" s="56"/>
      <c r="B97" s="57"/>
      <c r="C97" s="57"/>
      <c r="D97" s="57"/>
      <c r="E97" s="57"/>
      <c r="F97" s="57"/>
      <c r="G97" s="57"/>
    </row>
    <row r="98" spans="1:7" x14ac:dyDescent="0.25">
      <c r="A98" s="3" t="s">
        <v>161</v>
      </c>
    </row>
    <row r="99" spans="1:7" x14ac:dyDescent="0.25">
      <c r="A99" s="61" t="s">
        <v>162</v>
      </c>
      <c r="B99" s="62"/>
    </row>
    <row r="100" spans="1:7" x14ac:dyDescent="0.25">
      <c r="A100" s="61" t="s">
        <v>163</v>
      </c>
      <c r="B100" s="62"/>
    </row>
    <row r="101" spans="1:7" x14ac:dyDescent="0.25">
      <c r="A101" s="61" t="s">
        <v>164</v>
      </c>
    </row>
    <row r="102" spans="1:7" x14ac:dyDescent="0.25">
      <c r="A102" s="61" t="s">
        <v>165</v>
      </c>
    </row>
    <row r="103" spans="1:7" x14ac:dyDescent="0.25">
      <c r="A103" s="61"/>
    </row>
    <row r="104" spans="1:7" x14ac:dyDescent="0.25">
      <c r="A104" s="3" t="s">
        <v>166</v>
      </c>
    </row>
    <row r="105" spans="1:7" ht="15.75" customHeight="1" x14ac:dyDescent="0.25">
      <c r="A105" s="177"/>
      <c r="B105" s="177"/>
      <c r="C105" s="177"/>
      <c r="D105" s="177"/>
      <c r="E105" s="177"/>
      <c r="F105" s="177"/>
      <c r="G105" s="177"/>
    </row>
    <row r="106" spans="1:7" x14ac:dyDescent="0.25">
      <c r="A106" s="177"/>
      <c r="B106" s="177"/>
      <c r="C106" s="177"/>
      <c r="D106" s="177"/>
      <c r="E106" s="177"/>
      <c r="F106" s="177"/>
      <c r="G106" s="177"/>
    </row>
    <row r="107" spans="1:7" x14ac:dyDescent="0.25">
      <c r="A107" s="177"/>
      <c r="B107" s="177"/>
      <c r="C107" s="177"/>
      <c r="D107" s="177"/>
      <c r="E107" s="177"/>
      <c r="F107" s="177"/>
      <c r="G107" s="177"/>
    </row>
    <row r="108" spans="1:7" x14ac:dyDescent="0.25">
      <c r="A108" s="177"/>
      <c r="B108" s="177"/>
      <c r="C108" s="177"/>
      <c r="D108" s="177"/>
      <c r="E108" s="177"/>
      <c r="F108" s="177"/>
      <c r="G108" s="177"/>
    </row>
    <row r="109" spans="1:7" x14ac:dyDescent="0.25">
      <c r="A109" s="177"/>
      <c r="B109" s="177"/>
      <c r="C109" s="177"/>
      <c r="D109" s="177"/>
      <c r="E109" s="177"/>
      <c r="F109" s="177"/>
      <c r="G109" s="177"/>
    </row>
    <row r="110" spans="1:7" x14ac:dyDescent="0.25">
      <c r="A110" s="5"/>
      <c r="B110" s="5"/>
      <c r="C110" s="5"/>
      <c r="D110" s="5"/>
      <c r="E110" s="5"/>
      <c r="F110" s="5"/>
      <c r="G110" s="5"/>
    </row>
    <row r="111" spans="1:7" x14ac:dyDescent="0.25">
      <c r="A111" s="5" t="s">
        <v>167</v>
      </c>
      <c r="B111" s="5"/>
      <c r="C111" s="5"/>
      <c r="D111" s="5"/>
      <c r="E111" s="5"/>
      <c r="F111" s="5"/>
      <c r="G111" s="5"/>
    </row>
    <row r="112" spans="1:7" x14ac:dyDescent="0.25">
      <c r="A112" s="188" t="s">
        <v>168</v>
      </c>
      <c r="B112" s="188"/>
      <c r="C112" s="188"/>
      <c r="D112" s="188"/>
      <c r="E112" s="188"/>
      <c r="F112" s="188"/>
      <c r="G112" s="188"/>
    </row>
    <row r="114" spans="1:6" x14ac:dyDescent="0.25">
      <c r="A114" s="3" t="s">
        <v>169</v>
      </c>
      <c r="B114" s="63">
        <f ca="1">TODAY()</f>
        <v>45156</v>
      </c>
    </row>
    <row r="115" spans="1:6" x14ac:dyDescent="0.25">
      <c r="A115" s="3" t="s">
        <v>170</v>
      </c>
    </row>
    <row r="116" spans="1:6" x14ac:dyDescent="0.25">
      <c r="A116" s="3"/>
    </row>
    <row r="117" spans="1:6" x14ac:dyDescent="0.25">
      <c r="A117" s="3"/>
    </row>
    <row r="118" spans="1:6" x14ac:dyDescent="0.25">
      <c r="A118" s="3"/>
    </row>
    <row r="119" spans="1:6" x14ac:dyDescent="0.25">
      <c r="A119" s="3"/>
    </row>
    <row r="120" spans="1:6" x14ac:dyDescent="0.25">
      <c r="A120" s="150" t="s">
        <v>296</v>
      </c>
    </row>
    <row r="121" spans="1:6" x14ac:dyDescent="0.25">
      <c r="A121" s="150" t="s">
        <v>297</v>
      </c>
    </row>
    <row r="122" spans="1:6" x14ac:dyDescent="0.25">
      <c r="A122" s="3"/>
    </row>
    <row r="123" spans="1:6" x14ac:dyDescent="0.25">
      <c r="A123" s="3"/>
    </row>
    <row r="124" spans="1:6" x14ac:dyDescent="0.25">
      <c r="A124" s="3" t="s">
        <v>171</v>
      </c>
      <c r="D124" s="3"/>
      <c r="F124" s="3" t="s">
        <v>172</v>
      </c>
    </row>
    <row r="125" spans="1:6" x14ac:dyDescent="0.25">
      <c r="A125" s="3"/>
    </row>
    <row r="126" spans="1:6" x14ac:dyDescent="0.25">
      <c r="A126" s="3"/>
    </row>
    <row r="127" spans="1:6" x14ac:dyDescent="0.25">
      <c r="A127" s="3"/>
    </row>
    <row r="128" spans="1:6" x14ac:dyDescent="0.25">
      <c r="A128" s="3"/>
    </row>
    <row r="129" spans="1:6" x14ac:dyDescent="0.25">
      <c r="A129" s="150" t="s">
        <v>296</v>
      </c>
      <c r="B129" s="3"/>
      <c r="F129" s="3" t="s">
        <v>173</v>
      </c>
    </row>
    <row r="130" spans="1:6" x14ac:dyDescent="0.25">
      <c r="A130" s="150" t="s">
        <v>297</v>
      </c>
      <c r="D130" s="3"/>
      <c r="F130" s="3" t="s">
        <v>174</v>
      </c>
    </row>
  </sheetData>
  <mergeCells count="35">
    <mergeCell ref="B90:D90"/>
    <mergeCell ref="B91:D91"/>
    <mergeCell ref="B92:D92"/>
    <mergeCell ref="A105:G109"/>
    <mergeCell ref="A112:G112"/>
    <mergeCell ref="B89:D89"/>
    <mergeCell ref="J41:J42"/>
    <mergeCell ref="B43:B44"/>
    <mergeCell ref="B45:B52"/>
    <mergeCell ref="B54:B55"/>
    <mergeCell ref="J58:J59"/>
    <mergeCell ref="E41:I41"/>
    <mergeCell ref="A77:G77"/>
    <mergeCell ref="A78:G83"/>
    <mergeCell ref="A86:G86"/>
    <mergeCell ref="B87:D87"/>
    <mergeCell ref="B88:D88"/>
    <mergeCell ref="A58:A59"/>
    <mergeCell ref="B58:B59"/>
    <mergeCell ref="C58:C59"/>
    <mergeCell ref="D58:D59"/>
    <mergeCell ref="E58:I58"/>
    <mergeCell ref="B28:B37"/>
    <mergeCell ref="A41:A42"/>
    <mergeCell ref="B41:B42"/>
    <mergeCell ref="C41:C42"/>
    <mergeCell ref="D41:D42"/>
    <mergeCell ref="A4:I4"/>
    <mergeCell ref="A6:J6"/>
    <mergeCell ref="A26:A27"/>
    <mergeCell ref="B26:B27"/>
    <mergeCell ref="C26:C27"/>
    <mergeCell ref="D26:D27"/>
    <mergeCell ref="E26:I26"/>
    <mergeCell ref="J26:J27"/>
  </mergeCells>
  <pageMargins left="0" right="0" top="0.6692913385826772" bottom="0" header="0.31496062992125984" footer="0.31496062992125984"/>
  <pageSetup paperSize="9" scale="62" orientation="landscape" verticalDpi="360" r:id="rId1"/>
  <headerFooter>
    <oddHeader>&amp;L&amp;G&amp;RUCM/FR/HCM/10 Rev 00
June 17, 2021</oddHeader>
  </headerFooter>
  <rowBreaks count="5" manualBreakCount="5">
    <brk id="29" max="16383" man="1"/>
    <brk id="33" max="16383" man="1"/>
    <brk id="40" max="16383" man="1"/>
    <brk id="52" max="16383" man="1"/>
    <brk id="84" max="16383"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4:K129"/>
  <sheetViews>
    <sheetView tabSelected="1" view="pageLayout" topLeftCell="A7" zoomScale="67" zoomScaleNormal="70" zoomScaleSheetLayoutView="58" zoomScalePageLayoutView="67" workbookViewId="0">
      <selection activeCell="D17" sqref="D17"/>
    </sheetView>
  </sheetViews>
  <sheetFormatPr defaultColWidth="9.140625" defaultRowHeight="15.75" x14ac:dyDescent="0.25"/>
  <cols>
    <col min="1" max="1" width="10.5703125" style="2" customWidth="1"/>
    <col min="2" max="2" width="26.42578125" style="2" customWidth="1"/>
    <col min="3" max="3" width="23.5703125" style="2" customWidth="1"/>
    <col min="4" max="4" width="35.5703125" style="2" customWidth="1"/>
    <col min="5" max="9" width="23.5703125" style="2" customWidth="1"/>
    <col min="10" max="10" width="9.140625" style="1"/>
    <col min="11" max="16384" width="9.140625" style="2"/>
  </cols>
  <sheetData>
    <row r="4" spans="1:9" ht="18.75" x14ac:dyDescent="0.25">
      <c r="A4" s="189" t="s">
        <v>0</v>
      </c>
      <c r="B4" s="189"/>
      <c r="C4" s="189"/>
      <c r="D4" s="189"/>
      <c r="E4" s="189"/>
      <c r="F4" s="189"/>
      <c r="G4" s="189"/>
      <c r="H4" s="189"/>
      <c r="I4" s="189"/>
    </row>
    <row r="5" spans="1:9" x14ac:dyDescent="0.25">
      <c r="A5" s="64"/>
    </row>
    <row r="6" spans="1:9" ht="35.25" customHeight="1" x14ac:dyDescent="0.25">
      <c r="A6" s="190" t="s">
        <v>1</v>
      </c>
      <c r="B6" s="190"/>
      <c r="C6" s="190"/>
      <c r="D6" s="190"/>
      <c r="E6" s="190"/>
      <c r="F6" s="190"/>
      <c r="G6" s="190"/>
      <c r="H6" s="190"/>
      <c r="I6" s="190"/>
    </row>
    <row r="7" spans="1:9" x14ac:dyDescent="0.25">
      <c r="A7" s="65"/>
    </row>
    <row r="8" spans="1:9" x14ac:dyDescent="0.25">
      <c r="A8" s="64"/>
    </row>
    <row r="9" spans="1:9" x14ac:dyDescent="0.25">
      <c r="A9" s="64" t="s">
        <v>2</v>
      </c>
    </row>
    <row r="10" spans="1:9" x14ac:dyDescent="0.25">
      <c r="A10" s="64"/>
    </row>
    <row r="11" spans="1:9" x14ac:dyDescent="0.25">
      <c r="B11" s="64" t="s">
        <v>3</v>
      </c>
      <c r="C11" s="64"/>
    </row>
    <row r="12" spans="1:9" x14ac:dyDescent="0.25">
      <c r="B12" s="64" t="s">
        <v>4</v>
      </c>
      <c r="C12" s="64"/>
    </row>
    <row r="13" spans="1:9" x14ac:dyDescent="0.25">
      <c r="B13" s="64" t="s">
        <v>5</v>
      </c>
      <c r="C13" s="64"/>
    </row>
    <row r="14" spans="1:9" x14ac:dyDescent="0.25">
      <c r="A14" s="64"/>
    </row>
    <row r="15" spans="1:9" x14ac:dyDescent="0.25">
      <c r="A15" s="64"/>
    </row>
    <row r="16" spans="1:9" x14ac:dyDescent="0.25">
      <c r="A16" s="64" t="s">
        <v>6</v>
      </c>
    </row>
    <row r="17" spans="1:10" x14ac:dyDescent="0.25">
      <c r="A17" s="64"/>
    </row>
    <row r="18" spans="1:10" x14ac:dyDescent="0.25">
      <c r="B18" s="64" t="s">
        <v>3</v>
      </c>
      <c r="C18" s="64"/>
    </row>
    <row r="19" spans="1:10" x14ac:dyDescent="0.25">
      <c r="B19" s="64" t="s">
        <v>7</v>
      </c>
      <c r="C19" s="66"/>
    </row>
    <row r="20" spans="1:10" x14ac:dyDescent="0.25">
      <c r="B20" s="64" t="s">
        <v>4</v>
      </c>
      <c r="C20" s="64"/>
    </row>
    <row r="21" spans="1:10" x14ac:dyDescent="0.25">
      <c r="B21" s="64" t="s">
        <v>8</v>
      </c>
      <c r="C21" s="64"/>
    </row>
    <row r="22" spans="1:10" x14ac:dyDescent="0.25">
      <c r="B22" s="2" t="s">
        <v>9</v>
      </c>
      <c r="C22" s="64"/>
    </row>
    <row r="24" spans="1:10" x14ac:dyDescent="0.25">
      <c r="A24" s="6" t="s">
        <v>10</v>
      </c>
    </row>
    <row r="26" spans="1:10" x14ac:dyDescent="0.25">
      <c r="A26" s="162" t="s">
        <v>11</v>
      </c>
      <c r="B26" s="162" t="s">
        <v>12</v>
      </c>
      <c r="C26" s="162" t="s">
        <v>13</v>
      </c>
      <c r="D26" s="162" t="s">
        <v>14</v>
      </c>
      <c r="E26" s="162" t="s">
        <v>15</v>
      </c>
      <c r="F26" s="162"/>
      <c r="G26" s="162"/>
      <c r="H26" s="162"/>
      <c r="I26" s="162"/>
      <c r="J26" s="160" t="s">
        <v>16</v>
      </c>
    </row>
    <row r="27" spans="1:10" x14ac:dyDescent="0.25">
      <c r="A27" s="162"/>
      <c r="B27" s="162"/>
      <c r="C27" s="162"/>
      <c r="D27" s="162"/>
      <c r="E27" s="7">
        <v>1</v>
      </c>
      <c r="F27" s="7">
        <v>2</v>
      </c>
      <c r="G27" s="7">
        <v>3</v>
      </c>
      <c r="H27" s="7">
        <v>4</v>
      </c>
      <c r="I27" s="7">
        <v>5</v>
      </c>
      <c r="J27" s="161"/>
    </row>
    <row r="28" spans="1:10" ht="57.75" customHeight="1" x14ac:dyDescent="0.25">
      <c r="A28" s="8">
        <v>1</v>
      </c>
      <c r="B28" s="179" t="s">
        <v>294</v>
      </c>
      <c r="C28" s="9" t="s">
        <v>175</v>
      </c>
      <c r="D28" s="10" t="s">
        <v>176</v>
      </c>
      <c r="E28" s="191" t="s">
        <v>177</v>
      </c>
      <c r="F28" s="192"/>
      <c r="G28" s="192"/>
      <c r="H28" s="192"/>
      <c r="I28" s="193"/>
      <c r="J28" s="8"/>
    </row>
    <row r="29" spans="1:10" ht="94.5" x14ac:dyDescent="0.25">
      <c r="A29" s="8">
        <v>2</v>
      </c>
      <c r="B29" s="179"/>
      <c r="C29" s="9" t="s">
        <v>178</v>
      </c>
      <c r="D29" s="10" t="s">
        <v>179</v>
      </c>
      <c r="E29" s="34" t="s">
        <v>180</v>
      </c>
      <c r="F29" s="34" t="s">
        <v>181</v>
      </c>
      <c r="G29" s="34" t="s">
        <v>182</v>
      </c>
      <c r="H29" s="34" t="s">
        <v>183</v>
      </c>
      <c r="I29" s="139">
        <v>1</v>
      </c>
      <c r="J29" s="8"/>
    </row>
    <row r="30" spans="1:10" ht="47.25" x14ac:dyDescent="0.25">
      <c r="A30" s="8">
        <v>3</v>
      </c>
      <c r="B30" s="179" t="s">
        <v>184</v>
      </c>
      <c r="C30" s="9" t="s">
        <v>185</v>
      </c>
      <c r="D30" s="10" t="s">
        <v>186</v>
      </c>
      <c r="E30" s="140"/>
      <c r="F30" s="141"/>
      <c r="G30" s="141"/>
      <c r="H30" s="142"/>
      <c r="I30" s="141"/>
      <c r="J30" s="67"/>
    </row>
    <row r="31" spans="1:10" ht="63" x14ac:dyDescent="0.25">
      <c r="A31" s="8">
        <v>4</v>
      </c>
      <c r="B31" s="179"/>
      <c r="C31" s="9" t="s">
        <v>187</v>
      </c>
      <c r="D31" s="68" t="s">
        <v>188</v>
      </c>
      <c r="E31" s="34" t="s">
        <v>189</v>
      </c>
      <c r="F31" s="34" t="s">
        <v>190</v>
      </c>
      <c r="G31" s="34" t="s">
        <v>191</v>
      </c>
      <c r="H31" s="34" t="s">
        <v>192</v>
      </c>
      <c r="I31" s="34" t="s">
        <v>193</v>
      </c>
      <c r="J31" s="8"/>
    </row>
    <row r="32" spans="1:10" ht="47.25" x14ac:dyDescent="0.25">
      <c r="A32" s="8">
        <v>5</v>
      </c>
      <c r="B32" s="194" t="s">
        <v>194</v>
      </c>
      <c r="C32" s="9" t="s">
        <v>195</v>
      </c>
      <c r="D32" s="10" t="s">
        <v>186</v>
      </c>
      <c r="E32" s="140"/>
      <c r="F32" s="141"/>
      <c r="G32" s="141"/>
      <c r="H32" s="141"/>
      <c r="I32" s="141"/>
      <c r="J32" s="67"/>
    </row>
    <row r="33" spans="1:11" ht="63" x14ac:dyDescent="0.25">
      <c r="A33" s="8">
        <v>6</v>
      </c>
      <c r="B33" s="195"/>
      <c r="C33" s="9" t="s">
        <v>196</v>
      </c>
      <c r="D33" s="10" t="s">
        <v>197</v>
      </c>
      <c r="E33" s="34" t="s">
        <v>198</v>
      </c>
      <c r="F33" s="34" t="s">
        <v>199</v>
      </c>
      <c r="G33" s="34" t="s">
        <v>200</v>
      </c>
      <c r="H33" s="34" t="s">
        <v>201</v>
      </c>
      <c r="I33" s="34" t="s">
        <v>202</v>
      </c>
      <c r="J33" s="8"/>
    </row>
    <row r="34" spans="1:11" s="11" customFormat="1" ht="47.25" x14ac:dyDescent="0.25">
      <c r="A34" s="8">
        <v>7</v>
      </c>
      <c r="B34" s="194" t="s">
        <v>203</v>
      </c>
      <c r="C34" s="9" t="s">
        <v>204</v>
      </c>
      <c r="D34" s="69" t="s">
        <v>205</v>
      </c>
      <c r="E34" s="143">
        <v>0</v>
      </c>
      <c r="F34" s="143">
        <v>0.4</v>
      </c>
      <c r="G34" s="143">
        <v>0.8</v>
      </c>
      <c r="H34" s="143">
        <v>1</v>
      </c>
      <c r="I34" s="144" t="s">
        <v>206</v>
      </c>
      <c r="J34" s="8"/>
      <c r="K34" s="2"/>
    </row>
    <row r="35" spans="1:11" ht="47.25" x14ac:dyDescent="0.25">
      <c r="A35" s="8">
        <v>8</v>
      </c>
      <c r="B35" s="195"/>
      <c r="C35" s="9" t="s">
        <v>207</v>
      </c>
      <c r="D35" s="69" t="s">
        <v>208</v>
      </c>
      <c r="E35" s="34" t="s">
        <v>209</v>
      </c>
      <c r="F35" s="34" t="s">
        <v>210</v>
      </c>
      <c r="G35" s="34" t="s">
        <v>211</v>
      </c>
      <c r="H35" s="34" t="s">
        <v>212</v>
      </c>
      <c r="I35" s="34" t="s">
        <v>213</v>
      </c>
      <c r="J35" s="8"/>
    </row>
    <row r="36" spans="1:11" ht="59.25" customHeight="1" x14ac:dyDescent="0.25">
      <c r="A36" s="8">
        <v>9</v>
      </c>
      <c r="B36" s="70" t="s">
        <v>214</v>
      </c>
      <c r="C36" s="9" t="s">
        <v>215</v>
      </c>
      <c r="D36" s="10" t="s">
        <v>216</v>
      </c>
      <c r="E36" s="145" t="s">
        <v>217</v>
      </c>
      <c r="F36" s="145" t="s">
        <v>218</v>
      </c>
      <c r="G36" s="145" t="s">
        <v>219</v>
      </c>
      <c r="H36" s="145" t="s">
        <v>220</v>
      </c>
      <c r="I36" s="145" t="s">
        <v>221</v>
      </c>
      <c r="J36" s="8"/>
    </row>
    <row r="37" spans="1:11" ht="75" customHeight="1" x14ac:dyDescent="0.25">
      <c r="A37" s="8">
        <v>10</v>
      </c>
      <c r="B37" s="12" t="s">
        <v>222</v>
      </c>
      <c r="C37" s="9" t="s">
        <v>76</v>
      </c>
      <c r="D37" s="10" t="s">
        <v>77</v>
      </c>
      <c r="E37" s="69" t="s">
        <v>78</v>
      </c>
      <c r="F37" s="69" t="s">
        <v>79</v>
      </c>
      <c r="G37" s="69" t="s">
        <v>80</v>
      </c>
      <c r="H37" s="69" t="s">
        <v>81</v>
      </c>
      <c r="I37" s="69" t="s">
        <v>82</v>
      </c>
      <c r="J37" s="8"/>
    </row>
    <row r="38" spans="1:11" x14ac:dyDescent="0.25">
      <c r="A38" s="13"/>
      <c r="B38" s="14"/>
      <c r="C38" s="15"/>
      <c r="D38" s="16" t="s">
        <v>83</v>
      </c>
      <c r="E38" s="17"/>
      <c r="F38" s="17"/>
      <c r="G38" s="71"/>
      <c r="H38" s="71"/>
      <c r="I38" s="71"/>
      <c r="J38" s="72" t="e">
        <f>AVERAGE(J28:J37)</f>
        <v>#DIV/0!</v>
      </c>
    </row>
    <row r="39" spans="1:11" x14ac:dyDescent="0.25">
      <c r="A39" s="18"/>
      <c r="B39" s="19"/>
      <c r="C39" s="20"/>
      <c r="D39" s="16" t="s">
        <v>16</v>
      </c>
      <c r="E39" s="73" t="e">
        <f>70%*J38</f>
        <v>#DIV/0!</v>
      </c>
      <c r="F39" s="74"/>
      <c r="G39" s="23"/>
      <c r="H39" s="23"/>
      <c r="I39" s="23"/>
      <c r="J39" s="24"/>
    </row>
    <row r="40" spans="1:11" ht="15.75" customHeight="1" x14ac:dyDescent="0.25">
      <c r="A40" s="176" t="s">
        <v>11</v>
      </c>
      <c r="B40" s="176" t="s">
        <v>12</v>
      </c>
      <c r="C40" s="176" t="s">
        <v>13</v>
      </c>
      <c r="D40" s="176" t="s">
        <v>14</v>
      </c>
      <c r="E40" s="162" t="s">
        <v>15</v>
      </c>
      <c r="F40" s="162"/>
      <c r="G40" s="162"/>
      <c r="H40" s="162"/>
      <c r="I40" s="162"/>
      <c r="J40" s="186" t="s">
        <v>16</v>
      </c>
    </row>
    <row r="41" spans="1:11" x14ac:dyDescent="0.25">
      <c r="A41" s="176"/>
      <c r="B41" s="176"/>
      <c r="C41" s="176"/>
      <c r="D41" s="176"/>
      <c r="E41" s="25">
        <v>1</v>
      </c>
      <c r="F41" s="25">
        <v>2</v>
      </c>
      <c r="G41" s="25">
        <v>3</v>
      </c>
      <c r="H41" s="25">
        <v>4</v>
      </c>
      <c r="I41" s="25">
        <v>5</v>
      </c>
      <c r="J41" s="187"/>
    </row>
    <row r="42" spans="1:11" ht="47.25" x14ac:dyDescent="0.25">
      <c r="A42" s="8">
        <v>1</v>
      </c>
      <c r="B42" s="179" t="s">
        <v>223</v>
      </c>
      <c r="C42" s="26" t="s">
        <v>85</v>
      </c>
      <c r="D42" s="27" t="s">
        <v>86</v>
      </c>
      <c r="E42" s="106" t="s">
        <v>87</v>
      </c>
      <c r="F42" s="106" t="s">
        <v>88</v>
      </c>
      <c r="G42" s="106" t="s">
        <v>89</v>
      </c>
      <c r="H42" s="106" t="s">
        <v>90</v>
      </c>
      <c r="I42" s="106" t="s">
        <v>91</v>
      </c>
      <c r="J42" s="8"/>
    </row>
    <row r="43" spans="1:11" ht="63" x14ac:dyDescent="0.25">
      <c r="A43" s="8">
        <v>2</v>
      </c>
      <c r="B43" s="179"/>
      <c r="C43" s="26" t="s">
        <v>92</v>
      </c>
      <c r="D43" s="27" t="s">
        <v>93</v>
      </c>
      <c r="E43" s="106" t="s">
        <v>87</v>
      </c>
      <c r="F43" s="106" t="s">
        <v>88</v>
      </c>
      <c r="G43" s="106" t="s">
        <v>89</v>
      </c>
      <c r="H43" s="106" t="s">
        <v>90</v>
      </c>
      <c r="I43" s="106" t="s">
        <v>91</v>
      </c>
      <c r="J43" s="8"/>
    </row>
    <row r="44" spans="1:11" ht="63" x14ac:dyDescent="0.25">
      <c r="A44" s="8">
        <v>3</v>
      </c>
      <c r="B44" s="180" t="s">
        <v>224</v>
      </c>
      <c r="C44" s="26" t="s">
        <v>95</v>
      </c>
      <c r="D44" s="27" t="s">
        <v>96</v>
      </c>
      <c r="E44" s="106" t="s">
        <v>87</v>
      </c>
      <c r="F44" s="106" t="s">
        <v>88</v>
      </c>
      <c r="G44" s="106" t="s">
        <v>89</v>
      </c>
      <c r="H44" s="106" t="s">
        <v>90</v>
      </c>
      <c r="I44" s="106" t="s">
        <v>91</v>
      </c>
      <c r="J44" s="8"/>
    </row>
    <row r="45" spans="1:11" ht="63" x14ac:dyDescent="0.25">
      <c r="A45" s="8">
        <v>4</v>
      </c>
      <c r="B45" s="181"/>
      <c r="C45" s="26" t="s">
        <v>97</v>
      </c>
      <c r="D45" s="27" t="s">
        <v>98</v>
      </c>
      <c r="E45" s="106" t="s">
        <v>87</v>
      </c>
      <c r="F45" s="106" t="s">
        <v>88</v>
      </c>
      <c r="G45" s="106" t="s">
        <v>89</v>
      </c>
      <c r="H45" s="106" t="s">
        <v>90</v>
      </c>
      <c r="I45" s="106" t="s">
        <v>91</v>
      </c>
      <c r="J45" s="8"/>
    </row>
    <row r="46" spans="1:11" ht="94.5" x14ac:dyDescent="0.25">
      <c r="A46" s="8">
        <v>5</v>
      </c>
      <c r="B46" s="181"/>
      <c r="C46" s="26" t="s">
        <v>99</v>
      </c>
      <c r="D46" s="27" t="s">
        <v>100</v>
      </c>
      <c r="E46" s="106" t="s">
        <v>87</v>
      </c>
      <c r="F46" s="106" t="s">
        <v>88</v>
      </c>
      <c r="G46" s="106" t="s">
        <v>89</v>
      </c>
      <c r="H46" s="106" t="s">
        <v>90</v>
      </c>
      <c r="I46" s="106" t="s">
        <v>91</v>
      </c>
      <c r="J46" s="8"/>
    </row>
    <row r="47" spans="1:11" ht="78.75" x14ac:dyDescent="0.25">
      <c r="A47" s="8">
        <v>6</v>
      </c>
      <c r="B47" s="181"/>
      <c r="C47" s="26" t="s">
        <v>101</v>
      </c>
      <c r="D47" s="27" t="s">
        <v>102</v>
      </c>
      <c r="E47" s="106" t="s">
        <v>87</v>
      </c>
      <c r="F47" s="106" t="s">
        <v>88</v>
      </c>
      <c r="G47" s="106" t="s">
        <v>89</v>
      </c>
      <c r="H47" s="106" t="s">
        <v>90</v>
      </c>
      <c r="I47" s="106" t="s">
        <v>91</v>
      </c>
      <c r="J47" s="8"/>
    </row>
    <row r="48" spans="1:11" ht="31.5" x14ac:dyDescent="0.25">
      <c r="A48" s="8">
        <v>7</v>
      </c>
      <c r="B48" s="181"/>
      <c r="C48" s="26" t="s">
        <v>103</v>
      </c>
      <c r="D48" s="27" t="s">
        <v>104</v>
      </c>
      <c r="E48" s="106" t="s">
        <v>87</v>
      </c>
      <c r="F48" s="106" t="s">
        <v>88</v>
      </c>
      <c r="G48" s="106" t="s">
        <v>89</v>
      </c>
      <c r="H48" s="106" t="s">
        <v>90</v>
      </c>
      <c r="I48" s="106" t="s">
        <v>91</v>
      </c>
      <c r="J48" s="8"/>
    </row>
    <row r="49" spans="1:11" ht="63" x14ac:dyDescent="0.25">
      <c r="A49" s="8">
        <v>8</v>
      </c>
      <c r="B49" s="181"/>
      <c r="C49" s="26" t="s">
        <v>105</v>
      </c>
      <c r="D49" s="27" t="s">
        <v>106</v>
      </c>
      <c r="E49" s="106" t="s">
        <v>87</v>
      </c>
      <c r="F49" s="106" t="s">
        <v>88</v>
      </c>
      <c r="G49" s="106" t="s">
        <v>89</v>
      </c>
      <c r="H49" s="106" t="s">
        <v>90</v>
      </c>
      <c r="I49" s="106" t="s">
        <v>91</v>
      </c>
      <c r="J49" s="8"/>
    </row>
    <row r="50" spans="1:11" ht="63" x14ac:dyDescent="0.25">
      <c r="A50" s="8">
        <v>9</v>
      </c>
      <c r="B50" s="181"/>
      <c r="C50" s="26" t="s">
        <v>107</v>
      </c>
      <c r="D50" s="27" t="s">
        <v>108</v>
      </c>
      <c r="E50" s="106" t="s">
        <v>87</v>
      </c>
      <c r="F50" s="106" t="s">
        <v>88</v>
      </c>
      <c r="G50" s="106" t="s">
        <v>89</v>
      </c>
      <c r="H50" s="106" t="s">
        <v>90</v>
      </c>
      <c r="I50" s="106" t="s">
        <v>91</v>
      </c>
      <c r="J50" s="8"/>
    </row>
    <row r="51" spans="1:11" ht="78.75" x14ac:dyDescent="0.25">
      <c r="A51" s="8">
        <v>10</v>
      </c>
      <c r="B51" s="182"/>
      <c r="C51" s="26" t="s">
        <v>109</v>
      </c>
      <c r="D51" s="27" t="s">
        <v>110</v>
      </c>
      <c r="E51" s="106" t="s">
        <v>87</v>
      </c>
      <c r="F51" s="106" t="s">
        <v>88</v>
      </c>
      <c r="G51" s="106" t="s">
        <v>89</v>
      </c>
      <c r="H51" s="106" t="s">
        <v>90</v>
      </c>
      <c r="I51" s="106" t="s">
        <v>91</v>
      </c>
      <c r="J51" s="8"/>
    </row>
    <row r="52" spans="1:11" ht="63" x14ac:dyDescent="0.25">
      <c r="A52" s="8">
        <v>11</v>
      </c>
      <c r="B52" s="28" t="s">
        <v>225</v>
      </c>
      <c r="C52" s="26" t="s">
        <v>112</v>
      </c>
      <c r="D52" s="27" t="s">
        <v>113</v>
      </c>
      <c r="E52" s="106" t="s">
        <v>87</v>
      </c>
      <c r="F52" s="106" t="s">
        <v>88</v>
      </c>
      <c r="G52" s="106" t="s">
        <v>89</v>
      </c>
      <c r="H52" s="106" t="s">
        <v>90</v>
      </c>
      <c r="I52" s="106" t="s">
        <v>91</v>
      </c>
      <c r="J52" s="8"/>
    </row>
    <row r="53" spans="1:11" ht="63" x14ac:dyDescent="0.25">
      <c r="A53" s="8">
        <v>12</v>
      </c>
      <c r="B53" s="179" t="s">
        <v>226</v>
      </c>
      <c r="C53" s="26" t="s">
        <v>115</v>
      </c>
      <c r="D53" s="27" t="s">
        <v>116</v>
      </c>
      <c r="E53" s="106" t="s">
        <v>87</v>
      </c>
      <c r="F53" s="106" t="s">
        <v>88</v>
      </c>
      <c r="G53" s="106" t="s">
        <v>89</v>
      </c>
      <c r="H53" s="106" t="s">
        <v>90</v>
      </c>
      <c r="I53" s="106" t="s">
        <v>91</v>
      </c>
      <c r="J53" s="8"/>
    </row>
    <row r="54" spans="1:11" ht="63" x14ac:dyDescent="0.25">
      <c r="A54" s="8">
        <v>13</v>
      </c>
      <c r="B54" s="179"/>
      <c r="C54" s="26" t="s">
        <v>117</v>
      </c>
      <c r="D54" s="29" t="s">
        <v>118</v>
      </c>
      <c r="E54" s="106" t="s">
        <v>87</v>
      </c>
      <c r="F54" s="106" t="s">
        <v>88</v>
      </c>
      <c r="G54" s="106" t="s">
        <v>89</v>
      </c>
      <c r="H54" s="106" t="s">
        <v>90</v>
      </c>
      <c r="I54" s="106" t="s">
        <v>91</v>
      </c>
      <c r="J54" s="8"/>
    </row>
    <row r="55" spans="1:11" x14ac:dyDescent="0.25">
      <c r="A55" s="13"/>
      <c r="B55" s="14"/>
      <c r="C55" s="15"/>
      <c r="D55" s="16" t="s">
        <v>83</v>
      </c>
      <c r="E55" s="30"/>
      <c r="F55" s="30"/>
      <c r="G55" s="30"/>
      <c r="H55" s="30"/>
      <c r="I55" s="30"/>
      <c r="J55" s="8" t="e">
        <f>AVERAGE(J42:J54)</f>
        <v>#DIV/0!</v>
      </c>
    </row>
    <row r="56" spans="1:11" x14ac:dyDescent="0.25">
      <c r="A56" s="18"/>
      <c r="B56" s="19"/>
      <c r="C56" s="20"/>
      <c r="D56" s="16" t="s">
        <v>16</v>
      </c>
      <c r="E56" s="21" t="e">
        <f>20%*J55</f>
        <v>#DIV/0!</v>
      </c>
      <c r="F56" s="22"/>
      <c r="G56" s="23"/>
      <c r="H56" s="23"/>
      <c r="I56" s="23"/>
      <c r="J56" s="24"/>
    </row>
    <row r="57" spans="1:11" x14ac:dyDescent="0.25">
      <c r="A57" s="162" t="s">
        <v>11</v>
      </c>
      <c r="B57" s="162" t="s">
        <v>12</v>
      </c>
      <c r="C57" s="162" t="s">
        <v>13</v>
      </c>
      <c r="D57" s="162" t="s">
        <v>14</v>
      </c>
      <c r="E57" s="215" t="s">
        <v>15</v>
      </c>
      <c r="F57" s="216"/>
      <c r="G57" s="216"/>
      <c r="H57" s="216"/>
      <c r="I57" s="217"/>
      <c r="J57" s="162" t="s">
        <v>16</v>
      </c>
    </row>
    <row r="58" spans="1:11" x14ac:dyDescent="0.25">
      <c r="A58" s="162"/>
      <c r="B58" s="162"/>
      <c r="C58" s="162"/>
      <c r="D58" s="162"/>
      <c r="E58" s="31">
        <v>1</v>
      </c>
      <c r="F58" s="31">
        <v>2</v>
      </c>
      <c r="G58" s="31">
        <v>3</v>
      </c>
      <c r="H58" s="31">
        <v>4</v>
      </c>
      <c r="I58" s="31">
        <v>5</v>
      </c>
      <c r="J58" s="162"/>
    </row>
    <row r="59" spans="1:11" s="3" customFormat="1" ht="45.75" customHeight="1" x14ac:dyDescent="0.25">
      <c r="A59" s="8">
        <v>1</v>
      </c>
      <c r="B59" s="32" t="s">
        <v>227</v>
      </c>
      <c r="C59" s="33" t="s">
        <v>120</v>
      </c>
      <c r="D59" s="34" t="s">
        <v>121</v>
      </c>
      <c r="E59" s="136" t="s">
        <v>122</v>
      </c>
      <c r="F59" s="136" t="s">
        <v>123</v>
      </c>
      <c r="G59" s="136" t="s">
        <v>124</v>
      </c>
      <c r="H59" s="136" t="s">
        <v>125</v>
      </c>
      <c r="I59" s="136" t="s">
        <v>126</v>
      </c>
      <c r="J59" s="8"/>
      <c r="K59" s="2"/>
    </row>
    <row r="60" spans="1:11" x14ac:dyDescent="0.25">
      <c r="A60" s="13"/>
      <c r="B60" s="14"/>
      <c r="C60" s="15"/>
      <c r="D60" s="16" t="s">
        <v>83</v>
      </c>
      <c r="E60" s="35"/>
      <c r="F60" s="35"/>
      <c r="G60" s="35"/>
      <c r="H60" s="35"/>
      <c r="I60" s="35"/>
      <c r="J60" s="36" t="e">
        <f>AVERAGE(J59:J59)</f>
        <v>#DIV/0!</v>
      </c>
    </row>
    <row r="61" spans="1:11" x14ac:dyDescent="0.25">
      <c r="A61" s="37"/>
      <c r="B61" s="38"/>
      <c r="C61" s="39"/>
      <c r="D61" s="16" t="s">
        <v>16</v>
      </c>
      <c r="E61" s="40" t="e">
        <f>10%*J60</f>
        <v>#DIV/0!</v>
      </c>
      <c r="F61" s="22"/>
      <c r="G61" s="23"/>
      <c r="H61" s="23"/>
      <c r="I61" s="23"/>
      <c r="J61" s="24"/>
    </row>
    <row r="62" spans="1:11" x14ac:dyDescent="0.25">
      <c r="B62" s="41"/>
      <c r="C62" s="42"/>
      <c r="D62" s="43" t="s">
        <v>127</v>
      </c>
      <c r="E62" s="75" t="e">
        <f>E39+E56+E61</f>
        <v>#DIV/0!</v>
      </c>
    </row>
    <row r="63" spans="1:11" x14ac:dyDescent="0.25">
      <c r="B63" s="45"/>
      <c r="C63" s="42"/>
      <c r="D63" s="43" t="s">
        <v>128</v>
      </c>
      <c r="E63" s="33"/>
    </row>
    <row r="64" spans="1:11" x14ac:dyDescent="0.25">
      <c r="A64" s="76"/>
      <c r="B64" s="76"/>
      <c r="C64" s="76"/>
      <c r="D64" s="76"/>
    </row>
    <row r="65" spans="1:7" x14ac:dyDescent="0.25">
      <c r="A65" s="46"/>
      <c r="B65" s="47" t="s">
        <v>129</v>
      </c>
      <c r="C65" s="46"/>
      <c r="D65" s="46"/>
    </row>
    <row r="66" spans="1:7" x14ac:dyDescent="0.25">
      <c r="B66" s="77" t="s">
        <v>83</v>
      </c>
      <c r="C66" s="77" t="s">
        <v>13</v>
      </c>
      <c r="D66" s="77" t="s">
        <v>130</v>
      </c>
    </row>
    <row r="67" spans="1:7" x14ac:dyDescent="0.25">
      <c r="B67" s="30" t="s">
        <v>131</v>
      </c>
      <c r="C67" s="30" t="s">
        <v>132</v>
      </c>
      <c r="D67" s="30" t="s">
        <v>133</v>
      </c>
    </row>
    <row r="68" spans="1:7" x14ac:dyDescent="0.25">
      <c r="B68" s="30" t="s">
        <v>134</v>
      </c>
      <c r="C68" s="30" t="s">
        <v>135</v>
      </c>
      <c r="D68" s="30" t="s">
        <v>136</v>
      </c>
    </row>
    <row r="69" spans="1:7" x14ac:dyDescent="0.25">
      <c r="B69" s="30" t="s">
        <v>137</v>
      </c>
      <c r="C69" s="30" t="s">
        <v>138</v>
      </c>
      <c r="D69" s="30" t="s">
        <v>139</v>
      </c>
    </row>
    <row r="70" spans="1:7" x14ac:dyDescent="0.25">
      <c r="B70" s="30" t="s">
        <v>140</v>
      </c>
      <c r="C70" s="30" t="s">
        <v>141</v>
      </c>
      <c r="D70" s="30" t="s">
        <v>142</v>
      </c>
    </row>
    <row r="71" spans="1:7" x14ac:dyDescent="0.25">
      <c r="B71" s="30" t="s">
        <v>143</v>
      </c>
      <c r="C71" s="30" t="s">
        <v>144</v>
      </c>
      <c r="D71" s="30" t="s">
        <v>145</v>
      </c>
    </row>
    <row r="72" spans="1:7" x14ac:dyDescent="0.25">
      <c r="B72" s="30" t="s">
        <v>146</v>
      </c>
      <c r="C72" s="30" t="s">
        <v>147</v>
      </c>
      <c r="D72" s="30" t="s">
        <v>148</v>
      </c>
    </row>
    <row r="73" spans="1:7" x14ac:dyDescent="0.25">
      <c r="B73" s="30" t="s">
        <v>149</v>
      </c>
      <c r="C73" s="30" t="s">
        <v>150</v>
      </c>
      <c r="D73" s="30" t="s">
        <v>151</v>
      </c>
    </row>
    <row r="74" spans="1:7" x14ac:dyDescent="0.25">
      <c r="A74" s="76"/>
      <c r="B74" s="76"/>
      <c r="C74" s="76"/>
      <c r="D74" s="76"/>
    </row>
    <row r="76" spans="1:7" ht="30" customHeight="1" x14ac:dyDescent="0.25">
      <c r="A76" s="196" t="s">
        <v>228</v>
      </c>
      <c r="B76" s="197"/>
      <c r="C76" s="197"/>
      <c r="D76" s="197"/>
      <c r="E76" s="197"/>
      <c r="F76" s="197"/>
      <c r="G76" s="198"/>
    </row>
    <row r="77" spans="1:7" x14ac:dyDescent="0.25">
      <c r="A77" s="168"/>
      <c r="B77" s="168"/>
      <c r="C77" s="168"/>
      <c r="D77" s="168"/>
      <c r="E77" s="168"/>
      <c r="F77" s="168"/>
      <c r="G77" s="168"/>
    </row>
    <row r="78" spans="1:7" x14ac:dyDescent="0.25">
      <c r="A78" s="168"/>
      <c r="B78" s="168"/>
      <c r="C78" s="168"/>
      <c r="D78" s="168"/>
      <c r="E78" s="168"/>
      <c r="F78" s="168"/>
      <c r="G78" s="168"/>
    </row>
    <row r="79" spans="1:7" x14ac:dyDescent="0.25">
      <c r="A79" s="168"/>
      <c r="B79" s="168"/>
      <c r="C79" s="168"/>
      <c r="D79" s="168"/>
      <c r="E79" s="168"/>
      <c r="F79" s="168"/>
      <c r="G79" s="168"/>
    </row>
    <row r="80" spans="1:7" x14ac:dyDescent="0.25">
      <c r="A80" s="168"/>
      <c r="B80" s="168"/>
      <c r="C80" s="168"/>
      <c r="D80" s="168"/>
      <c r="E80" s="168"/>
      <c r="F80" s="168"/>
      <c r="G80" s="168"/>
    </row>
    <row r="81" spans="1:7" x14ac:dyDescent="0.25">
      <c r="A81" s="168"/>
      <c r="B81" s="168"/>
      <c r="C81" s="168"/>
      <c r="D81" s="168"/>
      <c r="E81" s="168"/>
      <c r="F81" s="168"/>
      <c r="G81" s="168"/>
    </row>
    <row r="82" spans="1:7" x14ac:dyDescent="0.25">
      <c r="A82" s="168"/>
      <c r="B82" s="168"/>
      <c r="C82" s="168"/>
      <c r="D82" s="168"/>
      <c r="E82" s="168"/>
      <c r="F82" s="168"/>
      <c r="G82" s="168"/>
    </row>
    <row r="83" spans="1:7" ht="15" customHeight="1" x14ac:dyDescent="0.25">
      <c r="A83" s="78"/>
      <c r="B83" s="78"/>
      <c r="C83" s="78"/>
      <c r="D83" s="78"/>
      <c r="E83" s="78"/>
      <c r="F83" s="78"/>
      <c r="G83" s="78"/>
    </row>
    <row r="84" spans="1:7" ht="15" customHeight="1" x14ac:dyDescent="0.25">
      <c r="A84" s="79"/>
      <c r="B84" s="79"/>
      <c r="C84" s="79"/>
      <c r="D84" s="79"/>
      <c r="E84" s="79"/>
      <c r="F84" s="79"/>
      <c r="G84" s="79"/>
    </row>
    <row r="85" spans="1:7" ht="15.75" customHeight="1" x14ac:dyDescent="0.25">
      <c r="A85" s="212" t="s">
        <v>153</v>
      </c>
      <c r="B85" s="213"/>
      <c r="C85" s="213"/>
      <c r="D85" s="213"/>
      <c r="E85" s="213"/>
      <c r="F85" s="213"/>
      <c r="G85" s="214"/>
    </row>
    <row r="86" spans="1:7" x14ac:dyDescent="0.25">
      <c r="A86" s="80" t="s">
        <v>11</v>
      </c>
      <c r="B86" s="209" t="s">
        <v>154</v>
      </c>
      <c r="C86" s="209"/>
      <c r="D86" s="209"/>
      <c r="E86" s="81" t="s">
        <v>155</v>
      </c>
      <c r="F86" s="81" t="s">
        <v>156</v>
      </c>
      <c r="G86" s="81" t="s">
        <v>157</v>
      </c>
    </row>
    <row r="87" spans="1:7" ht="25.5" customHeight="1" x14ac:dyDescent="0.25">
      <c r="A87" s="82"/>
      <c r="B87" s="210"/>
      <c r="C87" s="210"/>
      <c r="D87" s="210"/>
      <c r="E87" s="83"/>
      <c r="F87" s="83"/>
      <c r="G87" s="83"/>
    </row>
    <row r="88" spans="1:7" ht="25.5" customHeight="1" x14ac:dyDescent="0.25">
      <c r="A88" s="30"/>
      <c r="B88" s="211"/>
      <c r="C88" s="211"/>
      <c r="D88" s="211"/>
      <c r="E88" s="84"/>
      <c r="F88" s="84"/>
      <c r="G88" s="84"/>
    </row>
    <row r="89" spans="1:7" ht="25.5" customHeight="1" x14ac:dyDescent="0.25">
      <c r="A89" s="82"/>
      <c r="B89" s="210"/>
      <c r="C89" s="210"/>
      <c r="D89" s="210"/>
      <c r="E89" s="83"/>
      <c r="F89" s="83"/>
      <c r="G89" s="83"/>
    </row>
    <row r="90" spans="1:7" ht="25.5" customHeight="1" x14ac:dyDescent="0.25">
      <c r="A90" s="30"/>
      <c r="B90" s="211"/>
      <c r="C90" s="211"/>
      <c r="D90" s="211"/>
      <c r="E90" s="84"/>
      <c r="F90" s="84"/>
      <c r="G90" s="84"/>
    </row>
    <row r="91" spans="1:7" ht="25.5" customHeight="1" x14ac:dyDescent="0.25">
      <c r="A91" s="82"/>
      <c r="B91" s="210"/>
      <c r="C91" s="210"/>
      <c r="D91" s="210"/>
      <c r="E91" s="83"/>
      <c r="F91" s="83"/>
      <c r="G91" s="83"/>
    </row>
    <row r="92" spans="1:7" x14ac:dyDescent="0.25">
      <c r="A92" s="56"/>
      <c r="B92" s="57"/>
      <c r="C92" s="57"/>
      <c r="D92" s="57"/>
      <c r="E92" s="57"/>
      <c r="F92" s="57"/>
      <c r="G92" s="57"/>
    </row>
    <row r="93" spans="1:7" x14ac:dyDescent="0.25">
      <c r="A93" s="58" t="s">
        <v>158</v>
      </c>
      <c r="B93" s="57"/>
      <c r="C93" s="57"/>
      <c r="D93" s="57"/>
      <c r="E93" s="57"/>
      <c r="F93" s="57"/>
      <c r="G93" s="57"/>
    </row>
    <row r="94" spans="1:7" ht="24" customHeight="1" x14ac:dyDescent="0.25">
      <c r="A94" s="59" t="s">
        <v>159</v>
      </c>
      <c r="B94" s="60"/>
      <c r="C94" s="57"/>
      <c r="D94" s="57"/>
      <c r="E94" s="57"/>
      <c r="F94" s="57"/>
      <c r="G94" s="57"/>
    </row>
    <row r="95" spans="1:7" ht="21.75" customHeight="1" x14ac:dyDescent="0.25">
      <c r="A95" s="61" t="s">
        <v>160</v>
      </c>
      <c r="B95" s="47"/>
      <c r="C95" s="57"/>
      <c r="D95" s="57"/>
      <c r="E95" s="57"/>
      <c r="F95" s="57"/>
      <c r="G95" s="57"/>
    </row>
    <row r="96" spans="1:7" x14ac:dyDescent="0.25">
      <c r="A96" s="56"/>
      <c r="B96" s="57"/>
      <c r="C96" s="57"/>
      <c r="D96" s="57"/>
      <c r="E96" s="57"/>
      <c r="F96" s="57"/>
      <c r="G96" s="57"/>
    </row>
    <row r="97" spans="1:7" x14ac:dyDescent="0.25">
      <c r="A97" s="3" t="s">
        <v>161</v>
      </c>
    </row>
    <row r="98" spans="1:7" x14ac:dyDescent="0.25">
      <c r="A98" s="61" t="s">
        <v>162</v>
      </c>
      <c r="B98" s="62"/>
    </row>
    <row r="99" spans="1:7" x14ac:dyDescent="0.25">
      <c r="A99" s="61" t="s">
        <v>163</v>
      </c>
      <c r="B99" s="62"/>
    </row>
    <row r="100" spans="1:7" x14ac:dyDescent="0.25">
      <c r="A100" s="61" t="s">
        <v>164</v>
      </c>
    </row>
    <row r="101" spans="1:7" x14ac:dyDescent="0.25">
      <c r="A101" s="61" t="s">
        <v>165</v>
      </c>
    </row>
    <row r="102" spans="1:7" x14ac:dyDescent="0.25">
      <c r="A102" s="85"/>
    </row>
    <row r="103" spans="1:7" x14ac:dyDescent="0.25">
      <c r="A103" s="64" t="s">
        <v>166</v>
      </c>
    </row>
    <row r="104" spans="1:7" ht="15.75" customHeight="1" x14ac:dyDescent="0.25">
      <c r="A104" s="199"/>
      <c r="B104" s="200"/>
      <c r="C104" s="200"/>
      <c r="D104" s="200"/>
      <c r="E104" s="200"/>
      <c r="F104" s="200"/>
      <c r="G104" s="201"/>
    </row>
    <row r="105" spans="1:7" x14ac:dyDescent="0.25">
      <c r="A105" s="202"/>
      <c r="B105" s="203"/>
      <c r="C105" s="203"/>
      <c r="D105" s="203"/>
      <c r="E105" s="203"/>
      <c r="F105" s="203"/>
      <c r="G105" s="204"/>
    </row>
    <row r="106" spans="1:7" x14ac:dyDescent="0.25">
      <c r="A106" s="202"/>
      <c r="B106" s="203"/>
      <c r="C106" s="203"/>
      <c r="D106" s="203"/>
      <c r="E106" s="203"/>
      <c r="F106" s="203"/>
      <c r="G106" s="204"/>
    </row>
    <row r="107" spans="1:7" x14ac:dyDescent="0.25">
      <c r="A107" s="202"/>
      <c r="B107" s="203"/>
      <c r="C107" s="203"/>
      <c r="D107" s="203"/>
      <c r="E107" s="203"/>
      <c r="F107" s="203"/>
      <c r="G107" s="204"/>
    </row>
    <row r="108" spans="1:7" x14ac:dyDescent="0.25">
      <c r="A108" s="205"/>
      <c r="B108" s="206"/>
      <c r="C108" s="206"/>
      <c r="D108" s="206"/>
      <c r="E108" s="206"/>
      <c r="F108" s="206"/>
      <c r="G108" s="207"/>
    </row>
    <row r="109" spans="1:7" x14ac:dyDescent="0.25">
      <c r="A109" s="66"/>
      <c r="B109" s="66"/>
      <c r="C109" s="66"/>
      <c r="D109" s="66"/>
      <c r="E109" s="66"/>
      <c r="F109" s="66"/>
      <c r="G109" s="66"/>
    </row>
    <row r="110" spans="1:7" x14ac:dyDescent="0.25">
      <c r="A110" s="66" t="s">
        <v>167</v>
      </c>
      <c r="B110" s="66"/>
      <c r="C110" s="66"/>
      <c r="D110" s="66"/>
      <c r="E110" s="66"/>
      <c r="F110" s="66"/>
      <c r="G110" s="66"/>
    </row>
    <row r="111" spans="1:7" x14ac:dyDescent="0.25">
      <c r="A111" s="208" t="s">
        <v>229</v>
      </c>
      <c r="B111" s="208"/>
      <c r="C111" s="208"/>
      <c r="D111" s="208"/>
      <c r="E111" s="208"/>
      <c r="F111" s="208"/>
      <c r="G111" s="208"/>
    </row>
    <row r="113" spans="1:6" x14ac:dyDescent="0.25">
      <c r="A113" s="64" t="s">
        <v>169</v>
      </c>
      <c r="B113" s="63">
        <f ca="1">TODAY()</f>
        <v>45156</v>
      </c>
    </row>
    <row r="114" spans="1:6" x14ac:dyDescent="0.25">
      <c r="A114" s="64" t="s">
        <v>170</v>
      </c>
    </row>
    <row r="115" spans="1:6" x14ac:dyDescent="0.25">
      <c r="A115" s="64"/>
    </row>
    <row r="116" spans="1:6" x14ac:dyDescent="0.25">
      <c r="A116" s="64"/>
    </row>
    <row r="117" spans="1:6" x14ac:dyDescent="0.25">
      <c r="A117" s="64"/>
    </row>
    <row r="118" spans="1:6" x14ac:dyDescent="0.25">
      <c r="A118" s="64"/>
    </row>
    <row r="119" spans="1:6" x14ac:dyDescent="0.25">
      <c r="A119" s="150" t="s">
        <v>296</v>
      </c>
    </row>
    <row r="120" spans="1:6" x14ac:dyDescent="0.25">
      <c r="A120" s="150" t="s">
        <v>297</v>
      </c>
    </row>
    <row r="121" spans="1:6" x14ac:dyDescent="0.25">
      <c r="A121" s="3"/>
    </row>
    <row r="122" spans="1:6" x14ac:dyDescent="0.25">
      <c r="A122" s="3"/>
    </row>
    <row r="123" spans="1:6" x14ac:dyDescent="0.25">
      <c r="A123" s="3" t="s">
        <v>171</v>
      </c>
      <c r="D123" s="64"/>
      <c r="F123" s="64" t="s">
        <v>172</v>
      </c>
    </row>
    <row r="124" spans="1:6" x14ac:dyDescent="0.25">
      <c r="A124" s="3"/>
    </row>
    <row r="125" spans="1:6" x14ac:dyDescent="0.25">
      <c r="A125" s="3"/>
    </row>
    <row r="126" spans="1:6" x14ac:dyDescent="0.25">
      <c r="A126" s="3"/>
    </row>
    <row r="127" spans="1:6" x14ac:dyDescent="0.25">
      <c r="A127" s="3"/>
    </row>
    <row r="128" spans="1:6" x14ac:dyDescent="0.25">
      <c r="A128" s="150" t="s">
        <v>296</v>
      </c>
      <c r="B128" s="64"/>
      <c r="F128" s="64" t="s">
        <v>173</v>
      </c>
    </row>
    <row r="129" spans="1:6" x14ac:dyDescent="0.25">
      <c r="A129" s="150" t="s">
        <v>297</v>
      </c>
      <c r="D129" s="64"/>
      <c r="F129" s="64" t="s">
        <v>174</v>
      </c>
    </row>
  </sheetData>
  <mergeCells count="39">
    <mergeCell ref="J57:J58"/>
    <mergeCell ref="A76:G76"/>
    <mergeCell ref="A77:G82"/>
    <mergeCell ref="A104:G108"/>
    <mergeCell ref="A111:G111"/>
    <mergeCell ref="B86:D86"/>
    <mergeCell ref="B87:D87"/>
    <mergeCell ref="B88:D88"/>
    <mergeCell ref="B89:D89"/>
    <mergeCell ref="B90:D90"/>
    <mergeCell ref="B91:D91"/>
    <mergeCell ref="A85:G85"/>
    <mergeCell ref="C57:C58"/>
    <mergeCell ref="D57:D58"/>
    <mergeCell ref="E57:I57"/>
    <mergeCell ref="B42:B43"/>
    <mergeCell ref="B44:B51"/>
    <mergeCell ref="B53:B54"/>
    <mergeCell ref="A57:A58"/>
    <mergeCell ref="B57:B58"/>
    <mergeCell ref="A40:A41"/>
    <mergeCell ref="B40:B41"/>
    <mergeCell ref="C40:C41"/>
    <mergeCell ref="D40:D41"/>
    <mergeCell ref="E40:I40"/>
    <mergeCell ref="J40:J41"/>
    <mergeCell ref="J26:J27"/>
    <mergeCell ref="B28:B29"/>
    <mergeCell ref="E28:I28"/>
    <mergeCell ref="B30:B31"/>
    <mergeCell ref="B32:B33"/>
    <mergeCell ref="B34:B35"/>
    <mergeCell ref="A4:I4"/>
    <mergeCell ref="A6:I6"/>
    <mergeCell ref="A26:A27"/>
    <mergeCell ref="B26:B27"/>
    <mergeCell ref="C26:C27"/>
    <mergeCell ref="D26:D27"/>
    <mergeCell ref="E26:I26"/>
  </mergeCells>
  <pageMargins left="0" right="0" top="0.6692913385826772" bottom="0" header="0.31496062992125984" footer="0.31496062992125984"/>
  <pageSetup paperSize="9" scale="64" orientation="landscape" verticalDpi="360" r:id="rId1"/>
  <headerFooter>
    <oddHeader>&amp;L&amp;G&amp;RUCM/FR/HCM/10 Rev 00
June 17, 2021</oddHeader>
  </headerFooter>
  <rowBreaks count="1" manualBreakCount="1">
    <brk id="82"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4:K129"/>
  <sheetViews>
    <sheetView view="pageLayout" zoomScale="58" zoomScaleNormal="70" zoomScaleSheetLayoutView="66" zoomScalePageLayoutView="58" workbookViewId="0">
      <selection activeCell="G9" sqref="G9"/>
    </sheetView>
  </sheetViews>
  <sheetFormatPr defaultColWidth="9.140625" defaultRowHeight="15.75" x14ac:dyDescent="0.25"/>
  <cols>
    <col min="1" max="1" width="10.5703125" style="2" customWidth="1"/>
    <col min="2" max="2" width="26.42578125" style="2" customWidth="1"/>
    <col min="3" max="3" width="23.5703125" style="2" customWidth="1"/>
    <col min="4" max="4" width="35.5703125" style="2" customWidth="1"/>
    <col min="5" max="9" width="23.5703125" style="2" customWidth="1"/>
    <col min="10" max="10" width="9.140625" style="1"/>
    <col min="11" max="16384" width="9.140625" style="2"/>
  </cols>
  <sheetData>
    <row r="4" spans="1:9" ht="18.75" x14ac:dyDescent="0.25">
      <c r="A4" s="189" t="s">
        <v>0</v>
      </c>
      <c r="B4" s="189"/>
      <c r="C4" s="189"/>
      <c r="D4" s="189"/>
      <c r="E4" s="189"/>
      <c r="F4" s="189"/>
      <c r="G4" s="189"/>
      <c r="H4" s="189"/>
      <c r="I4" s="189"/>
    </row>
    <row r="5" spans="1:9" x14ac:dyDescent="0.25">
      <c r="A5" s="64"/>
    </row>
    <row r="6" spans="1:9" ht="35.25" customHeight="1" x14ac:dyDescent="0.25">
      <c r="A6" s="190" t="s">
        <v>1</v>
      </c>
      <c r="B6" s="190"/>
      <c r="C6" s="190"/>
      <c r="D6" s="190"/>
      <c r="E6" s="190"/>
      <c r="F6" s="190"/>
      <c r="G6" s="190"/>
      <c r="H6" s="190"/>
      <c r="I6" s="190"/>
    </row>
    <row r="7" spans="1:9" x14ac:dyDescent="0.25">
      <c r="A7" s="65"/>
    </row>
    <row r="8" spans="1:9" x14ac:dyDescent="0.25">
      <c r="A8" s="64"/>
    </row>
    <row r="9" spans="1:9" x14ac:dyDescent="0.25">
      <c r="A9" s="64" t="s">
        <v>2</v>
      </c>
    </row>
    <row r="10" spans="1:9" x14ac:dyDescent="0.25">
      <c r="A10" s="64"/>
    </row>
    <row r="11" spans="1:9" x14ac:dyDescent="0.25">
      <c r="B11" s="64" t="s">
        <v>3</v>
      </c>
      <c r="C11" s="64"/>
    </row>
    <row r="12" spans="1:9" x14ac:dyDescent="0.25">
      <c r="B12" s="64" t="s">
        <v>4</v>
      </c>
      <c r="C12" s="64"/>
    </row>
    <row r="13" spans="1:9" x14ac:dyDescent="0.25">
      <c r="B13" s="64" t="s">
        <v>5</v>
      </c>
      <c r="C13" s="64"/>
    </row>
    <row r="14" spans="1:9" x14ac:dyDescent="0.25">
      <c r="A14" s="64"/>
    </row>
    <row r="15" spans="1:9" x14ac:dyDescent="0.25">
      <c r="A15" s="64"/>
    </row>
    <row r="16" spans="1:9" x14ac:dyDescent="0.25">
      <c r="A16" s="64" t="s">
        <v>6</v>
      </c>
    </row>
    <row r="17" spans="1:10" x14ac:dyDescent="0.25">
      <c r="A17" s="64"/>
    </row>
    <row r="18" spans="1:10" x14ac:dyDescent="0.25">
      <c r="B18" s="64" t="s">
        <v>3</v>
      </c>
      <c r="C18" s="64"/>
    </row>
    <row r="19" spans="1:10" x14ac:dyDescent="0.25">
      <c r="B19" s="64" t="s">
        <v>7</v>
      </c>
      <c r="C19" s="66"/>
    </row>
    <row r="20" spans="1:10" x14ac:dyDescent="0.25">
      <c r="B20" s="64" t="s">
        <v>4</v>
      </c>
      <c r="C20" s="64"/>
    </row>
    <row r="21" spans="1:10" x14ac:dyDescent="0.25">
      <c r="B21" s="64" t="s">
        <v>8</v>
      </c>
      <c r="C21" s="64"/>
    </row>
    <row r="22" spans="1:10" x14ac:dyDescent="0.25">
      <c r="B22" s="2" t="s">
        <v>9</v>
      </c>
      <c r="C22" s="64"/>
    </row>
    <row r="24" spans="1:10" x14ac:dyDescent="0.25">
      <c r="A24" s="6" t="s">
        <v>10</v>
      </c>
    </row>
    <row r="26" spans="1:10" x14ac:dyDescent="0.25">
      <c r="A26" s="162" t="s">
        <v>11</v>
      </c>
      <c r="B26" s="162" t="s">
        <v>12</v>
      </c>
      <c r="C26" s="162" t="s">
        <v>13</v>
      </c>
      <c r="D26" s="162" t="s">
        <v>14</v>
      </c>
      <c r="E26" s="162" t="s">
        <v>15</v>
      </c>
      <c r="F26" s="162"/>
      <c r="G26" s="162"/>
      <c r="H26" s="162"/>
      <c r="I26" s="162"/>
      <c r="J26" s="160" t="s">
        <v>16</v>
      </c>
    </row>
    <row r="27" spans="1:10" x14ac:dyDescent="0.25">
      <c r="A27" s="162"/>
      <c r="B27" s="162"/>
      <c r="C27" s="162"/>
      <c r="D27" s="162"/>
      <c r="E27" s="7">
        <v>1</v>
      </c>
      <c r="F27" s="7">
        <v>2</v>
      </c>
      <c r="G27" s="7">
        <v>3</v>
      </c>
      <c r="H27" s="7">
        <v>4</v>
      </c>
      <c r="I27" s="7">
        <v>5</v>
      </c>
      <c r="J27" s="161"/>
    </row>
    <row r="28" spans="1:10" ht="57.75" customHeight="1" x14ac:dyDescent="0.25">
      <c r="A28" s="8">
        <v>1</v>
      </c>
      <c r="B28" s="179" t="s">
        <v>294</v>
      </c>
      <c r="C28" s="9" t="s">
        <v>175</v>
      </c>
      <c r="D28" s="10" t="s">
        <v>176</v>
      </c>
      <c r="E28" s="191" t="s">
        <v>177</v>
      </c>
      <c r="F28" s="192"/>
      <c r="G28" s="192"/>
      <c r="H28" s="192"/>
      <c r="I28" s="193"/>
      <c r="J28" s="8"/>
    </row>
    <row r="29" spans="1:10" ht="94.5" x14ac:dyDescent="0.25">
      <c r="A29" s="8">
        <v>2</v>
      </c>
      <c r="B29" s="179"/>
      <c r="C29" s="9" t="s">
        <v>178</v>
      </c>
      <c r="D29" s="10" t="s">
        <v>179</v>
      </c>
      <c r="E29" s="34" t="s">
        <v>180</v>
      </c>
      <c r="F29" s="34" t="s">
        <v>181</v>
      </c>
      <c r="G29" s="34" t="s">
        <v>182</v>
      </c>
      <c r="H29" s="34" t="s">
        <v>183</v>
      </c>
      <c r="I29" s="139">
        <v>1</v>
      </c>
      <c r="J29" s="8"/>
    </row>
    <row r="30" spans="1:10" ht="47.25" x14ac:dyDescent="0.25">
      <c r="A30" s="8">
        <v>3</v>
      </c>
      <c r="B30" s="179" t="s">
        <v>184</v>
      </c>
      <c r="C30" s="9" t="s">
        <v>185</v>
      </c>
      <c r="D30" s="10" t="s">
        <v>186</v>
      </c>
      <c r="E30" s="140"/>
      <c r="F30" s="141"/>
      <c r="G30" s="141"/>
      <c r="H30" s="142"/>
      <c r="I30" s="141"/>
      <c r="J30" s="67"/>
    </row>
    <row r="31" spans="1:10" ht="63" x14ac:dyDescent="0.25">
      <c r="A31" s="8">
        <v>4</v>
      </c>
      <c r="B31" s="179"/>
      <c r="C31" s="9" t="s">
        <v>187</v>
      </c>
      <c r="D31" s="68" t="s">
        <v>188</v>
      </c>
      <c r="E31" s="34" t="s">
        <v>189</v>
      </c>
      <c r="F31" s="34" t="s">
        <v>190</v>
      </c>
      <c r="G31" s="34" t="s">
        <v>191</v>
      </c>
      <c r="H31" s="34" t="s">
        <v>192</v>
      </c>
      <c r="I31" s="34" t="s">
        <v>193</v>
      </c>
      <c r="J31" s="8"/>
    </row>
    <row r="32" spans="1:10" ht="47.25" x14ac:dyDescent="0.25">
      <c r="A32" s="8">
        <v>5</v>
      </c>
      <c r="B32" s="194" t="s">
        <v>194</v>
      </c>
      <c r="C32" s="9" t="s">
        <v>195</v>
      </c>
      <c r="D32" s="10" t="s">
        <v>186</v>
      </c>
      <c r="E32" s="140"/>
      <c r="F32" s="141"/>
      <c r="G32" s="141"/>
      <c r="H32" s="141"/>
      <c r="I32" s="141"/>
      <c r="J32" s="67"/>
    </row>
    <row r="33" spans="1:11" ht="63" x14ac:dyDescent="0.25">
      <c r="A33" s="8">
        <v>6</v>
      </c>
      <c r="B33" s="195"/>
      <c r="C33" s="9" t="s">
        <v>196</v>
      </c>
      <c r="D33" s="10" t="s">
        <v>197</v>
      </c>
      <c r="E33" s="34" t="s">
        <v>198</v>
      </c>
      <c r="F33" s="34" t="s">
        <v>199</v>
      </c>
      <c r="G33" s="34" t="s">
        <v>200</v>
      </c>
      <c r="H33" s="34" t="s">
        <v>201</v>
      </c>
      <c r="I33" s="34" t="s">
        <v>202</v>
      </c>
      <c r="J33" s="8"/>
    </row>
    <row r="34" spans="1:11" s="11" customFormat="1" ht="47.25" x14ac:dyDescent="0.25">
      <c r="A34" s="8">
        <v>7</v>
      </c>
      <c r="B34" s="194" t="s">
        <v>203</v>
      </c>
      <c r="C34" s="9" t="s">
        <v>204</v>
      </c>
      <c r="D34" s="69" t="s">
        <v>205</v>
      </c>
      <c r="E34" s="143">
        <v>0</v>
      </c>
      <c r="F34" s="143">
        <v>0.4</v>
      </c>
      <c r="G34" s="143">
        <v>0.8</v>
      </c>
      <c r="H34" s="143">
        <v>1</v>
      </c>
      <c r="I34" s="144" t="s">
        <v>206</v>
      </c>
      <c r="J34" s="8"/>
      <c r="K34" s="2"/>
    </row>
    <row r="35" spans="1:11" ht="47.25" x14ac:dyDescent="0.25">
      <c r="A35" s="8">
        <v>8</v>
      </c>
      <c r="B35" s="195"/>
      <c r="C35" s="9" t="s">
        <v>207</v>
      </c>
      <c r="D35" s="69" t="s">
        <v>208</v>
      </c>
      <c r="E35" s="34" t="s">
        <v>209</v>
      </c>
      <c r="F35" s="34" t="s">
        <v>210</v>
      </c>
      <c r="G35" s="34" t="s">
        <v>211</v>
      </c>
      <c r="H35" s="34" t="s">
        <v>212</v>
      </c>
      <c r="I35" s="34" t="s">
        <v>213</v>
      </c>
      <c r="J35" s="8"/>
    </row>
    <row r="36" spans="1:11" ht="59.25" customHeight="1" x14ac:dyDescent="0.25">
      <c r="A36" s="8">
        <v>9</v>
      </c>
      <c r="B36" s="70" t="s">
        <v>214</v>
      </c>
      <c r="C36" s="9" t="s">
        <v>215</v>
      </c>
      <c r="D36" s="10" t="s">
        <v>216</v>
      </c>
      <c r="E36" s="145" t="s">
        <v>217</v>
      </c>
      <c r="F36" s="145" t="s">
        <v>218</v>
      </c>
      <c r="G36" s="145" t="s">
        <v>219</v>
      </c>
      <c r="H36" s="145" t="s">
        <v>220</v>
      </c>
      <c r="I36" s="145" t="s">
        <v>221</v>
      </c>
      <c r="J36" s="8"/>
    </row>
    <row r="37" spans="1:11" ht="75" customHeight="1" x14ac:dyDescent="0.25">
      <c r="A37" s="8">
        <v>10</v>
      </c>
      <c r="B37" s="12" t="s">
        <v>222</v>
      </c>
      <c r="C37" s="9" t="s">
        <v>76</v>
      </c>
      <c r="D37" s="10" t="s">
        <v>77</v>
      </c>
      <c r="E37" s="69" t="s">
        <v>78</v>
      </c>
      <c r="F37" s="69" t="s">
        <v>79</v>
      </c>
      <c r="G37" s="69" t="s">
        <v>80</v>
      </c>
      <c r="H37" s="69" t="s">
        <v>81</v>
      </c>
      <c r="I37" s="69" t="s">
        <v>82</v>
      </c>
      <c r="J37" s="8"/>
    </row>
    <row r="38" spans="1:11" x14ac:dyDescent="0.25">
      <c r="A38" s="13"/>
      <c r="B38" s="14"/>
      <c r="C38" s="15"/>
      <c r="D38" s="16" t="s">
        <v>83</v>
      </c>
      <c r="E38" s="17"/>
      <c r="F38" s="17"/>
      <c r="G38" s="71"/>
      <c r="H38" s="71"/>
      <c r="I38" s="71"/>
      <c r="J38" s="72" t="e">
        <f>AVERAGE(J28:J37)</f>
        <v>#DIV/0!</v>
      </c>
    </row>
    <row r="39" spans="1:11" x14ac:dyDescent="0.25">
      <c r="A39" s="18"/>
      <c r="B39" s="19"/>
      <c r="C39" s="20"/>
      <c r="D39" s="16" t="s">
        <v>16</v>
      </c>
      <c r="E39" s="73" t="e">
        <f>70%*J38</f>
        <v>#DIV/0!</v>
      </c>
      <c r="F39" s="74"/>
      <c r="G39" s="23"/>
      <c r="H39" s="23"/>
      <c r="I39" s="23"/>
      <c r="J39" s="24"/>
    </row>
    <row r="40" spans="1:11" ht="15.75" customHeight="1" x14ac:dyDescent="0.25">
      <c r="A40" s="176" t="s">
        <v>11</v>
      </c>
      <c r="B40" s="176" t="s">
        <v>12</v>
      </c>
      <c r="C40" s="176" t="s">
        <v>13</v>
      </c>
      <c r="D40" s="176" t="s">
        <v>14</v>
      </c>
      <c r="E40" s="162" t="s">
        <v>15</v>
      </c>
      <c r="F40" s="162"/>
      <c r="G40" s="162"/>
      <c r="H40" s="162"/>
      <c r="I40" s="162"/>
      <c r="J40" s="186" t="s">
        <v>16</v>
      </c>
    </row>
    <row r="41" spans="1:11" x14ac:dyDescent="0.25">
      <c r="A41" s="176"/>
      <c r="B41" s="176"/>
      <c r="C41" s="176"/>
      <c r="D41" s="176"/>
      <c r="E41" s="25">
        <v>1</v>
      </c>
      <c r="F41" s="25">
        <v>2</v>
      </c>
      <c r="G41" s="25">
        <v>3</v>
      </c>
      <c r="H41" s="25">
        <v>4</v>
      </c>
      <c r="I41" s="25">
        <v>5</v>
      </c>
      <c r="J41" s="187"/>
    </row>
    <row r="42" spans="1:11" ht="47.25" x14ac:dyDescent="0.25">
      <c r="A42" s="8">
        <v>1</v>
      </c>
      <c r="B42" s="179" t="s">
        <v>223</v>
      </c>
      <c r="C42" s="26" t="s">
        <v>85</v>
      </c>
      <c r="D42" s="27" t="s">
        <v>86</v>
      </c>
      <c r="E42" s="106" t="s">
        <v>87</v>
      </c>
      <c r="F42" s="106" t="s">
        <v>88</v>
      </c>
      <c r="G42" s="106" t="s">
        <v>89</v>
      </c>
      <c r="H42" s="106" t="s">
        <v>90</v>
      </c>
      <c r="I42" s="106" t="s">
        <v>91</v>
      </c>
      <c r="J42" s="8"/>
    </row>
    <row r="43" spans="1:11" ht="63" x14ac:dyDescent="0.25">
      <c r="A43" s="8">
        <v>2</v>
      </c>
      <c r="B43" s="179"/>
      <c r="C43" s="26" t="s">
        <v>92</v>
      </c>
      <c r="D43" s="27" t="s">
        <v>93</v>
      </c>
      <c r="E43" s="106" t="s">
        <v>87</v>
      </c>
      <c r="F43" s="106" t="s">
        <v>88</v>
      </c>
      <c r="G43" s="106" t="s">
        <v>89</v>
      </c>
      <c r="H43" s="106" t="s">
        <v>90</v>
      </c>
      <c r="I43" s="106" t="s">
        <v>91</v>
      </c>
      <c r="J43" s="8"/>
    </row>
    <row r="44" spans="1:11" ht="63" x14ac:dyDescent="0.25">
      <c r="A44" s="8">
        <v>3</v>
      </c>
      <c r="B44" s="180" t="s">
        <v>224</v>
      </c>
      <c r="C44" s="26" t="s">
        <v>95</v>
      </c>
      <c r="D44" s="27" t="s">
        <v>96</v>
      </c>
      <c r="E44" s="106" t="s">
        <v>87</v>
      </c>
      <c r="F44" s="106" t="s">
        <v>88</v>
      </c>
      <c r="G44" s="106" t="s">
        <v>89</v>
      </c>
      <c r="H44" s="106" t="s">
        <v>90</v>
      </c>
      <c r="I44" s="106" t="s">
        <v>91</v>
      </c>
      <c r="J44" s="8"/>
    </row>
    <row r="45" spans="1:11" ht="63" x14ac:dyDescent="0.25">
      <c r="A45" s="8">
        <v>4</v>
      </c>
      <c r="B45" s="181"/>
      <c r="C45" s="26" t="s">
        <v>97</v>
      </c>
      <c r="D45" s="27" t="s">
        <v>98</v>
      </c>
      <c r="E45" s="106" t="s">
        <v>87</v>
      </c>
      <c r="F45" s="106" t="s">
        <v>88</v>
      </c>
      <c r="G45" s="106" t="s">
        <v>89</v>
      </c>
      <c r="H45" s="106" t="s">
        <v>90</v>
      </c>
      <c r="I45" s="106" t="s">
        <v>91</v>
      </c>
      <c r="J45" s="8"/>
    </row>
    <row r="46" spans="1:11" ht="94.5" x14ac:dyDescent="0.25">
      <c r="A46" s="8">
        <v>5</v>
      </c>
      <c r="B46" s="181"/>
      <c r="C46" s="26" t="s">
        <v>99</v>
      </c>
      <c r="D46" s="27" t="s">
        <v>100</v>
      </c>
      <c r="E46" s="106" t="s">
        <v>87</v>
      </c>
      <c r="F46" s="106" t="s">
        <v>88</v>
      </c>
      <c r="G46" s="106" t="s">
        <v>89</v>
      </c>
      <c r="H46" s="106" t="s">
        <v>90</v>
      </c>
      <c r="I46" s="106" t="s">
        <v>91</v>
      </c>
      <c r="J46" s="8"/>
    </row>
    <row r="47" spans="1:11" ht="78.75" x14ac:dyDescent="0.25">
      <c r="A47" s="8">
        <v>6</v>
      </c>
      <c r="B47" s="181"/>
      <c r="C47" s="26" t="s">
        <v>101</v>
      </c>
      <c r="D47" s="27" t="s">
        <v>102</v>
      </c>
      <c r="E47" s="106" t="s">
        <v>87</v>
      </c>
      <c r="F47" s="106" t="s">
        <v>88</v>
      </c>
      <c r="G47" s="106" t="s">
        <v>89</v>
      </c>
      <c r="H47" s="106" t="s">
        <v>90</v>
      </c>
      <c r="I47" s="106" t="s">
        <v>91</v>
      </c>
      <c r="J47" s="8"/>
    </row>
    <row r="48" spans="1:11" ht="31.5" x14ac:dyDescent="0.25">
      <c r="A48" s="8">
        <v>7</v>
      </c>
      <c r="B48" s="181"/>
      <c r="C48" s="26" t="s">
        <v>103</v>
      </c>
      <c r="D48" s="27" t="s">
        <v>104</v>
      </c>
      <c r="E48" s="106" t="s">
        <v>87</v>
      </c>
      <c r="F48" s="106" t="s">
        <v>88</v>
      </c>
      <c r="G48" s="106" t="s">
        <v>89</v>
      </c>
      <c r="H48" s="106" t="s">
        <v>90</v>
      </c>
      <c r="I48" s="106" t="s">
        <v>91</v>
      </c>
      <c r="J48" s="8"/>
    </row>
    <row r="49" spans="1:11" ht="63" x14ac:dyDescent="0.25">
      <c r="A49" s="8">
        <v>8</v>
      </c>
      <c r="B49" s="181"/>
      <c r="C49" s="26" t="s">
        <v>105</v>
      </c>
      <c r="D49" s="27" t="s">
        <v>106</v>
      </c>
      <c r="E49" s="106" t="s">
        <v>87</v>
      </c>
      <c r="F49" s="106" t="s">
        <v>88</v>
      </c>
      <c r="G49" s="106" t="s">
        <v>89</v>
      </c>
      <c r="H49" s="106" t="s">
        <v>90</v>
      </c>
      <c r="I49" s="106" t="s">
        <v>91</v>
      </c>
      <c r="J49" s="8"/>
    </row>
    <row r="50" spans="1:11" ht="63" x14ac:dyDescent="0.25">
      <c r="A50" s="8">
        <v>9</v>
      </c>
      <c r="B50" s="181"/>
      <c r="C50" s="26" t="s">
        <v>107</v>
      </c>
      <c r="D50" s="27" t="s">
        <v>108</v>
      </c>
      <c r="E50" s="106" t="s">
        <v>87</v>
      </c>
      <c r="F50" s="106" t="s">
        <v>88</v>
      </c>
      <c r="G50" s="106" t="s">
        <v>89</v>
      </c>
      <c r="H50" s="106" t="s">
        <v>90</v>
      </c>
      <c r="I50" s="106" t="s">
        <v>91</v>
      </c>
      <c r="J50" s="8"/>
    </row>
    <row r="51" spans="1:11" ht="78.75" x14ac:dyDescent="0.25">
      <c r="A51" s="8">
        <v>10</v>
      </c>
      <c r="B51" s="182"/>
      <c r="C51" s="26" t="s">
        <v>109</v>
      </c>
      <c r="D51" s="27" t="s">
        <v>110</v>
      </c>
      <c r="E51" s="106" t="s">
        <v>87</v>
      </c>
      <c r="F51" s="106" t="s">
        <v>88</v>
      </c>
      <c r="G51" s="106" t="s">
        <v>89</v>
      </c>
      <c r="H51" s="106" t="s">
        <v>90</v>
      </c>
      <c r="I51" s="106" t="s">
        <v>91</v>
      </c>
      <c r="J51" s="8"/>
    </row>
    <row r="52" spans="1:11" ht="63" x14ac:dyDescent="0.25">
      <c r="A52" s="8">
        <v>11</v>
      </c>
      <c r="B52" s="28" t="s">
        <v>225</v>
      </c>
      <c r="C52" s="26" t="s">
        <v>112</v>
      </c>
      <c r="D52" s="27" t="s">
        <v>113</v>
      </c>
      <c r="E52" s="106" t="s">
        <v>87</v>
      </c>
      <c r="F52" s="106" t="s">
        <v>88</v>
      </c>
      <c r="G52" s="106" t="s">
        <v>89</v>
      </c>
      <c r="H52" s="106" t="s">
        <v>90</v>
      </c>
      <c r="I52" s="106" t="s">
        <v>91</v>
      </c>
      <c r="J52" s="8"/>
    </row>
    <row r="53" spans="1:11" ht="63" x14ac:dyDescent="0.25">
      <c r="A53" s="8">
        <v>12</v>
      </c>
      <c r="B53" s="179" t="s">
        <v>226</v>
      </c>
      <c r="C53" s="26" t="s">
        <v>115</v>
      </c>
      <c r="D53" s="27" t="s">
        <v>116</v>
      </c>
      <c r="E53" s="106" t="s">
        <v>87</v>
      </c>
      <c r="F53" s="106" t="s">
        <v>88</v>
      </c>
      <c r="G53" s="106" t="s">
        <v>89</v>
      </c>
      <c r="H53" s="106" t="s">
        <v>90</v>
      </c>
      <c r="I53" s="106" t="s">
        <v>91</v>
      </c>
      <c r="J53" s="8"/>
    </row>
    <row r="54" spans="1:11" ht="63" x14ac:dyDescent="0.25">
      <c r="A54" s="8">
        <v>13</v>
      </c>
      <c r="B54" s="179"/>
      <c r="C54" s="26" t="s">
        <v>117</v>
      </c>
      <c r="D54" s="29" t="s">
        <v>118</v>
      </c>
      <c r="E54" s="106" t="s">
        <v>87</v>
      </c>
      <c r="F54" s="106" t="s">
        <v>88</v>
      </c>
      <c r="G54" s="106" t="s">
        <v>89</v>
      </c>
      <c r="H54" s="106" t="s">
        <v>90</v>
      </c>
      <c r="I54" s="106" t="s">
        <v>91</v>
      </c>
      <c r="J54" s="8"/>
    </row>
    <row r="55" spans="1:11" x14ac:dyDescent="0.25">
      <c r="A55" s="13"/>
      <c r="B55" s="14"/>
      <c r="C55" s="15"/>
      <c r="D55" s="16" t="s">
        <v>83</v>
      </c>
      <c r="E55" s="30"/>
      <c r="F55" s="30"/>
      <c r="G55" s="30"/>
      <c r="H55" s="30"/>
      <c r="I55" s="30"/>
      <c r="J55" s="8" t="e">
        <f>AVERAGE(J42:J54)</f>
        <v>#DIV/0!</v>
      </c>
    </row>
    <row r="56" spans="1:11" x14ac:dyDescent="0.25">
      <c r="A56" s="18"/>
      <c r="B56" s="19"/>
      <c r="C56" s="20"/>
      <c r="D56" s="16" t="s">
        <v>16</v>
      </c>
      <c r="E56" s="21" t="e">
        <f>20%*J55</f>
        <v>#DIV/0!</v>
      </c>
      <c r="F56" s="22"/>
      <c r="G56" s="23"/>
      <c r="H56" s="23"/>
      <c r="I56" s="23"/>
      <c r="J56" s="24"/>
    </row>
    <row r="57" spans="1:11" x14ac:dyDescent="0.25">
      <c r="A57" s="162" t="s">
        <v>11</v>
      </c>
      <c r="B57" s="162" t="s">
        <v>12</v>
      </c>
      <c r="C57" s="162" t="s">
        <v>13</v>
      </c>
      <c r="D57" s="162" t="s">
        <v>14</v>
      </c>
      <c r="E57" s="215" t="s">
        <v>15</v>
      </c>
      <c r="F57" s="216"/>
      <c r="G57" s="216"/>
      <c r="H57" s="216"/>
      <c r="I57" s="217"/>
      <c r="J57" s="162" t="s">
        <v>16</v>
      </c>
    </row>
    <row r="58" spans="1:11" x14ac:dyDescent="0.25">
      <c r="A58" s="162"/>
      <c r="B58" s="162"/>
      <c r="C58" s="162"/>
      <c r="D58" s="162"/>
      <c r="E58" s="31">
        <v>1</v>
      </c>
      <c r="F58" s="31">
        <v>2</v>
      </c>
      <c r="G58" s="31">
        <v>3</v>
      </c>
      <c r="H58" s="31">
        <v>4</v>
      </c>
      <c r="I58" s="31">
        <v>5</v>
      </c>
      <c r="J58" s="162"/>
    </row>
    <row r="59" spans="1:11" s="3" customFormat="1" ht="45.75" customHeight="1" x14ac:dyDescent="0.25">
      <c r="A59" s="8">
        <v>1</v>
      </c>
      <c r="B59" s="32" t="s">
        <v>227</v>
      </c>
      <c r="C59" s="33" t="s">
        <v>120</v>
      </c>
      <c r="D59" s="34" t="s">
        <v>299</v>
      </c>
      <c r="E59" s="153" t="s">
        <v>300</v>
      </c>
      <c r="F59" s="153" t="s">
        <v>301</v>
      </c>
      <c r="G59" s="153" t="s">
        <v>302</v>
      </c>
      <c r="H59" s="153" t="s">
        <v>303</v>
      </c>
      <c r="I59" s="153" t="s">
        <v>304</v>
      </c>
      <c r="J59" s="8"/>
      <c r="K59" s="2"/>
    </row>
    <row r="60" spans="1:11" x14ac:dyDescent="0.25">
      <c r="A60" s="13"/>
      <c r="B60" s="14"/>
      <c r="C60" s="15"/>
      <c r="D60" s="16" t="s">
        <v>83</v>
      </c>
      <c r="E60" s="35"/>
      <c r="F60" s="35"/>
      <c r="G60" s="35"/>
      <c r="H60" s="35"/>
      <c r="I60" s="35"/>
      <c r="J60" s="36" t="e">
        <f>AVERAGE(J59:J59)</f>
        <v>#DIV/0!</v>
      </c>
    </row>
    <row r="61" spans="1:11" x14ac:dyDescent="0.25">
      <c r="A61" s="37"/>
      <c r="B61" s="38"/>
      <c r="C61" s="39"/>
      <c r="D61" s="16" t="s">
        <v>16</v>
      </c>
      <c r="E61" s="40" t="e">
        <f>10%*J60</f>
        <v>#DIV/0!</v>
      </c>
      <c r="F61" s="22"/>
      <c r="G61" s="23"/>
      <c r="H61" s="23"/>
      <c r="I61" s="23"/>
      <c r="J61" s="24"/>
    </row>
    <row r="62" spans="1:11" x14ac:dyDescent="0.25">
      <c r="B62" s="41"/>
      <c r="C62" s="42"/>
      <c r="D62" s="43" t="s">
        <v>127</v>
      </c>
      <c r="E62" s="75" t="e">
        <f>E39+E56+E61</f>
        <v>#DIV/0!</v>
      </c>
    </row>
    <row r="63" spans="1:11" x14ac:dyDescent="0.25">
      <c r="B63" s="45"/>
      <c r="C63" s="42"/>
      <c r="D63" s="43" t="s">
        <v>128</v>
      </c>
      <c r="E63" s="33"/>
    </row>
    <row r="64" spans="1:11" x14ac:dyDescent="0.25">
      <c r="A64" s="76"/>
      <c r="B64" s="76"/>
      <c r="C64" s="76"/>
      <c r="D64" s="76"/>
    </row>
    <row r="65" spans="1:7" x14ac:dyDescent="0.25">
      <c r="A65" s="46"/>
      <c r="B65" s="47" t="s">
        <v>129</v>
      </c>
      <c r="C65" s="46"/>
      <c r="D65" s="46"/>
    </row>
    <row r="66" spans="1:7" x14ac:dyDescent="0.25">
      <c r="B66" s="77" t="s">
        <v>83</v>
      </c>
      <c r="C66" s="77" t="s">
        <v>13</v>
      </c>
      <c r="D66" s="77" t="s">
        <v>130</v>
      </c>
    </row>
    <row r="67" spans="1:7" x14ac:dyDescent="0.25">
      <c r="B67" s="30" t="s">
        <v>131</v>
      </c>
      <c r="C67" s="30" t="s">
        <v>132</v>
      </c>
      <c r="D67" s="30" t="s">
        <v>133</v>
      </c>
    </row>
    <row r="68" spans="1:7" x14ac:dyDescent="0.25">
      <c r="B68" s="30" t="s">
        <v>134</v>
      </c>
      <c r="C68" s="30" t="s">
        <v>135</v>
      </c>
      <c r="D68" s="30" t="s">
        <v>136</v>
      </c>
    </row>
    <row r="69" spans="1:7" x14ac:dyDescent="0.25">
      <c r="B69" s="30" t="s">
        <v>137</v>
      </c>
      <c r="C69" s="30" t="s">
        <v>138</v>
      </c>
      <c r="D69" s="30" t="s">
        <v>139</v>
      </c>
    </row>
    <row r="70" spans="1:7" x14ac:dyDescent="0.25">
      <c r="B70" s="30" t="s">
        <v>140</v>
      </c>
      <c r="C70" s="30" t="s">
        <v>141</v>
      </c>
      <c r="D70" s="30" t="s">
        <v>142</v>
      </c>
    </row>
    <row r="71" spans="1:7" x14ac:dyDescent="0.25">
      <c r="B71" s="30" t="s">
        <v>143</v>
      </c>
      <c r="C71" s="30" t="s">
        <v>144</v>
      </c>
      <c r="D71" s="30" t="s">
        <v>145</v>
      </c>
    </row>
    <row r="72" spans="1:7" x14ac:dyDescent="0.25">
      <c r="B72" s="30" t="s">
        <v>146</v>
      </c>
      <c r="C72" s="30" t="s">
        <v>147</v>
      </c>
      <c r="D72" s="30" t="s">
        <v>148</v>
      </c>
    </row>
    <row r="73" spans="1:7" x14ac:dyDescent="0.25">
      <c r="B73" s="30" t="s">
        <v>149</v>
      </c>
      <c r="C73" s="30" t="s">
        <v>150</v>
      </c>
      <c r="D73" s="30" t="s">
        <v>151</v>
      </c>
    </row>
    <row r="74" spans="1:7" x14ac:dyDescent="0.25">
      <c r="A74" s="76"/>
      <c r="B74" s="76"/>
      <c r="C74" s="76"/>
      <c r="D74" s="76"/>
    </row>
    <row r="76" spans="1:7" ht="30" customHeight="1" x14ac:dyDescent="0.25">
      <c r="A76" s="196" t="s">
        <v>228</v>
      </c>
      <c r="B76" s="197"/>
      <c r="C76" s="197"/>
      <c r="D76" s="197"/>
      <c r="E76" s="197"/>
      <c r="F76" s="197"/>
      <c r="G76" s="198"/>
    </row>
    <row r="77" spans="1:7" x14ac:dyDescent="0.25">
      <c r="A77" s="168"/>
      <c r="B77" s="168"/>
      <c r="C77" s="168"/>
      <c r="D77" s="168"/>
      <c r="E77" s="168"/>
      <c r="F77" s="168"/>
      <c r="G77" s="168"/>
    </row>
    <row r="78" spans="1:7" x14ac:dyDescent="0.25">
      <c r="A78" s="168"/>
      <c r="B78" s="168"/>
      <c r="C78" s="168"/>
      <c r="D78" s="168"/>
      <c r="E78" s="168"/>
      <c r="F78" s="168"/>
      <c r="G78" s="168"/>
    </row>
    <row r="79" spans="1:7" x14ac:dyDescent="0.25">
      <c r="A79" s="168"/>
      <c r="B79" s="168"/>
      <c r="C79" s="168"/>
      <c r="D79" s="168"/>
      <c r="E79" s="168"/>
      <c r="F79" s="168"/>
      <c r="G79" s="168"/>
    </row>
    <row r="80" spans="1:7" x14ac:dyDescent="0.25">
      <c r="A80" s="168"/>
      <c r="B80" s="168"/>
      <c r="C80" s="168"/>
      <c r="D80" s="168"/>
      <c r="E80" s="168"/>
      <c r="F80" s="168"/>
      <c r="G80" s="168"/>
    </row>
    <row r="81" spans="1:7" x14ac:dyDescent="0.25">
      <c r="A81" s="168"/>
      <c r="B81" s="168"/>
      <c r="C81" s="168"/>
      <c r="D81" s="168"/>
      <c r="E81" s="168"/>
      <c r="F81" s="168"/>
      <c r="G81" s="168"/>
    </row>
    <row r="82" spans="1:7" x14ac:dyDescent="0.25">
      <c r="A82" s="168"/>
      <c r="B82" s="168"/>
      <c r="C82" s="168"/>
      <c r="D82" s="168"/>
      <c r="E82" s="168"/>
      <c r="F82" s="168"/>
      <c r="G82" s="168"/>
    </row>
    <row r="83" spans="1:7" ht="15" customHeight="1" x14ac:dyDescent="0.25">
      <c r="A83" s="78"/>
      <c r="B83" s="78"/>
      <c r="C83" s="78"/>
      <c r="D83" s="78"/>
      <c r="E83" s="78"/>
      <c r="F83" s="78"/>
      <c r="G83" s="78"/>
    </row>
    <row r="84" spans="1:7" ht="15" customHeight="1" x14ac:dyDescent="0.25">
      <c r="A84" s="79"/>
      <c r="B84" s="79"/>
      <c r="C84" s="79"/>
      <c r="D84" s="79"/>
      <c r="E84" s="79"/>
      <c r="F84" s="79"/>
      <c r="G84" s="79"/>
    </row>
    <row r="85" spans="1:7" ht="15.75" customHeight="1" x14ac:dyDescent="0.25">
      <c r="A85" s="212" t="s">
        <v>153</v>
      </c>
      <c r="B85" s="213"/>
      <c r="C85" s="213"/>
      <c r="D85" s="213"/>
      <c r="E85" s="213"/>
      <c r="F85" s="213"/>
      <c r="G85" s="214"/>
    </row>
    <row r="86" spans="1:7" x14ac:dyDescent="0.25">
      <c r="A86" s="80" t="s">
        <v>11</v>
      </c>
      <c r="B86" s="209" t="s">
        <v>154</v>
      </c>
      <c r="C86" s="209"/>
      <c r="D86" s="209"/>
      <c r="E86" s="81" t="s">
        <v>155</v>
      </c>
      <c r="F86" s="81" t="s">
        <v>156</v>
      </c>
      <c r="G86" s="81" t="s">
        <v>157</v>
      </c>
    </row>
    <row r="87" spans="1:7" ht="25.5" customHeight="1" x14ac:dyDescent="0.25">
      <c r="A87" s="82"/>
      <c r="B87" s="210"/>
      <c r="C87" s="210"/>
      <c r="D87" s="210"/>
      <c r="E87" s="83"/>
      <c r="F87" s="83"/>
      <c r="G87" s="83"/>
    </row>
    <row r="88" spans="1:7" ht="25.5" customHeight="1" x14ac:dyDescent="0.25">
      <c r="A88" s="30"/>
      <c r="B88" s="211"/>
      <c r="C88" s="211"/>
      <c r="D88" s="211"/>
      <c r="E88" s="84"/>
      <c r="F88" s="84"/>
      <c r="G88" s="84"/>
    </row>
    <row r="89" spans="1:7" ht="25.5" customHeight="1" x14ac:dyDescent="0.25">
      <c r="A89" s="82"/>
      <c r="B89" s="210"/>
      <c r="C89" s="210"/>
      <c r="D89" s="210"/>
      <c r="E89" s="83"/>
      <c r="F89" s="83"/>
      <c r="G89" s="83"/>
    </row>
    <row r="90" spans="1:7" ht="25.5" customHeight="1" x14ac:dyDescent="0.25">
      <c r="A90" s="30"/>
      <c r="B90" s="211"/>
      <c r="C90" s="211"/>
      <c r="D90" s="211"/>
      <c r="E90" s="84"/>
      <c r="F90" s="84"/>
      <c r="G90" s="84"/>
    </row>
    <row r="91" spans="1:7" ht="25.5" customHeight="1" x14ac:dyDescent="0.25">
      <c r="A91" s="82"/>
      <c r="B91" s="210"/>
      <c r="C91" s="210"/>
      <c r="D91" s="210"/>
      <c r="E91" s="83"/>
      <c r="F91" s="83"/>
      <c r="G91" s="83"/>
    </row>
    <row r="92" spans="1:7" x14ac:dyDescent="0.25">
      <c r="A92" s="56"/>
      <c r="B92" s="57"/>
      <c r="C92" s="57"/>
      <c r="D92" s="57"/>
      <c r="E92" s="57"/>
      <c r="F92" s="57"/>
      <c r="G92" s="57"/>
    </row>
    <row r="93" spans="1:7" x14ac:dyDescent="0.25">
      <c r="A93" s="58" t="s">
        <v>158</v>
      </c>
      <c r="B93" s="57"/>
      <c r="C93" s="57"/>
      <c r="D93" s="57"/>
      <c r="E93" s="57"/>
      <c r="F93" s="57"/>
      <c r="G93" s="57"/>
    </row>
    <row r="94" spans="1:7" ht="24" customHeight="1" x14ac:dyDescent="0.25">
      <c r="A94" s="59" t="s">
        <v>159</v>
      </c>
      <c r="B94" s="60"/>
      <c r="C94" s="57"/>
      <c r="D94" s="57"/>
      <c r="E94" s="57"/>
      <c r="F94" s="57"/>
      <c r="G94" s="57"/>
    </row>
    <row r="95" spans="1:7" ht="21.75" customHeight="1" x14ac:dyDescent="0.25">
      <c r="A95" s="61" t="s">
        <v>160</v>
      </c>
      <c r="B95" s="47"/>
      <c r="C95" s="57"/>
      <c r="D95" s="57"/>
      <c r="E95" s="57"/>
      <c r="F95" s="57"/>
      <c r="G95" s="57"/>
    </row>
    <row r="96" spans="1:7" x14ac:dyDescent="0.25">
      <c r="A96" s="56"/>
      <c r="B96" s="57"/>
      <c r="C96" s="57"/>
      <c r="D96" s="57"/>
      <c r="E96" s="57"/>
      <c r="F96" s="57"/>
      <c r="G96" s="57"/>
    </row>
    <row r="97" spans="1:7" x14ac:dyDescent="0.25">
      <c r="A97" s="3" t="s">
        <v>161</v>
      </c>
    </row>
    <row r="98" spans="1:7" x14ac:dyDescent="0.25">
      <c r="A98" s="61" t="s">
        <v>162</v>
      </c>
      <c r="B98" s="62"/>
    </row>
    <row r="99" spans="1:7" x14ac:dyDescent="0.25">
      <c r="A99" s="61" t="s">
        <v>163</v>
      </c>
      <c r="B99" s="62"/>
    </row>
    <row r="100" spans="1:7" x14ac:dyDescent="0.25">
      <c r="A100" s="61" t="s">
        <v>164</v>
      </c>
    </row>
    <row r="101" spans="1:7" x14ac:dyDescent="0.25">
      <c r="A101" s="61" t="s">
        <v>165</v>
      </c>
    </row>
    <row r="102" spans="1:7" x14ac:dyDescent="0.25">
      <c r="A102" s="85"/>
    </row>
    <row r="103" spans="1:7" x14ac:dyDescent="0.25">
      <c r="A103" s="64" t="s">
        <v>166</v>
      </c>
    </row>
    <row r="104" spans="1:7" ht="15.75" customHeight="1" x14ac:dyDescent="0.25">
      <c r="A104" s="199"/>
      <c r="B104" s="200"/>
      <c r="C104" s="200"/>
      <c r="D104" s="200"/>
      <c r="E104" s="200"/>
      <c r="F104" s="200"/>
      <c r="G104" s="201"/>
    </row>
    <row r="105" spans="1:7" x14ac:dyDescent="0.25">
      <c r="A105" s="202"/>
      <c r="B105" s="203"/>
      <c r="C105" s="203"/>
      <c r="D105" s="203"/>
      <c r="E105" s="203"/>
      <c r="F105" s="203"/>
      <c r="G105" s="204"/>
    </row>
    <row r="106" spans="1:7" x14ac:dyDescent="0.25">
      <c r="A106" s="202"/>
      <c r="B106" s="203"/>
      <c r="C106" s="203"/>
      <c r="D106" s="203"/>
      <c r="E106" s="203"/>
      <c r="F106" s="203"/>
      <c r="G106" s="204"/>
    </row>
    <row r="107" spans="1:7" x14ac:dyDescent="0.25">
      <c r="A107" s="202"/>
      <c r="B107" s="203"/>
      <c r="C107" s="203"/>
      <c r="D107" s="203"/>
      <c r="E107" s="203"/>
      <c r="F107" s="203"/>
      <c r="G107" s="204"/>
    </row>
    <row r="108" spans="1:7" x14ac:dyDescent="0.25">
      <c r="A108" s="205"/>
      <c r="B108" s="206"/>
      <c r="C108" s="206"/>
      <c r="D108" s="206"/>
      <c r="E108" s="206"/>
      <c r="F108" s="206"/>
      <c r="G108" s="207"/>
    </row>
    <row r="109" spans="1:7" x14ac:dyDescent="0.25">
      <c r="A109" s="66"/>
      <c r="B109" s="66"/>
      <c r="C109" s="66"/>
      <c r="D109" s="66"/>
      <c r="E109" s="66"/>
      <c r="F109" s="66"/>
      <c r="G109" s="66"/>
    </row>
    <row r="110" spans="1:7" x14ac:dyDescent="0.25">
      <c r="A110" s="66" t="s">
        <v>167</v>
      </c>
      <c r="B110" s="66"/>
      <c r="C110" s="66"/>
      <c r="D110" s="66"/>
      <c r="E110" s="66"/>
      <c r="F110" s="66"/>
      <c r="G110" s="66"/>
    </row>
    <row r="111" spans="1:7" x14ac:dyDescent="0.25">
      <c r="A111" s="208" t="s">
        <v>229</v>
      </c>
      <c r="B111" s="208"/>
      <c r="C111" s="208"/>
      <c r="D111" s="208"/>
      <c r="E111" s="208"/>
      <c r="F111" s="208"/>
      <c r="G111" s="208"/>
    </row>
    <row r="113" spans="1:6" x14ac:dyDescent="0.25">
      <c r="A113" s="64" t="s">
        <v>169</v>
      </c>
      <c r="B113" s="63">
        <f ca="1">TODAY()</f>
        <v>45156</v>
      </c>
    </row>
    <row r="114" spans="1:6" x14ac:dyDescent="0.25">
      <c r="A114" s="64" t="s">
        <v>170</v>
      </c>
    </row>
    <row r="115" spans="1:6" x14ac:dyDescent="0.25">
      <c r="A115" s="64"/>
    </row>
    <row r="116" spans="1:6" x14ac:dyDescent="0.25">
      <c r="A116" s="64"/>
    </row>
    <row r="117" spans="1:6" x14ac:dyDescent="0.25">
      <c r="A117" s="64"/>
    </row>
    <row r="118" spans="1:6" x14ac:dyDescent="0.25">
      <c r="A118" s="64"/>
    </row>
    <row r="119" spans="1:6" x14ac:dyDescent="0.25">
      <c r="A119" s="150" t="s">
        <v>296</v>
      </c>
    </row>
    <row r="120" spans="1:6" x14ac:dyDescent="0.25">
      <c r="A120" s="150" t="s">
        <v>297</v>
      </c>
    </row>
    <row r="121" spans="1:6" x14ac:dyDescent="0.25">
      <c r="A121" s="3"/>
    </row>
    <row r="122" spans="1:6" x14ac:dyDescent="0.25">
      <c r="A122" s="3"/>
    </row>
    <row r="123" spans="1:6" x14ac:dyDescent="0.25">
      <c r="A123" s="3" t="s">
        <v>171</v>
      </c>
      <c r="D123" s="64"/>
      <c r="F123" s="64" t="s">
        <v>172</v>
      </c>
    </row>
    <row r="124" spans="1:6" x14ac:dyDescent="0.25">
      <c r="A124" s="3"/>
    </row>
    <row r="125" spans="1:6" x14ac:dyDescent="0.25">
      <c r="A125" s="3"/>
    </row>
    <row r="126" spans="1:6" x14ac:dyDescent="0.25">
      <c r="A126" s="3"/>
    </row>
    <row r="127" spans="1:6" x14ac:dyDescent="0.25">
      <c r="A127" s="3"/>
    </row>
    <row r="128" spans="1:6" x14ac:dyDescent="0.25">
      <c r="A128" s="150" t="s">
        <v>296</v>
      </c>
      <c r="B128" s="64"/>
      <c r="F128" s="64" t="s">
        <v>173</v>
      </c>
    </row>
    <row r="129" spans="1:6" x14ac:dyDescent="0.25">
      <c r="A129" s="150" t="s">
        <v>297</v>
      </c>
      <c r="D129" s="64"/>
      <c r="F129" s="64" t="s">
        <v>174</v>
      </c>
    </row>
  </sheetData>
  <mergeCells count="39">
    <mergeCell ref="A4:I4"/>
    <mergeCell ref="A6:I6"/>
    <mergeCell ref="A26:A27"/>
    <mergeCell ref="B26:B27"/>
    <mergeCell ref="C26:C27"/>
    <mergeCell ref="D26:D27"/>
    <mergeCell ref="E26:I26"/>
    <mergeCell ref="J40:J41"/>
    <mergeCell ref="J26:J27"/>
    <mergeCell ref="B28:B29"/>
    <mergeCell ref="E28:I28"/>
    <mergeCell ref="B30:B31"/>
    <mergeCell ref="B32:B33"/>
    <mergeCell ref="B34:B35"/>
    <mergeCell ref="A40:A41"/>
    <mergeCell ref="B40:B41"/>
    <mergeCell ref="C40:C41"/>
    <mergeCell ref="D40:D41"/>
    <mergeCell ref="E40:I40"/>
    <mergeCell ref="B42:B43"/>
    <mergeCell ref="B44:B51"/>
    <mergeCell ref="B53:B54"/>
    <mergeCell ref="A57:A58"/>
    <mergeCell ref="B57:B58"/>
    <mergeCell ref="J57:J58"/>
    <mergeCell ref="A76:G76"/>
    <mergeCell ref="A77:G82"/>
    <mergeCell ref="A104:G108"/>
    <mergeCell ref="A111:G111"/>
    <mergeCell ref="B86:D86"/>
    <mergeCell ref="B87:D87"/>
    <mergeCell ref="B88:D88"/>
    <mergeCell ref="B89:D89"/>
    <mergeCell ref="B90:D90"/>
    <mergeCell ref="B91:D91"/>
    <mergeCell ref="A85:G85"/>
    <mergeCell ref="C57:C58"/>
    <mergeCell ref="D57:D58"/>
    <mergeCell ref="E57:I57"/>
  </mergeCells>
  <pageMargins left="0" right="0" top="0.6692913385826772" bottom="0" header="0.31496062992125984" footer="0.31496062992125984"/>
  <pageSetup paperSize="9" scale="64" orientation="landscape" verticalDpi="360" r:id="rId1"/>
  <headerFooter>
    <oddHeader>&amp;L&amp;G&amp;RUCM/FR/HCM/10 Rev 00
June 17, 2021</oddHeader>
  </headerFooter>
  <rowBreaks count="1" manualBreakCount="1">
    <brk id="82"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4:J125"/>
  <sheetViews>
    <sheetView view="pageLayout" topLeftCell="C1" zoomScale="80" zoomScaleNormal="70" zoomScaleSheetLayoutView="70" zoomScalePageLayoutView="80" workbookViewId="0">
      <selection activeCell="K12" sqref="K12"/>
    </sheetView>
  </sheetViews>
  <sheetFormatPr defaultColWidth="9.140625" defaultRowHeight="15.75" x14ac:dyDescent="0.25"/>
  <cols>
    <col min="1" max="1" width="11" style="2" customWidth="1"/>
    <col min="2" max="2" width="26.42578125" style="2" customWidth="1"/>
    <col min="3" max="3" width="23.5703125" style="2" customWidth="1"/>
    <col min="4" max="4" width="35.5703125" style="2" customWidth="1"/>
    <col min="5" max="9" width="23.5703125" style="2" customWidth="1"/>
    <col min="10" max="10" width="9.140625" style="1"/>
    <col min="11" max="16384" width="9.140625" style="2"/>
  </cols>
  <sheetData>
    <row r="4" spans="1:9" x14ac:dyDescent="0.25">
      <c r="A4" s="218" t="s">
        <v>0</v>
      </c>
      <c r="B4" s="218"/>
      <c r="C4" s="218"/>
      <c r="D4" s="218"/>
      <c r="E4" s="218"/>
      <c r="F4" s="218"/>
      <c r="G4" s="218"/>
      <c r="H4" s="218"/>
      <c r="I4" s="218"/>
    </row>
    <row r="5" spans="1:9" x14ac:dyDescent="0.25">
      <c r="A5" s="64"/>
    </row>
    <row r="6" spans="1:9" ht="35.25" customHeight="1" x14ac:dyDescent="0.25">
      <c r="A6" s="190" t="s">
        <v>1</v>
      </c>
      <c r="B6" s="190"/>
      <c r="C6" s="190"/>
      <c r="D6" s="190"/>
      <c r="E6" s="190"/>
      <c r="F6" s="190"/>
      <c r="G6" s="190"/>
      <c r="H6" s="190"/>
      <c r="I6" s="190"/>
    </row>
    <row r="7" spans="1:9" x14ac:dyDescent="0.25">
      <c r="A7" s="65"/>
    </row>
    <row r="8" spans="1:9" x14ac:dyDescent="0.25">
      <c r="A8" s="64"/>
    </row>
    <row r="9" spans="1:9" x14ac:dyDescent="0.25">
      <c r="A9" s="64" t="s">
        <v>2</v>
      </c>
    </row>
    <row r="10" spans="1:9" x14ac:dyDescent="0.25">
      <c r="A10" s="64"/>
    </row>
    <row r="11" spans="1:9" x14ac:dyDescent="0.25">
      <c r="B11" s="64" t="s">
        <v>3</v>
      </c>
      <c r="C11" s="64"/>
    </row>
    <row r="12" spans="1:9" x14ac:dyDescent="0.25">
      <c r="B12" s="64" t="s">
        <v>4</v>
      </c>
      <c r="C12" s="64"/>
    </row>
    <row r="13" spans="1:9" x14ac:dyDescent="0.25">
      <c r="B13" s="64" t="s">
        <v>5</v>
      </c>
      <c r="C13" s="64"/>
    </row>
    <row r="14" spans="1:9" x14ac:dyDescent="0.25">
      <c r="A14" s="64"/>
    </row>
    <row r="15" spans="1:9" x14ac:dyDescent="0.25">
      <c r="A15" s="64"/>
    </row>
    <row r="16" spans="1:9" x14ac:dyDescent="0.25">
      <c r="A16" s="64" t="s">
        <v>6</v>
      </c>
    </row>
    <row r="17" spans="1:10" x14ac:dyDescent="0.25">
      <c r="A17" s="64"/>
    </row>
    <row r="18" spans="1:10" x14ac:dyDescent="0.25">
      <c r="B18" s="64" t="s">
        <v>3</v>
      </c>
      <c r="C18" s="64"/>
    </row>
    <row r="19" spans="1:10" x14ac:dyDescent="0.25">
      <c r="B19" s="64" t="s">
        <v>7</v>
      </c>
      <c r="C19" s="66"/>
    </row>
    <row r="20" spans="1:10" x14ac:dyDescent="0.25">
      <c r="B20" s="64" t="s">
        <v>4</v>
      </c>
      <c r="C20" s="64"/>
    </row>
    <row r="21" spans="1:10" x14ac:dyDescent="0.25">
      <c r="B21" s="64" t="s">
        <v>8</v>
      </c>
      <c r="C21" s="64"/>
    </row>
    <row r="22" spans="1:10" x14ac:dyDescent="0.25">
      <c r="B22" s="2" t="s">
        <v>9</v>
      </c>
      <c r="C22" s="64"/>
    </row>
    <row r="24" spans="1:10" x14ac:dyDescent="0.25">
      <c r="A24" s="6" t="s">
        <v>10</v>
      </c>
    </row>
    <row r="26" spans="1:10" x14ac:dyDescent="0.25">
      <c r="A26" s="178" t="s">
        <v>11</v>
      </c>
      <c r="B26" s="178" t="s">
        <v>12</v>
      </c>
      <c r="C26" s="178" t="s">
        <v>13</v>
      </c>
      <c r="D26" s="178" t="s">
        <v>14</v>
      </c>
      <c r="E26" s="162" t="s">
        <v>15</v>
      </c>
      <c r="F26" s="162"/>
      <c r="G26" s="162"/>
      <c r="H26" s="162"/>
      <c r="I26" s="162"/>
      <c r="J26" s="178" t="s">
        <v>16</v>
      </c>
    </row>
    <row r="27" spans="1:10" x14ac:dyDescent="0.25">
      <c r="A27" s="178"/>
      <c r="B27" s="178"/>
      <c r="C27" s="178"/>
      <c r="D27" s="178"/>
      <c r="E27" s="86">
        <v>1</v>
      </c>
      <c r="F27" s="86">
        <v>2</v>
      </c>
      <c r="G27" s="86">
        <v>3</v>
      </c>
      <c r="H27" s="86">
        <v>4</v>
      </c>
      <c r="I27" s="86">
        <v>5</v>
      </c>
      <c r="J27" s="178"/>
    </row>
    <row r="28" spans="1:10" ht="199.5" customHeight="1" x14ac:dyDescent="0.25">
      <c r="A28" s="87">
        <v>1</v>
      </c>
      <c r="B28" s="219" t="s">
        <v>294</v>
      </c>
      <c r="C28" s="88" t="s">
        <v>230</v>
      </c>
      <c r="D28" s="89" t="s">
        <v>231</v>
      </c>
      <c r="E28" s="148" t="s">
        <v>232</v>
      </c>
      <c r="F28" s="148" t="s">
        <v>233</v>
      </c>
      <c r="G28" s="148" t="s">
        <v>234</v>
      </c>
      <c r="H28" s="148" t="s">
        <v>235</v>
      </c>
      <c r="I28" s="148" t="s">
        <v>236</v>
      </c>
      <c r="J28" s="87"/>
    </row>
    <row r="29" spans="1:10" ht="345" customHeight="1" x14ac:dyDescent="0.25">
      <c r="A29" s="87">
        <v>2</v>
      </c>
      <c r="B29" s="220"/>
      <c r="C29" s="88" t="s">
        <v>237</v>
      </c>
      <c r="D29" s="89" t="s">
        <v>238</v>
      </c>
      <c r="E29" s="148" t="s">
        <v>239</v>
      </c>
      <c r="F29" s="148" t="s">
        <v>240</v>
      </c>
      <c r="G29" s="148" t="s">
        <v>241</v>
      </c>
      <c r="H29" s="148" t="s">
        <v>242</v>
      </c>
      <c r="I29" s="148" t="s">
        <v>243</v>
      </c>
      <c r="J29" s="87"/>
    </row>
    <row r="30" spans="1:10" ht="126" x14ac:dyDescent="0.25">
      <c r="A30" s="87">
        <v>3</v>
      </c>
      <c r="B30" s="220"/>
      <c r="C30" s="88" t="s">
        <v>244</v>
      </c>
      <c r="D30" s="89" t="s">
        <v>245</v>
      </c>
      <c r="E30" s="148" t="s">
        <v>246</v>
      </c>
      <c r="F30" s="148" t="s">
        <v>247</v>
      </c>
      <c r="G30" s="148" t="s">
        <v>248</v>
      </c>
      <c r="H30" s="148" t="s">
        <v>249</v>
      </c>
      <c r="I30" s="148" t="s">
        <v>250</v>
      </c>
      <c r="J30" s="87"/>
    </row>
    <row r="31" spans="1:10" ht="288.75" customHeight="1" x14ac:dyDescent="0.25">
      <c r="A31" s="87">
        <v>4</v>
      </c>
      <c r="B31" s="221"/>
      <c r="C31" s="88" t="s">
        <v>251</v>
      </c>
      <c r="D31" s="89" t="s">
        <v>252</v>
      </c>
      <c r="E31" s="148" t="s">
        <v>53</v>
      </c>
      <c r="F31" s="148" t="s">
        <v>26</v>
      </c>
      <c r="G31" s="148" t="s">
        <v>27</v>
      </c>
      <c r="H31" s="148" t="s">
        <v>28</v>
      </c>
      <c r="I31" s="148" t="s">
        <v>42</v>
      </c>
      <c r="J31" s="87"/>
    </row>
    <row r="32" spans="1:10" ht="63" x14ac:dyDescent="0.25">
      <c r="A32" s="87">
        <v>5</v>
      </c>
      <c r="B32" s="90"/>
      <c r="C32" s="88" t="s">
        <v>253</v>
      </c>
      <c r="D32" s="89" t="s">
        <v>254</v>
      </c>
      <c r="E32" s="148" t="s">
        <v>70</v>
      </c>
      <c r="F32" s="148" t="s">
        <v>71</v>
      </c>
      <c r="G32" s="148" t="s">
        <v>72</v>
      </c>
      <c r="H32" s="148" t="s">
        <v>73</v>
      </c>
      <c r="I32" s="148" t="s">
        <v>74</v>
      </c>
      <c r="J32" s="87"/>
    </row>
    <row r="33" spans="1:10" ht="75" customHeight="1" x14ac:dyDescent="0.25">
      <c r="A33" s="87">
        <v>6</v>
      </c>
      <c r="B33" s="90" t="s">
        <v>255</v>
      </c>
      <c r="C33" s="88" t="s">
        <v>76</v>
      </c>
      <c r="D33" s="89" t="s">
        <v>77</v>
      </c>
      <c r="E33" s="148" t="s">
        <v>78</v>
      </c>
      <c r="F33" s="148" t="s">
        <v>79</v>
      </c>
      <c r="G33" s="148" t="s">
        <v>80</v>
      </c>
      <c r="H33" s="148" t="s">
        <v>81</v>
      </c>
      <c r="I33" s="148" t="s">
        <v>82</v>
      </c>
      <c r="J33" s="87"/>
    </row>
    <row r="34" spans="1:10" x14ac:dyDescent="0.25">
      <c r="A34" s="91"/>
      <c r="B34" s="92"/>
      <c r="C34" s="93"/>
      <c r="D34" s="94" t="s">
        <v>83</v>
      </c>
      <c r="E34" s="95"/>
      <c r="F34" s="95"/>
      <c r="G34" s="95"/>
      <c r="H34" s="95"/>
      <c r="I34" s="95"/>
      <c r="J34" s="96" t="e">
        <f>AVERAGE(J28:J33)</f>
        <v>#DIV/0!</v>
      </c>
    </row>
    <row r="35" spans="1:10" x14ac:dyDescent="0.25">
      <c r="A35" s="97"/>
      <c r="B35" s="98"/>
      <c r="C35" s="99"/>
      <c r="D35" s="94" t="s">
        <v>16</v>
      </c>
      <c r="E35" s="100" t="e">
        <f>70%*J34</f>
        <v>#DIV/0!</v>
      </c>
      <c r="F35" s="101"/>
      <c r="G35" s="102"/>
      <c r="H35" s="102"/>
      <c r="I35" s="102"/>
      <c r="J35" s="103"/>
    </row>
    <row r="36" spans="1:10" ht="30.75" customHeight="1" x14ac:dyDescent="0.25">
      <c r="A36" s="176" t="s">
        <v>11</v>
      </c>
      <c r="B36" s="176" t="s">
        <v>12</v>
      </c>
      <c r="C36" s="176" t="s">
        <v>13</v>
      </c>
      <c r="D36" s="176" t="s">
        <v>14</v>
      </c>
      <c r="E36" s="222" t="s">
        <v>15</v>
      </c>
      <c r="F36" s="222"/>
      <c r="G36" s="222"/>
      <c r="H36" s="222"/>
      <c r="I36" s="222"/>
      <c r="J36" s="186" t="s">
        <v>16</v>
      </c>
    </row>
    <row r="37" spans="1:10" x14ac:dyDescent="0.25">
      <c r="A37" s="176"/>
      <c r="B37" s="176"/>
      <c r="C37" s="176"/>
      <c r="D37" s="176"/>
      <c r="E37" s="146">
        <v>1</v>
      </c>
      <c r="F37" s="146">
        <v>2</v>
      </c>
      <c r="G37" s="146">
        <v>3</v>
      </c>
      <c r="H37" s="146">
        <v>4</v>
      </c>
      <c r="I37" s="146">
        <v>5</v>
      </c>
      <c r="J37" s="187"/>
    </row>
    <row r="38" spans="1:10" ht="47.25" x14ac:dyDescent="0.25">
      <c r="A38" s="8">
        <v>1</v>
      </c>
      <c r="B38" s="179" t="s">
        <v>84</v>
      </c>
      <c r="C38" s="26" t="s">
        <v>85</v>
      </c>
      <c r="D38" s="27" t="s">
        <v>86</v>
      </c>
      <c r="E38" s="106" t="s">
        <v>87</v>
      </c>
      <c r="F38" s="106" t="s">
        <v>88</v>
      </c>
      <c r="G38" s="106" t="s">
        <v>89</v>
      </c>
      <c r="H38" s="106" t="s">
        <v>90</v>
      </c>
      <c r="I38" s="106" t="s">
        <v>91</v>
      </c>
      <c r="J38" s="8"/>
    </row>
    <row r="39" spans="1:10" ht="63" x14ac:dyDescent="0.25">
      <c r="A39" s="8">
        <v>2</v>
      </c>
      <c r="B39" s="179"/>
      <c r="C39" s="26" t="s">
        <v>92</v>
      </c>
      <c r="D39" s="27" t="s">
        <v>93</v>
      </c>
      <c r="E39" s="106" t="s">
        <v>87</v>
      </c>
      <c r="F39" s="106" t="s">
        <v>88</v>
      </c>
      <c r="G39" s="106" t="s">
        <v>89</v>
      </c>
      <c r="H39" s="106" t="s">
        <v>90</v>
      </c>
      <c r="I39" s="106" t="s">
        <v>91</v>
      </c>
      <c r="J39" s="8"/>
    </row>
    <row r="40" spans="1:10" ht="63" x14ac:dyDescent="0.25">
      <c r="A40" s="8">
        <v>3</v>
      </c>
      <c r="B40" s="180" t="s">
        <v>94</v>
      </c>
      <c r="C40" s="26" t="s">
        <v>95</v>
      </c>
      <c r="D40" s="27" t="s">
        <v>96</v>
      </c>
      <c r="E40" s="106" t="s">
        <v>87</v>
      </c>
      <c r="F40" s="106" t="s">
        <v>88</v>
      </c>
      <c r="G40" s="106" t="s">
        <v>89</v>
      </c>
      <c r="H40" s="106" t="s">
        <v>90</v>
      </c>
      <c r="I40" s="106" t="s">
        <v>91</v>
      </c>
      <c r="J40" s="8"/>
    </row>
    <row r="41" spans="1:10" ht="63" x14ac:dyDescent="0.25">
      <c r="A41" s="8">
        <v>4</v>
      </c>
      <c r="B41" s="181"/>
      <c r="C41" s="26" t="s">
        <v>97</v>
      </c>
      <c r="D41" s="27" t="s">
        <v>98</v>
      </c>
      <c r="E41" s="106" t="s">
        <v>87</v>
      </c>
      <c r="F41" s="106" t="s">
        <v>88</v>
      </c>
      <c r="G41" s="106" t="s">
        <v>89</v>
      </c>
      <c r="H41" s="106" t="s">
        <v>90</v>
      </c>
      <c r="I41" s="106" t="s">
        <v>91</v>
      </c>
      <c r="J41" s="8"/>
    </row>
    <row r="42" spans="1:10" ht="94.5" x14ac:dyDescent="0.25">
      <c r="A42" s="8">
        <v>5</v>
      </c>
      <c r="B42" s="181"/>
      <c r="C42" s="26" t="s">
        <v>99</v>
      </c>
      <c r="D42" s="27" t="s">
        <v>100</v>
      </c>
      <c r="E42" s="106" t="s">
        <v>87</v>
      </c>
      <c r="F42" s="106" t="s">
        <v>88</v>
      </c>
      <c r="G42" s="106" t="s">
        <v>89</v>
      </c>
      <c r="H42" s="106" t="s">
        <v>90</v>
      </c>
      <c r="I42" s="106" t="s">
        <v>91</v>
      </c>
      <c r="J42" s="8"/>
    </row>
    <row r="43" spans="1:10" ht="78.75" x14ac:dyDescent="0.25">
      <c r="A43" s="8">
        <v>6</v>
      </c>
      <c r="B43" s="181"/>
      <c r="C43" s="26" t="s">
        <v>101</v>
      </c>
      <c r="D43" s="27" t="s">
        <v>102</v>
      </c>
      <c r="E43" s="106" t="s">
        <v>87</v>
      </c>
      <c r="F43" s="106" t="s">
        <v>88</v>
      </c>
      <c r="G43" s="106" t="s">
        <v>89</v>
      </c>
      <c r="H43" s="106" t="s">
        <v>90</v>
      </c>
      <c r="I43" s="106" t="s">
        <v>91</v>
      </c>
      <c r="J43" s="8"/>
    </row>
    <row r="44" spans="1:10" ht="31.5" x14ac:dyDescent="0.25">
      <c r="A44" s="8">
        <v>7</v>
      </c>
      <c r="B44" s="181"/>
      <c r="C44" s="26" t="s">
        <v>103</v>
      </c>
      <c r="D44" s="27" t="s">
        <v>104</v>
      </c>
      <c r="E44" s="106" t="s">
        <v>87</v>
      </c>
      <c r="F44" s="106" t="s">
        <v>88</v>
      </c>
      <c r="G44" s="106" t="s">
        <v>89</v>
      </c>
      <c r="H44" s="106" t="s">
        <v>90</v>
      </c>
      <c r="I44" s="106" t="s">
        <v>91</v>
      </c>
      <c r="J44" s="8"/>
    </row>
    <row r="45" spans="1:10" ht="63" x14ac:dyDescent="0.25">
      <c r="A45" s="8">
        <v>8</v>
      </c>
      <c r="B45" s="181"/>
      <c r="C45" s="26" t="s">
        <v>105</v>
      </c>
      <c r="D45" s="27" t="s">
        <v>106</v>
      </c>
      <c r="E45" s="106" t="s">
        <v>87</v>
      </c>
      <c r="F45" s="106" t="s">
        <v>88</v>
      </c>
      <c r="G45" s="106" t="s">
        <v>89</v>
      </c>
      <c r="H45" s="106" t="s">
        <v>90</v>
      </c>
      <c r="I45" s="106" t="s">
        <v>91</v>
      </c>
      <c r="J45" s="8"/>
    </row>
    <row r="46" spans="1:10" ht="63" x14ac:dyDescent="0.25">
      <c r="A46" s="8">
        <v>9</v>
      </c>
      <c r="B46" s="181"/>
      <c r="C46" s="26" t="s">
        <v>107</v>
      </c>
      <c r="D46" s="27" t="s">
        <v>108</v>
      </c>
      <c r="E46" s="106" t="s">
        <v>87</v>
      </c>
      <c r="F46" s="106" t="s">
        <v>88</v>
      </c>
      <c r="G46" s="106" t="s">
        <v>89</v>
      </c>
      <c r="H46" s="106" t="s">
        <v>90</v>
      </c>
      <c r="I46" s="106" t="s">
        <v>91</v>
      </c>
      <c r="J46" s="8"/>
    </row>
    <row r="47" spans="1:10" ht="78.75" x14ac:dyDescent="0.25">
      <c r="A47" s="8">
        <v>10</v>
      </c>
      <c r="B47" s="182"/>
      <c r="C47" s="26" t="s">
        <v>109</v>
      </c>
      <c r="D47" s="27" t="s">
        <v>110</v>
      </c>
      <c r="E47" s="106" t="s">
        <v>87</v>
      </c>
      <c r="F47" s="106" t="s">
        <v>88</v>
      </c>
      <c r="G47" s="106" t="s">
        <v>89</v>
      </c>
      <c r="H47" s="106" t="s">
        <v>90</v>
      </c>
      <c r="I47" s="106" t="s">
        <v>91</v>
      </c>
      <c r="J47" s="8"/>
    </row>
    <row r="48" spans="1:10" ht="63" x14ac:dyDescent="0.25">
      <c r="A48" s="8">
        <v>11</v>
      </c>
      <c r="B48" s="28" t="s">
        <v>111</v>
      </c>
      <c r="C48" s="26" t="s">
        <v>112</v>
      </c>
      <c r="D48" s="27" t="s">
        <v>113</v>
      </c>
      <c r="E48" s="106" t="s">
        <v>87</v>
      </c>
      <c r="F48" s="106" t="s">
        <v>88</v>
      </c>
      <c r="G48" s="106" t="s">
        <v>89</v>
      </c>
      <c r="H48" s="106" t="s">
        <v>90</v>
      </c>
      <c r="I48" s="106" t="s">
        <v>91</v>
      </c>
      <c r="J48" s="8"/>
    </row>
    <row r="49" spans="1:10" ht="63" x14ac:dyDescent="0.25">
      <c r="A49" s="8">
        <v>12</v>
      </c>
      <c r="B49" s="179" t="s">
        <v>114</v>
      </c>
      <c r="C49" s="26" t="s">
        <v>115</v>
      </c>
      <c r="D49" s="27" t="s">
        <v>116</v>
      </c>
      <c r="E49" s="106" t="s">
        <v>87</v>
      </c>
      <c r="F49" s="106" t="s">
        <v>88</v>
      </c>
      <c r="G49" s="106" t="s">
        <v>89</v>
      </c>
      <c r="H49" s="106" t="s">
        <v>90</v>
      </c>
      <c r="I49" s="106" t="s">
        <v>91</v>
      </c>
      <c r="J49" s="8"/>
    </row>
    <row r="50" spans="1:10" ht="63" x14ac:dyDescent="0.25">
      <c r="A50" s="8">
        <v>13</v>
      </c>
      <c r="B50" s="179"/>
      <c r="C50" s="26" t="s">
        <v>117</v>
      </c>
      <c r="D50" s="29" t="s">
        <v>118</v>
      </c>
      <c r="E50" s="106" t="s">
        <v>87</v>
      </c>
      <c r="F50" s="106" t="s">
        <v>88</v>
      </c>
      <c r="G50" s="106" t="s">
        <v>89</v>
      </c>
      <c r="H50" s="106" t="s">
        <v>90</v>
      </c>
      <c r="I50" s="106" t="s">
        <v>91</v>
      </c>
      <c r="J50" s="8"/>
    </row>
    <row r="51" spans="1:10" x14ac:dyDescent="0.25">
      <c r="A51" s="13"/>
      <c r="B51" s="14"/>
      <c r="C51" s="15"/>
      <c r="D51" s="16" t="s">
        <v>83</v>
      </c>
      <c r="E51" s="105"/>
      <c r="F51" s="105"/>
      <c r="G51" s="105"/>
      <c r="H51" s="105"/>
      <c r="I51" s="105"/>
      <c r="J51" s="8" t="e">
        <f>AVERAGE(J38:J50)</f>
        <v>#DIV/0!</v>
      </c>
    </row>
    <row r="52" spans="1:10" x14ac:dyDescent="0.25">
      <c r="A52" s="18"/>
      <c r="B52" s="19"/>
      <c r="C52" s="20"/>
      <c r="D52" s="16" t="s">
        <v>16</v>
      </c>
      <c r="E52" s="21" t="e">
        <f>20%*J51</f>
        <v>#DIV/0!</v>
      </c>
      <c r="F52" s="22"/>
      <c r="G52" s="23"/>
      <c r="H52" s="23"/>
      <c r="I52" s="23"/>
      <c r="J52" s="24"/>
    </row>
    <row r="53" spans="1:10" x14ac:dyDescent="0.25">
      <c r="A53" s="162" t="s">
        <v>11</v>
      </c>
      <c r="B53" s="162" t="s">
        <v>12</v>
      </c>
      <c r="C53" s="162" t="s">
        <v>13</v>
      </c>
      <c r="D53" s="162" t="s">
        <v>14</v>
      </c>
      <c r="E53" s="222" t="s">
        <v>15</v>
      </c>
      <c r="F53" s="222"/>
      <c r="G53" s="222"/>
      <c r="H53" s="222"/>
      <c r="I53" s="222"/>
      <c r="J53" s="162" t="s">
        <v>16</v>
      </c>
    </row>
    <row r="54" spans="1:10" x14ac:dyDescent="0.25">
      <c r="A54" s="162"/>
      <c r="B54" s="162"/>
      <c r="C54" s="162"/>
      <c r="D54" s="162"/>
      <c r="E54" s="147">
        <v>1</v>
      </c>
      <c r="F54" s="147">
        <v>2</v>
      </c>
      <c r="G54" s="147">
        <v>3</v>
      </c>
      <c r="H54" s="147">
        <v>4</v>
      </c>
      <c r="I54" s="147">
        <v>5</v>
      </c>
      <c r="J54" s="162"/>
    </row>
    <row r="55" spans="1:10" s="3" customFormat="1" ht="45.75" customHeight="1" x14ac:dyDescent="0.25">
      <c r="A55" s="87">
        <v>1</v>
      </c>
      <c r="B55" s="104" t="s">
        <v>119</v>
      </c>
      <c r="C55" s="105" t="s">
        <v>120</v>
      </c>
      <c r="D55" s="106" t="s">
        <v>121</v>
      </c>
      <c r="E55" s="149" t="s">
        <v>122</v>
      </c>
      <c r="F55" s="149" t="s">
        <v>123</v>
      </c>
      <c r="G55" s="149" t="s">
        <v>124</v>
      </c>
      <c r="H55" s="149" t="s">
        <v>125</v>
      </c>
      <c r="I55" s="149" t="s">
        <v>126</v>
      </c>
      <c r="J55" s="87"/>
    </row>
    <row r="56" spans="1:10" x14ac:dyDescent="0.25">
      <c r="A56" s="91"/>
      <c r="B56" s="92"/>
      <c r="C56" s="93"/>
      <c r="D56" s="94" t="s">
        <v>83</v>
      </c>
      <c r="E56" s="30"/>
      <c r="F56" s="30"/>
      <c r="G56" s="30"/>
      <c r="H56" s="30"/>
      <c r="I56" s="30"/>
      <c r="J56" s="107" t="e">
        <f>AVERAGE(J55:J55)</f>
        <v>#DIV/0!</v>
      </c>
    </row>
    <row r="57" spans="1:10" x14ac:dyDescent="0.25">
      <c r="A57" s="108"/>
      <c r="B57" s="109"/>
      <c r="C57" s="110"/>
      <c r="D57" s="94" t="s">
        <v>16</v>
      </c>
      <c r="E57" s="111" t="e">
        <f>10%*J56</f>
        <v>#DIV/0!</v>
      </c>
      <c r="F57" s="112"/>
      <c r="G57" s="102"/>
      <c r="H57" s="102"/>
      <c r="I57" s="102"/>
      <c r="J57" s="103"/>
    </row>
    <row r="58" spans="1:10" x14ac:dyDescent="0.25">
      <c r="A58" s="113"/>
      <c r="B58" s="114"/>
      <c r="C58" s="115"/>
      <c r="D58" s="116" t="s">
        <v>127</v>
      </c>
      <c r="E58" s="117" t="e">
        <f>E35+E52+E57</f>
        <v>#DIV/0!</v>
      </c>
      <c r="F58" s="113"/>
      <c r="G58" s="113"/>
      <c r="H58" s="113"/>
      <c r="I58" s="113"/>
      <c r="J58" s="118"/>
    </row>
    <row r="59" spans="1:10" x14ac:dyDescent="0.25">
      <c r="A59" s="113"/>
      <c r="B59" s="119"/>
      <c r="C59" s="115"/>
      <c r="D59" s="116" t="s">
        <v>128</v>
      </c>
      <c r="E59" s="105"/>
      <c r="F59" s="113"/>
      <c r="G59" s="113"/>
      <c r="H59" s="113"/>
      <c r="I59" s="113"/>
      <c r="J59" s="118"/>
    </row>
    <row r="60" spans="1:10" x14ac:dyDescent="0.25">
      <c r="A60" s="76"/>
      <c r="B60" s="109"/>
      <c r="C60" s="76"/>
      <c r="D60" s="76"/>
    </row>
    <row r="61" spans="1:10" x14ac:dyDescent="0.25">
      <c r="A61" s="46"/>
      <c r="B61" s="47" t="s">
        <v>129</v>
      </c>
      <c r="C61" s="46"/>
      <c r="D61" s="46"/>
    </row>
    <row r="62" spans="1:10" x14ac:dyDescent="0.25">
      <c r="B62" s="77" t="s">
        <v>83</v>
      </c>
      <c r="C62" s="77" t="s">
        <v>13</v>
      </c>
      <c r="D62" s="77" t="s">
        <v>130</v>
      </c>
    </row>
    <row r="63" spans="1:10" x14ac:dyDescent="0.25">
      <c r="B63" s="30" t="s">
        <v>131</v>
      </c>
      <c r="C63" s="30" t="s">
        <v>132</v>
      </c>
      <c r="D63" s="30" t="s">
        <v>133</v>
      </c>
    </row>
    <row r="64" spans="1:10" x14ac:dyDescent="0.25">
      <c r="B64" s="30" t="s">
        <v>134</v>
      </c>
      <c r="C64" s="30" t="s">
        <v>135</v>
      </c>
      <c r="D64" s="30" t="s">
        <v>136</v>
      </c>
    </row>
    <row r="65" spans="1:7" x14ac:dyDescent="0.25">
      <c r="B65" s="30" t="s">
        <v>137</v>
      </c>
      <c r="C65" s="30" t="s">
        <v>138</v>
      </c>
      <c r="D65" s="30" t="s">
        <v>139</v>
      </c>
    </row>
    <row r="66" spans="1:7" x14ac:dyDescent="0.25">
      <c r="B66" s="30" t="s">
        <v>140</v>
      </c>
      <c r="C66" s="30" t="s">
        <v>141</v>
      </c>
      <c r="D66" s="30" t="s">
        <v>142</v>
      </c>
    </row>
    <row r="67" spans="1:7" x14ac:dyDescent="0.25">
      <c r="B67" s="30" t="s">
        <v>143</v>
      </c>
      <c r="C67" s="30" t="s">
        <v>144</v>
      </c>
      <c r="D67" s="30" t="s">
        <v>145</v>
      </c>
    </row>
    <row r="68" spans="1:7" x14ac:dyDescent="0.25">
      <c r="B68" s="30" t="s">
        <v>146</v>
      </c>
      <c r="C68" s="30" t="s">
        <v>147</v>
      </c>
      <c r="D68" s="30" t="s">
        <v>148</v>
      </c>
    </row>
    <row r="69" spans="1:7" x14ac:dyDescent="0.25">
      <c r="B69" s="30" t="s">
        <v>149</v>
      </c>
      <c r="C69" s="30" t="s">
        <v>150</v>
      </c>
      <c r="D69" s="30" t="s">
        <v>151</v>
      </c>
    </row>
    <row r="70" spans="1:7" x14ac:dyDescent="0.25">
      <c r="B70" s="120"/>
      <c r="C70" s="120"/>
      <c r="D70" s="120"/>
    </row>
    <row r="71" spans="1:7" x14ac:dyDescent="0.25">
      <c r="A71" s="76"/>
      <c r="B71" s="76"/>
      <c r="C71" s="76"/>
      <c r="D71" s="76"/>
    </row>
    <row r="72" spans="1:7" ht="30" customHeight="1" x14ac:dyDescent="0.25">
      <c r="A72" s="223" t="s">
        <v>152</v>
      </c>
      <c r="B72" s="223"/>
      <c r="C72" s="223"/>
      <c r="D72" s="223"/>
      <c r="E72" s="223"/>
      <c r="F72" s="223"/>
      <c r="G72" s="223"/>
    </row>
    <row r="73" spans="1:7" x14ac:dyDescent="0.25">
      <c r="A73" s="168"/>
      <c r="B73" s="168"/>
      <c r="C73" s="168"/>
      <c r="D73" s="168"/>
      <c r="E73" s="168"/>
      <c r="F73" s="168"/>
      <c r="G73" s="168"/>
    </row>
    <row r="74" spans="1:7" x14ac:dyDescent="0.25">
      <c r="A74" s="168"/>
      <c r="B74" s="168"/>
      <c r="C74" s="168"/>
      <c r="D74" s="168"/>
      <c r="E74" s="168"/>
      <c r="F74" s="168"/>
      <c r="G74" s="168"/>
    </row>
    <row r="75" spans="1:7" x14ac:dyDescent="0.25">
      <c r="A75" s="168"/>
      <c r="B75" s="168"/>
      <c r="C75" s="168"/>
      <c r="D75" s="168"/>
      <c r="E75" s="168"/>
      <c r="F75" s="168"/>
      <c r="G75" s="168"/>
    </row>
    <row r="76" spans="1:7" x14ac:dyDescent="0.25">
      <c r="A76" s="168"/>
      <c r="B76" s="168"/>
      <c r="C76" s="168"/>
      <c r="D76" s="168"/>
      <c r="E76" s="168"/>
      <c r="F76" s="168"/>
      <c r="G76" s="168"/>
    </row>
    <row r="77" spans="1:7" x14ac:dyDescent="0.25">
      <c r="A77" s="168"/>
      <c r="B77" s="168"/>
      <c r="C77" s="168"/>
      <c r="D77" s="168"/>
      <c r="E77" s="168"/>
      <c r="F77" s="168"/>
      <c r="G77" s="168"/>
    </row>
    <row r="78" spans="1:7" x14ac:dyDescent="0.25">
      <c r="A78" s="168"/>
      <c r="B78" s="168"/>
      <c r="C78" s="168"/>
      <c r="D78" s="168"/>
      <c r="E78" s="168"/>
      <c r="F78" s="168"/>
      <c r="G78" s="168"/>
    </row>
    <row r="79" spans="1:7" ht="15" customHeight="1" x14ac:dyDescent="0.25">
      <c r="A79" s="121"/>
      <c r="B79" s="79"/>
      <c r="C79" s="79"/>
      <c r="D79" s="79"/>
      <c r="E79" s="79"/>
      <c r="F79" s="79"/>
      <c r="G79" s="122"/>
    </row>
    <row r="80" spans="1:7" ht="15.75" customHeight="1" thickBot="1" x14ac:dyDescent="0.3">
      <c r="A80" s="123"/>
      <c r="B80" s="124"/>
      <c r="C80" s="124"/>
      <c r="D80" s="124"/>
      <c r="E80" s="124"/>
      <c r="F80" s="124"/>
      <c r="G80" s="125"/>
    </row>
    <row r="81" spans="1:7" x14ac:dyDescent="0.25">
      <c r="A81" s="225" t="s">
        <v>153</v>
      </c>
      <c r="B81" s="226"/>
      <c r="C81" s="226"/>
      <c r="D81" s="226"/>
      <c r="E81" s="226"/>
      <c r="F81" s="226"/>
      <c r="G81" s="227"/>
    </row>
    <row r="82" spans="1:7" x14ac:dyDescent="0.25">
      <c r="A82" s="80" t="s">
        <v>11</v>
      </c>
      <c r="B82" s="209" t="s">
        <v>154</v>
      </c>
      <c r="C82" s="209"/>
      <c r="D82" s="209"/>
      <c r="E82" s="81" t="s">
        <v>155</v>
      </c>
      <c r="F82" s="81" t="s">
        <v>156</v>
      </c>
      <c r="G82" s="81" t="s">
        <v>157</v>
      </c>
    </row>
    <row r="83" spans="1:7" ht="25.5" customHeight="1" x14ac:dyDescent="0.25">
      <c r="A83" s="82"/>
      <c r="B83" s="210"/>
      <c r="C83" s="210"/>
      <c r="D83" s="210"/>
      <c r="E83" s="83"/>
      <c r="F83" s="83"/>
      <c r="G83" s="83"/>
    </row>
    <row r="84" spans="1:7" ht="25.5" customHeight="1" x14ac:dyDescent="0.25">
      <c r="A84" s="30"/>
      <c r="B84" s="211"/>
      <c r="C84" s="211"/>
      <c r="D84" s="211"/>
      <c r="E84" s="84"/>
      <c r="F84" s="84"/>
      <c r="G84" s="84"/>
    </row>
    <row r="85" spans="1:7" ht="25.5" customHeight="1" x14ac:dyDescent="0.25">
      <c r="A85" s="82"/>
      <c r="B85" s="210"/>
      <c r="C85" s="210"/>
      <c r="D85" s="210"/>
      <c r="E85" s="83"/>
      <c r="F85" s="83"/>
      <c r="G85" s="83"/>
    </row>
    <row r="86" spans="1:7" ht="25.5" customHeight="1" x14ac:dyDescent="0.25">
      <c r="A86" s="30"/>
      <c r="B86" s="211"/>
      <c r="C86" s="211"/>
      <c r="D86" s="211"/>
      <c r="E86" s="84"/>
      <c r="F86" s="84"/>
      <c r="G86" s="84"/>
    </row>
    <row r="87" spans="1:7" ht="25.5" customHeight="1" x14ac:dyDescent="0.25">
      <c r="A87" s="82"/>
      <c r="B87" s="210"/>
      <c r="C87" s="210"/>
      <c r="D87" s="210"/>
      <c r="E87" s="83"/>
      <c r="F87" s="83"/>
      <c r="G87" s="83"/>
    </row>
    <row r="88" spans="1:7" x14ac:dyDescent="0.25">
      <c r="A88" s="56"/>
      <c r="B88" s="57"/>
      <c r="C88" s="57"/>
      <c r="D88" s="57"/>
      <c r="E88" s="57"/>
      <c r="F88" s="57"/>
      <c r="G88" s="57"/>
    </row>
    <row r="89" spans="1:7" x14ac:dyDescent="0.25">
      <c r="A89" s="58" t="s">
        <v>158</v>
      </c>
      <c r="B89" s="57"/>
      <c r="C89" s="57"/>
      <c r="D89" s="57"/>
      <c r="E89" s="57"/>
      <c r="F89" s="57"/>
      <c r="G89" s="57"/>
    </row>
    <row r="90" spans="1:7" ht="24" customHeight="1" x14ac:dyDescent="0.25">
      <c r="A90" s="59" t="s">
        <v>159</v>
      </c>
      <c r="B90" s="60"/>
      <c r="C90" s="57"/>
      <c r="D90" s="57"/>
      <c r="E90" s="57"/>
      <c r="F90" s="57"/>
      <c r="G90" s="57"/>
    </row>
    <row r="91" spans="1:7" ht="21.75" customHeight="1" x14ac:dyDescent="0.25">
      <c r="A91" s="61" t="s">
        <v>160</v>
      </c>
      <c r="B91" s="47"/>
      <c r="C91" s="57"/>
      <c r="D91" s="57"/>
      <c r="E91" s="57"/>
      <c r="F91" s="57"/>
      <c r="G91" s="57"/>
    </row>
    <row r="92" spans="1:7" x14ac:dyDescent="0.25">
      <c r="A92" s="56"/>
      <c r="B92" s="57"/>
      <c r="C92" s="57"/>
      <c r="D92" s="57"/>
      <c r="E92" s="57"/>
      <c r="F92" s="57"/>
      <c r="G92" s="57"/>
    </row>
    <row r="93" spans="1:7" x14ac:dyDescent="0.25">
      <c r="A93" s="3" t="s">
        <v>161</v>
      </c>
    </row>
    <row r="94" spans="1:7" x14ac:dyDescent="0.25">
      <c r="A94" s="61" t="s">
        <v>162</v>
      </c>
      <c r="B94" s="62"/>
    </row>
    <row r="95" spans="1:7" x14ac:dyDescent="0.25">
      <c r="A95" s="61" t="s">
        <v>163</v>
      </c>
      <c r="B95" s="62"/>
    </row>
    <row r="96" spans="1:7" x14ac:dyDescent="0.25">
      <c r="A96" s="61" t="s">
        <v>164</v>
      </c>
    </row>
    <row r="97" spans="1:7" x14ac:dyDescent="0.25">
      <c r="A97" s="61" t="s">
        <v>165</v>
      </c>
    </row>
    <row r="98" spans="1:7" x14ac:dyDescent="0.25">
      <c r="A98" s="85"/>
    </row>
    <row r="99" spans="1:7" x14ac:dyDescent="0.25">
      <c r="A99" s="64" t="s">
        <v>166</v>
      </c>
    </row>
    <row r="100" spans="1:7" ht="15.75" customHeight="1" x14ac:dyDescent="0.25">
      <c r="A100" s="224"/>
      <c r="B100" s="224"/>
      <c r="C100" s="224"/>
      <c r="D100" s="224"/>
      <c r="E100" s="224"/>
      <c r="F100" s="224"/>
      <c r="G100" s="224"/>
    </row>
    <row r="101" spans="1:7" x14ac:dyDescent="0.25">
      <c r="A101" s="224"/>
      <c r="B101" s="224"/>
      <c r="C101" s="224"/>
      <c r="D101" s="224"/>
      <c r="E101" s="224"/>
      <c r="F101" s="224"/>
      <c r="G101" s="224"/>
    </row>
    <row r="102" spans="1:7" x14ac:dyDescent="0.25">
      <c r="A102" s="224"/>
      <c r="B102" s="224"/>
      <c r="C102" s="224"/>
      <c r="D102" s="224"/>
      <c r="E102" s="224"/>
      <c r="F102" s="224"/>
      <c r="G102" s="224"/>
    </row>
    <row r="103" spans="1:7" x14ac:dyDescent="0.25">
      <c r="A103" s="224"/>
      <c r="B103" s="224"/>
      <c r="C103" s="224"/>
      <c r="D103" s="224"/>
      <c r="E103" s="224"/>
      <c r="F103" s="224"/>
      <c r="G103" s="224"/>
    </row>
    <row r="104" spans="1:7" x14ac:dyDescent="0.25">
      <c r="A104" s="224"/>
      <c r="B104" s="224"/>
      <c r="C104" s="224"/>
      <c r="D104" s="224"/>
      <c r="E104" s="224"/>
      <c r="F104" s="224"/>
      <c r="G104" s="224"/>
    </row>
    <row r="105" spans="1:7" x14ac:dyDescent="0.25">
      <c r="A105" s="66"/>
      <c r="B105" s="66"/>
      <c r="C105" s="66"/>
      <c r="D105" s="66"/>
      <c r="E105" s="66"/>
      <c r="F105" s="66"/>
      <c r="G105" s="66"/>
    </row>
    <row r="106" spans="1:7" x14ac:dyDescent="0.25">
      <c r="A106" s="66" t="s">
        <v>167</v>
      </c>
      <c r="B106" s="66"/>
      <c r="C106" s="66"/>
      <c r="D106" s="66"/>
      <c r="E106" s="66"/>
      <c r="F106" s="66"/>
      <c r="G106" s="66"/>
    </row>
    <row r="107" spans="1:7" x14ac:dyDescent="0.25">
      <c r="A107" s="208" t="s">
        <v>229</v>
      </c>
      <c r="B107" s="208"/>
      <c r="C107" s="208"/>
      <c r="D107" s="208"/>
      <c r="E107" s="208"/>
      <c r="F107" s="208"/>
      <c r="G107" s="208"/>
    </row>
    <row r="109" spans="1:7" x14ac:dyDescent="0.25">
      <c r="A109" s="64" t="s">
        <v>169</v>
      </c>
      <c r="B109" s="63">
        <f ca="1">TODAY()</f>
        <v>45156</v>
      </c>
    </row>
    <row r="110" spans="1:7" x14ac:dyDescent="0.25">
      <c r="A110" s="64" t="s">
        <v>170</v>
      </c>
    </row>
    <row r="111" spans="1:7" x14ac:dyDescent="0.25">
      <c r="A111" s="64"/>
    </row>
    <row r="112" spans="1:7" x14ac:dyDescent="0.25">
      <c r="A112" s="64"/>
    </row>
    <row r="113" spans="1:6" x14ac:dyDescent="0.25">
      <c r="A113" s="64"/>
    </row>
    <row r="114" spans="1:6" x14ac:dyDescent="0.25">
      <c r="A114" s="64"/>
    </row>
    <row r="115" spans="1:6" x14ac:dyDescent="0.25">
      <c r="A115" s="150" t="s">
        <v>296</v>
      </c>
    </row>
    <row r="116" spans="1:6" x14ac:dyDescent="0.25">
      <c r="A116" s="150" t="s">
        <v>297</v>
      </c>
    </row>
    <row r="117" spans="1:6" x14ac:dyDescent="0.25">
      <c r="A117" s="3"/>
    </row>
    <row r="118" spans="1:6" x14ac:dyDescent="0.25">
      <c r="A118" s="3"/>
    </row>
    <row r="119" spans="1:6" x14ac:dyDescent="0.25">
      <c r="A119" s="3" t="s">
        <v>171</v>
      </c>
      <c r="D119" s="64"/>
      <c r="F119" s="64" t="s">
        <v>172</v>
      </c>
    </row>
    <row r="120" spans="1:6" x14ac:dyDescent="0.25">
      <c r="A120" s="3"/>
    </row>
    <row r="121" spans="1:6" x14ac:dyDescent="0.25">
      <c r="A121" s="3"/>
    </row>
    <row r="122" spans="1:6" x14ac:dyDescent="0.25">
      <c r="A122" s="3"/>
    </row>
    <row r="123" spans="1:6" x14ac:dyDescent="0.25">
      <c r="A123" s="3"/>
    </row>
    <row r="124" spans="1:6" x14ac:dyDescent="0.25">
      <c r="A124" s="150" t="s">
        <v>296</v>
      </c>
      <c r="B124" s="64"/>
      <c r="F124" s="64" t="s">
        <v>173</v>
      </c>
    </row>
    <row r="125" spans="1:6" x14ac:dyDescent="0.25">
      <c r="A125" s="150" t="s">
        <v>297</v>
      </c>
      <c r="D125" s="64"/>
      <c r="F125" s="64" t="s">
        <v>174</v>
      </c>
    </row>
  </sheetData>
  <mergeCells count="35">
    <mergeCell ref="J53:J54"/>
    <mergeCell ref="A72:G72"/>
    <mergeCell ref="A73:G78"/>
    <mergeCell ref="A100:G104"/>
    <mergeCell ref="A107:G107"/>
    <mergeCell ref="B82:D82"/>
    <mergeCell ref="B83:D83"/>
    <mergeCell ref="B84:D84"/>
    <mergeCell ref="B85:D85"/>
    <mergeCell ref="B86:D86"/>
    <mergeCell ref="B87:D87"/>
    <mergeCell ref="A81:G81"/>
    <mergeCell ref="C53:C54"/>
    <mergeCell ref="D53:D54"/>
    <mergeCell ref="E53:I53"/>
    <mergeCell ref="B38:B39"/>
    <mergeCell ref="B40:B47"/>
    <mergeCell ref="B49:B50"/>
    <mergeCell ref="A53:A54"/>
    <mergeCell ref="B53:B54"/>
    <mergeCell ref="J26:J27"/>
    <mergeCell ref="B28:B31"/>
    <mergeCell ref="A36:A37"/>
    <mergeCell ref="B36:B37"/>
    <mergeCell ref="C36:C37"/>
    <mergeCell ref="D36:D37"/>
    <mergeCell ref="E36:I36"/>
    <mergeCell ref="J36:J37"/>
    <mergeCell ref="A4:I4"/>
    <mergeCell ref="A6:I6"/>
    <mergeCell ref="A26:A27"/>
    <mergeCell ref="B26:B27"/>
    <mergeCell ref="C26:C27"/>
    <mergeCell ref="D26:D27"/>
    <mergeCell ref="E26:I26"/>
  </mergeCells>
  <pageMargins left="0" right="0" top="0.6692913385826772" bottom="0" header="0.31496062992125984" footer="0.31496062992125984"/>
  <pageSetup paperSize="9" scale="64" orientation="landscape" verticalDpi="360" r:id="rId1"/>
  <headerFooter>
    <oddHeader>&amp;L&amp;G&amp;RUCM/FR/HCM/10 Rev 00
June 17, 2021</oddHeader>
  </headerFooter>
  <rowBreaks count="2" manualBreakCount="2">
    <brk id="28" max="16383" man="1"/>
    <brk id="78" max="16383"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4:J126"/>
  <sheetViews>
    <sheetView view="pageLayout" zoomScale="52" zoomScaleNormal="70" zoomScaleSheetLayoutView="55" zoomScalePageLayoutView="52" workbookViewId="0">
      <selection activeCell="D28" sqref="D28"/>
    </sheetView>
  </sheetViews>
  <sheetFormatPr defaultColWidth="9.140625" defaultRowHeight="15.75" x14ac:dyDescent="0.25"/>
  <cols>
    <col min="1" max="1" width="11" style="2" customWidth="1"/>
    <col min="2" max="2" width="28.28515625" style="2" customWidth="1"/>
    <col min="3" max="3" width="23.5703125" style="2" customWidth="1"/>
    <col min="4" max="4" width="35.5703125" style="2" customWidth="1"/>
    <col min="5" max="9" width="23.5703125" style="2" customWidth="1"/>
    <col min="10" max="10" width="9.7109375" style="1" bestFit="1" customWidth="1"/>
    <col min="11" max="16384" width="9.140625" style="2"/>
  </cols>
  <sheetData>
    <row r="4" spans="1:9" x14ac:dyDescent="0.25">
      <c r="A4" s="228" t="s">
        <v>0</v>
      </c>
      <c r="B4" s="228"/>
      <c r="C4" s="228"/>
      <c r="D4" s="228"/>
      <c r="E4" s="228"/>
      <c r="F4" s="228"/>
      <c r="G4" s="228"/>
      <c r="H4" s="228"/>
      <c r="I4" s="228"/>
    </row>
    <row r="5" spans="1:9" x14ac:dyDescent="0.25">
      <c r="A5" s="3"/>
    </row>
    <row r="6" spans="1:9" ht="35.25" customHeight="1" x14ac:dyDescent="0.25">
      <c r="A6" s="164" t="s">
        <v>1</v>
      </c>
      <c r="B6" s="164"/>
      <c r="C6" s="164"/>
      <c r="D6" s="164"/>
      <c r="E6" s="164"/>
      <c r="F6" s="164"/>
      <c r="G6" s="164"/>
      <c r="H6" s="164"/>
      <c r="I6" s="164"/>
    </row>
    <row r="7" spans="1:9" x14ac:dyDescent="0.25">
      <c r="A7" s="126"/>
    </row>
    <row r="8" spans="1:9" x14ac:dyDescent="0.25">
      <c r="A8" s="3"/>
    </row>
    <row r="9" spans="1:9" x14ac:dyDescent="0.25">
      <c r="A9" s="3" t="s">
        <v>2</v>
      </c>
    </row>
    <row r="10" spans="1:9" x14ac:dyDescent="0.25">
      <c r="A10" s="3"/>
    </row>
    <row r="11" spans="1:9" x14ac:dyDescent="0.25">
      <c r="B11" s="3" t="s">
        <v>3</v>
      </c>
      <c r="C11" s="3"/>
    </row>
    <row r="12" spans="1:9" x14ac:dyDescent="0.25">
      <c r="B12" s="3" t="s">
        <v>4</v>
      </c>
      <c r="C12" s="3"/>
    </row>
    <row r="13" spans="1:9" x14ac:dyDescent="0.25">
      <c r="B13" s="3" t="s">
        <v>5</v>
      </c>
      <c r="C13" s="3"/>
    </row>
    <row r="14" spans="1:9" x14ac:dyDescent="0.25">
      <c r="A14" s="3"/>
    </row>
    <row r="15" spans="1:9" x14ac:dyDescent="0.25">
      <c r="A15" s="3"/>
    </row>
    <row r="16" spans="1:9" x14ac:dyDescent="0.25">
      <c r="A16" s="3" t="s">
        <v>6</v>
      </c>
    </row>
    <row r="17" spans="1:10" x14ac:dyDescent="0.25">
      <c r="A17" s="3"/>
    </row>
    <row r="18" spans="1:10" x14ac:dyDescent="0.25">
      <c r="B18" s="3" t="s">
        <v>3</v>
      </c>
      <c r="C18" s="3"/>
    </row>
    <row r="19" spans="1:10" x14ac:dyDescent="0.25">
      <c r="B19" s="3" t="s">
        <v>7</v>
      </c>
      <c r="C19" s="5"/>
    </row>
    <row r="20" spans="1:10" x14ac:dyDescent="0.25">
      <c r="B20" s="3" t="s">
        <v>4</v>
      </c>
      <c r="C20" s="3"/>
    </row>
    <row r="21" spans="1:10" x14ac:dyDescent="0.25">
      <c r="B21" s="3" t="s">
        <v>8</v>
      </c>
      <c r="C21" s="3"/>
    </row>
    <row r="22" spans="1:10" x14ac:dyDescent="0.25">
      <c r="B22" s="2" t="s">
        <v>9</v>
      </c>
      <c r="C22" s="3"/>
    </row>
    <row r="24" spans="1:10" x14ac:dyDescent="0.25">
      <c r="A24" s="6" t="s">
        <v>10</v>
      </c>
    </row>
    <row r="26" spans="1:10" x14ac:dyDescent="0.25">
      <c r="A26" s="162" t="s">
        <v>11</v>
      </c>
      <c r="B26" s="162" t="s">
        <v>12</v>
      </c>
      <c r="C26" s="162" t="s">
        <v>13</v>
      </c>
      <c r="D26" s="162" t="s">
        <v>14</v>
      </c>
      <c r="E26" s="162" t="s">
        <v>15</v>
      </c>
      <c r="F26" s="162"/>
      <c r="G26" s="162"/>
      <c r="H26" s="162"/>
      <c r="I26" s="162"/>
      <c r="J26" s="162" t="s">
        <v>16</v>
      </c>
    </row>
    <row r="27" spans="1:10" x14ac:dyDescent="0.25">
      <c r="A27" s="162"/>
      <c r="B27" s="162"/>
      <c r="C27" s="162"/>
      <c r="D27" s="162"/>
      <c r="E27" s="31">
        <v>1</v>
      </c>
      <c r="F27" s="31">
        <v>2</v>
      </c>
      <c r="G27" s="31">
        <v>3</v>
      </c>
      <c r="H27" s="31">
        <v>4</v>
      </c>
      <c r="I27" s="31">
        <v>5</v>
      </c>
      <c r="J27" s="162"/>
    </row>
    <row r="28" spans="1:10" ht="141.75" x14ac:dyDescent="0.25">
      <c r="A28" s="8">
        <v>1</v>
      </c>
      <c r="B28" s="219" t="s">
        <v>298</v>
      </c>
      <c r="C28" s="9" t="s">
        <v>256</v>
      </c>
      <c r="D28" s="10" t="s">
        <v>257</v>
      </c>
      <c r="E28" s="69" t="s">
        <v>258</v>
      </c>
      <c r="F28" s="69" t="s">
        <v>259</v>
      </c>
      <c r="G28" s="69" t="s">
        <v>260</v>
      </c>
      <c r="H28" s="69" t="s">
        <v>261</v>
      </c>
      <c r="I28" s="69" t="s">
        <v>262</v>
      </c>
      <c r="J28" s="8"/>
    </row>
    <row r="29" spans="1:10" ht="173.25" x14ac:dyDescent="0.25">
      <c r="A29" s="8">
        <v>2</v>
      </c>
      <c r="B29" s="229"/>
      <c r="C29" s="9" t="s">
        <v>263</v>
      </c>
      <c r="D29" s="10" t="s">
        <v>264</v>
      </c>
      <c r="E29" s="69" t="s">
        <v>265</v>
      </c>
      <c r="F29" s="69" t="s">
        <v>266</v>
      </c>
      <c r="G29" s="69" t="s">
        <v>267</v>
      </c>
      <c r="H29" s="69" t="s">
        <v>268</v>
      </c>
      <c r="I29" s="69" t="s">
        <v>269</v>
      </c>
      <c r="J29" s="8"/>
    </row>
    <row r="30" spans="1:10" ht="94.5" x14ac:dyDescent="0.25">
      <c r="A30" s="8">
        <v>3</v>
      </c>
      <c r="B30" s="229"/>
      <c r="C30" s="9" t="s">
        <v>270</v>
      </c>
      <c r="D30" s="10" t="s">
        <v>271</v>
      </c>
      <c r="E30" s="69" t="s">
        <v>272</v>
      </c>
      <c r="F30" s="69" t="s">
        <v>273</v>
      </c>
      <c r="G30" s="69" t="s">
        <v>274</v>
      </c>
      <c r="H30" s="69" t="s">
        <v>275</v>
      </c>
      <c r="I30" s="69" t="s">
        <v>276</v>
      </c>
      <c r="J30" s="8"/>
    </row>
    <row r="31" spans="1:10" ht="278.25" customHeight="1" x14ac:dyDescent="0.25">
      <c r="A31" s="8">
        <v>4</v>
      </c>
      <c r="B31" s="229"/>
      <c r="C31" s="9" t="s">
        <v>277</v>
      </c>
      <c r="D31" s="10" t="s">
        <v>278</v>
      </c>
      <c r="E31" s="69" t="s">
        <v>279</v>
      </c>
      <c r="F31" s="69" t="s">
        <v>280</v>
      </c>
      <c r="G31" s="69" t="s">
        <v>281</v>
      </c>
      <c r="H31" s="69" t="s">
        <v>282</v>
      </c>
      <c r="I31" s="69" t="s">
        <v>282</v>
      </c>
      <c r="J31" s="8"/>
    </row>
    <row r="32" spans="1:10" ht="173.25" x14ac:dyDescent="0.25">
      <c r="A32" s="8">
        <v>5</v>
      </c>
      <c r="B32" s="230"/>
      <c r="C32" s="9" t="s">
        <v>283</v>
      </c>
      <c r="D32" s="10" t="s">
        <v>284</v>
      </c>
      <c r="E32" s="69" t="s">
        <v>285</v>
      </c>
      <c r="F32" s="69" t="s">
        <v>286</v>
      </c>
      <c r="G32" s="69" t="s">
        <v>287</v>
      </c>
      <c r="H32" s="69" t="s">
        <v>288</v>
      </c>
      <c r="I32" s="69" t="s">
        <v>289</v>
      </c>
      <c r="J32" s="8"/>
    </row>
    <row r="33" spans="1:10" ht="47.25" x14ac:dyDescent="0.25">
      <c r="A33" s="8">
        <v>6</v>
      </c>
      <c r="B33" s="12"/>
      <c r="C33" s="9" t="s">
        <v>290</v>
      </c>
      <c r="D33" s="10" t="s">
        <v>254</v>
      </c>
      <c r="E33" s="69" t="s">
        <v>70</v>
      </c>
      <c r="F33" s="69" t="s">
        <v>71</v>
      </c>
      <c r="G33" s="69" t="s">
        <v>72</v>
      </c>
      <c r="H33" s="69" t="s">
        <v>73</v>
      </c>
      <c r="I33" s="69" t="s">
        <v>74</v>
      </c>
      <c r="J33" s="8"/>
    </row>
    <row r="34" spans="1:10" ht="75" customHeight="1" x14ac:dyDescent="0.25">
      <c r="A34" s="8">
        <v>7</v>
      </c>
      <c r="B34" s="90" t="s">
        <v>255</v>
      </c>
      <c r="C34" s="9" t="s">
        <v>76</v>
      </c>
      <c r="D34" s="10" t="s">
        <v>77</v>
      </c>
      <c r="E34" s="69" t="s">
        <v>78</v>
      </c>
      <c r="F34" s="69" t="s">
        <v>79</v>
      </c>
      <c r="G34" s="69" t="s">
        <v>80</v>
      </c>
      <c r="H34" s="69" t="s">
        <v>81</v>
      </c>
      <c r="I34" s="69" t="s">
        <v>82</v>
      </c>
      <c r="J34" s="8"/>
    </row>
    <row r="35" spans="1:10" x14ac:dyDescent="0.25">
      <c r="A35" s="13"/>
      <c r="B35" s="14"/>
      <c r="C35" s="15"/>
      <c r="D35" s="16" t="s">
        <v>83</v>
      </c>
      <c r="E35" s="17"/>
      <c r="F35" s="17"/>
      <c r="G35" s="17"/>
      <c r="H35" s="17"/>
      <c r="I35" s="17"/>
      <c r="J35" s="127" t="e">
        <f>AVERAGE(J28:J34)</f>
        <v>#DIV/0!</v>
      </c>
    </row>
    <row r="36" spans="1:10" x14ac:dyDescent="0.25">
      <c r="A36" s="18"/>
      <c r="B36" s="19"/>
      <c r="C36" s="20"/>
      <c r="D36" s="16" t="s">
        <v>16</v>
      </c>
      <c r="E36" s="73" t="e">
        <f>70%*J35</f>
        <v>#DIV/0!</v>
      </c>
      <c r="F36" s="74"/>
      <c r="G36" s="23"/>
      <c r="H36" s="23"/>
      <c r="I36" s="23"/>
      <c r="J36" s="24"/>
    </row>
    <row r="37" spans="1:10" ht="30.75" customHeight="1" x14ac:dyDescent="0.25">
      <c r="A37" s="176" t="s">
        <v>11</v>
      </c>
      <c r="B37" s="176" t="s">
        <v>12</v>
      </c>
      <c r="C37" s="176" t="s">
        <v>13</v>
      </c>
      <c r="D37" s="176" t="s">
        <v>14</v>
      </c>
      <c r="E37" s="222" t="s">
        <v>15</v>
      </c>
      <c r="F37" s="222"/>
      <c r="G37" s="222"/>
      <c r="H37" s="222"/>
      <c r="I37" s="222"/>
      <c r="J37" s="186" t="s">
        <v>16</v>
      </c>
    </row>
    <row r="38" spans="1:10" x14ac:dyDescent="0.25">
      <c r="A38" s="176"/>
      <c r="B38" s="176"/>
      <c r="C38" s="176"/>
      <c r="D38" s="176"/>
      <c r="E38" s="146">
        <v>1</v>
      </c>
      <c r="F38" s="146">
        <v>2</v>
      </c>
      <c r="G38" s="146">
        <v>3</v>
      </c>
      <c r="H38" s="146">
        <v>4</v>
      </c>
      <c r="I38" s="146">
        <v>5</v>
      </c>
      <c r="J38" s="187"/>
    </row>
    <row r="39" spans="1:10" ht="47.25" x14ac:dyDescent="0.25">
      <c r="A39" s="8">
        <v>1</v>
      </c>
      <c r="B39" s="179" t="s">
        <v>84</v>
      </c>
      <c r="C39" s="26" t="s">
        <v>85</v>
      </c>
      <c r="D39" s="27" t="s">
        <v>86</v>
      </c>
      <c r="E39" s="106" t="s">
        <v>87</v>
      </c>
      <c r="F39" s="106" t="s">
        <v>88</v>
      </c>
      <c r="G39" s="106" t="s">
        <v>89</v>
      </c>
      <c r="H39" s="106" t="s">
        <v>90</v>
      </c>
      <c r="I39" s="106" t="s">
        <v>91</v>
      </c>
      <c r="J39" s="8"/>
    </row>
    <row r="40" spans="1:10" ht="63" x14ac:dyDescent="0.25">
      <c r="A40" s="8">
        <v>2</v>
      </c>
      <c r="B40" s="179"/>
      <c r="C40" s="26" t="s">
        <v>92</v>
      </c>
      <c r="D40" s="27" t="s">
        <v>93</v>
      </c>
      <c r="E40" s="106" t="s">
        <v>87</v>
      </c>
      <c r="F40" s="106" t="s">
        <v>88</v>
      </c>
      <c r="G40" s="106" t="s">
        <v>89</v>
      </c>
      <c r="H40" s="106" t="s">
        <v>90</v>
      </c>
      <c r="I40" s="106" t="s">
        <v>91</v>
      </c>
      <c r="J40" s="8"/>
    </row>
    <row r="41" spans="1:10" ht="63" x14ac:dyDescent="0.25">
      <c r="A41" s="8">
        <v>3</v>
      </c>
      <c r="B41" s="180" t="s">
        <v>94</v>
      </c>
      <c r="C41" s="26" t="s">
        <v>95</v>
      </c>
      <c r="D41" s="27" t="s">
        <v>96</v>
      </c>
      <c r="E41" s="106" t="s">
        <v>87</v>
      </c>
      <c r="F41" s="106" t="s">
        <v>88</v>
      </c>
      <c r="G41" s="106" t="s">
        <v>89</v>
      </c>
      <c r="H41" s="106" t="s">
        <v>90</v>
      </c>
      <c r="I41" s="106" t="s">
        <v>91</v>
      </c>
      <c r="J41" s="8"/>
    </row>
    <row r="42" spans="1:10" ht="63" x14ac:dyDescent="0.25">
      <c r="A42" s="8">
        <v>4</v>
      </c>
      <c r="B42" s="181"/>
      <c r="C42" s="26" t="s">
        <v>97</v>
      </c>
      <c r="D42" s="27" t="s">
        <v>98</v>
      </c>
      <c r="E42" s="106" t="s">
        <v>87</v>
      </c>
      <c r="F42" s="106" t="s">
        <v>88</v>
      </c>
      <c r="G42" s="106" t="s">
        <v>89</v>
      </c>
      <c r="H42" s="106" t="s">
        <v>90</v>
      </c>
      <c r="I42" s="106" t="s">
        <v>91</v>
      </c>
      <c r="J42" s="8"/>
    </row>
    <row r="43" spans="1:10" ht="94.5" x14ac:dyDescent="0.25">
      <c r="A43" s="8">
        <v>5</v>
      </c>
      <c r="B43" s="181"/>
      <c r="C43" s="26" t="s">
        <v>99</v>
      </c>
      <c r="D43" s="27" t="s">
        <v>100</v>
      </c>
      <c r="E43" s="106" t="s">
        <v>87</v>
      </c>
      <c r="F43" s="106" t="s">
        <v>88</v>
      </c>
      <c r="G43" s="106" t="s">
        <v>89</v>
      </c>
      <c r="H43" s="106" t="s">
        <v>90</v>
      </c>
      <c r="I43" s="106" t="s">
        <v>91</v>
      </c>
      <c r="J43" s="8"/>
    </row>
    <row r="44" spans="1:10" ht="78.75" x14ac:dyDescent="0.25">
      <c r="A44" s="8">
        <v>6</v>
      </c>
      <c r="B44" s="181"/>
      <c r="C44" s="26" t="s">
        <v>101</v>
      </c>
      <c r="D44" s="27" t="s">
        <v>102</v>
      </c>
      <c r="E44" s="106" t="s">
        <v>87</v>
      </c>
      <c r="F44" s="106" t="s">
        <v>88</v>
      </c>
      <c r="G44" s="106" t="s">
        <v>89</v>
      </c>
      <c r="H44" s="106" t="s">
        <v>90</v>
      </c>
      <c r="I44" s="106" t="s">
        <v>91</v>
      </c>
      <c r="J44" s="8"/>
    </row>
    <row r="45" spans="1:10" ht="31.5" x14ac:dyDescent="0.25">
      <c r="A45" s="8">
        <v>7</v>
      </c>
      <c r="B45" s="181"/>
      <c r="C45" s="26" t="s">
        <v>103</v>
      </c>
      <c r="D45" s="27" t="s">
        <v>104</v>
      </c>
      <c r="E45" s="106" t="s">
        <v>87</v>
      </c>
      <c r="F45" s="106" t="s">
        <v>88</v>
      </c>
      <c r="G45" s="106" t="s">
        <v>89</v>
      </c>
      <c r="H45" s="106" t="s">
        <v>90</v>
      </c>
      <c r="I45" s="106" t="s">
        <v>91</v>
      </c>
      <c r="J45" s="8"/>
    </row>
    <row r="46" spans="1:10" ht="63" x14ac:dyDescent="0.25">
      <c r="A46" s="8">
        <v>8</v>
      </c>
      <c r="B46" s="181"/>
      <c r="C46" s="26" t="s">
        <v>105</v>
      </c>
      <c r="D46" s="27" t="s">
        <v>106</v>
      </c>
      <c r="E46" s="106" t="s">
        <v>87</v>
      </c>
      <c r="F46" s="106" t="s">
        <v>88</v>
      </c>
      <c r="G46" s="106" t="s">
        <v>89</v>
      </c>
      <c r="H46" s="106" t="s">
        <v>90</v>
      </c>
      <c r="I46" s="106" t="s">
        <v>91</v>
      </c>
      <c r="J46" s="8"/>
    </row>
    <row r="47" spans="1:10" ht="63" x14ac:dyDescent="0.25">
      <c r="A47" s="8">
        <v>9</v>
      </c>
      <c r="B47" s="181"/>
      <c r="C47" s="26" t="s">
        <v>107</v>
      </c>
      <c r="D47" s="27" t="s">
        <v>108</v>
      </c>
      <c r="E47" s="106" t="s">
        <v>87</v>
      </c>
      <c r="F47" s="106" t="s">
        <v>88</v>
      </c>
      <c r="G47" s="106" t="s">
        <v>89</v>
      </c>
      <c r="H47" s="106" t="s">
        <v>90</v>
      </c>
      <c r="I47" s="106" t="s">
        <v>91</v>
      </c>
      <c r="J47" s="8"/>
    </row>
    <row r="48" spans="1:10" ht="78.75" x14ac:dyDescent="0.25">
      <c r="A48" s="8">
        <v>10</v>
      </c>
      <c r="B48" s="182"/>
      <c r="C48" s="26" t="s">
        <v>109</v>
      </c>
      <c r="D48" s="27" t="s">
        <v>110</v>
      </c>
      <c r="E48" s="106" t="s">
        <v>87</v>
      </c>
      <c r="F48" s="106" t="s">
        <v>88</v>
      </c>
      <c r="G48" s="106" t="s">
        <v>89</v>
      </c>
      <c r="H48" s="106" t="s">
        <v>90</v>
      </c>
      <c r="I48" s="106" t="s">
        <v>91</v>
      </c>
      <c r="J48" s="8"/>
    </row>
    <row r="49" spans="1:10" ht="63" x14ac:dyDescent="0.25">
      <c r="A49" s="8">
        <v>11</v>
      </c>
      <c r="B49" s="28" t="s">
        <v>111</v>
      </c>
      <c r="C49" s="26" t="s">
        <v>112</v>
      </c>
      <c r="D49" s="27" t="s">
        <v>113</v>
      </c>
      <c r="E49" s="106" t="s">
        <v>87</v>
      </c>
      <c r="F49" s="106" t="s">
        <v>88</v>
      </c>
      <c r="G49" s="106" t="s">
        <v>89</v>
      </c>
      <c r="H49" s="106" t="s">
        <v>90</v>
      </c>
      <c r="I49" s="106" t="s">
        <v>91</v>
      </c>
      <c r="J49" s="8"/>
    </row>
    <row r="50" spans="1:10" ht="63" x14ac:dyDescent="0.25">
      <c r="A50" s="8">
        <v>12</v>
      </c>
      <c r="B50" s="179" t="s">
        <v>114</v>
      </c>
      <c r="C50" s="26" t="s">
        <v>115</v>
      </c>
      <c r="D50" s="27" t="s">
        <v>116</v>
      </c>
      <c r="E50" s="106" t="s">
        <v>87</v>
      </c>
      <c r="F50" s="106" t="s">
        <v>88</v>
      </c>
      <c r="G50" s="106" t="s">
        <v>89</v>
      </c>
      <c r="H50" s="106" t="s">
        <v>90</v>
      </c>
      <c r="I50" s="106" t="s">
        <v>91</v>
      </c>
      <c r="J50" s="8"/>
    </row>
    <row r="51" spans="1:10" ht="63" x14ac:dyDescent="0.25">
      <c r="A51" s="8">
        <v>13</v>
      </c>
      <c r="B51" s="179"/>
      <c r="C51" s="26" t="s">
        <v>117</v>
      </c>
      <c r="D51" s="29" t="s">
        <v>118</v>
      </c>
      <c r="E51" s="106" t="s">
        <v>87</v>
      </c>
      <c r="F51" s="106" t="s">
        <v>88</v>
      </c>
      <c r="G51" s="106" t="s">
        <v>89</v>
      </c>
      <c r="H51" s="106" t="s">
        <v>90</v>
      </c>
      <c r="I51" s="106" t="s">
        <v>91</v>
      </c>
      <c r="J51" s="8"/>
    </row>
    <row r="52" spans="1:10" x14ac:dyDescent="0.25">
      <c r="A52" s="13"/>
      <c r="B52" s="14"/>
      <c r="C52" s="15"/>
      <c r="D52" s="16" t="s">
        <v>83</v>
      </c>
      <c r="E52" s="105"/>
      <c r="F52" s="105"/>
      <c r="G52" s="105"/>
      <c r="H52" s="105"/>
      <c r="I52" s="105"/>
      <c r="J52" s="8" t="e">
        <f>AVERAGE(J39:J51)</f>
        <v>#DIV/0!</v>
      </c>
    </row>
    <row r="53" spans="1:10" x14ac:dyDescent="0.25">
      <c r="A53" s="18"/>
      <c r="B53" s="19"/>
      <c r="C53" s="20"/>
      <c r="D53" s="16" t="s">
        <v>16</v>
      </c>
      <c r="E53" s="21" t="e">
        <f>20%*J52</f>
        <v>#DIV/0!</v>
      </c>
      <c r="F53" s="22"/>
      <c r="G53" s="23"/>
      <c r="H53" s="23"/>
      <c r="I53" s="23"/>
      <c r="J53" s="24"/>
    </row>
    <row r="54" spans="1:10" x14ac:dyDescent="0.25">
      <c r="A54" s="162" t="s">
        <v>11</v>
      </c>
      <c r="B54" s="162" t="s">
        <v>12</v>
      </c>
      <c r="C54" s="162" t="s">
        <v>13</v>
      </c>
      <c r="D54" s="162" t="s">
        <v>14</v>
      </c>
      <c r="E54" s="222" t="s">
        <v>15</v>
      </c>
      <c r="F54" s="222"/>
      <c r="G54" s="222"/>
      <c r="H54" s="222"/>
      <c r="I54" s="222"/>
      <c r="J54" s="162" t="s">
        <v>16</v>
      </c>
    </row>
    <row r="55" spans="1:10" x14ac:dyDescent="0.25">
      <c r="A55" s="162"/>
      <c r="B55" s="162"/>
      <c r="C55" s="162"/>
      <c r="D55" s="162"/>
      <c r="E55" s="147">
        <v>1</v>
      </c>
      <c r="F55" s="147">
        <v>2</v>
      </c>
      <c r="G55" s="147">
        <v>3</v>
      </c>
      <c r="H55" s="147">
        <v>4</v>
      </c>
      <c r="I55" s="147">
        <v>5</v>
      </c>
      <c r="J55" s="162"/>
    </row>
    <row r="56" spans="1:10" s="3" customFormat="1" ht="45.75" customHeight="1" x14ac:dyDescent="0.25">
      <c r="A56" s="8">
        <v>1</v>
      </c>
      <c r="B56" s="32" t="s">
        <v>119</v>
      </c>
      <c r="C56" s="33" t="s">
        <v>120</v>
      </c>
      <c r="D56" s="34" t="s">
        <v>121</v>
      </c>
      <c r="E56" s="136" t="s">
        <v>122</v>
      </c>
      <c r="F56" s="136" t="s">
        <v>123</v>
      </c>
      <c r="G56" s="136" t="s">
        <v>124</v>
      </c>
      <c r="H56" s="136" t="s">
        <v>125</v>
      </c>
      <c r="I56" s="136" t="s">
        <v>126</v>
      </c>
      <c r="J56" s="8"/>
    </row>
    <row r="57" spans="1:10" x14ac:dyDescent="0.25">
      <c r="A57" s="13"/>
      <c r="B57" s="14"/>
      <c r="C57" s="15"/>
      <c r="D57" s="16" t="s">
        <v>83</v>
      </c>
      <c r="E57" s="35"/>
      <c r="F57" s="35"/>
      <c r="G57" s="35"/>
      <c r="H57" s="35"/>
      <c r="I57" s="35"/>
      <c r="J57" s="36" t="e">
        <f>AVERAGE(J56:J56)</f>
        <v>#DIV/0!</v>
      </c>
    </row>
    <row r="58" spans="1:10" x14ac:dyDescent="0.25">
      <c r="A58" s="37"/>
      <c r="B58" s="38"/>
      <c r="C58" s="39"/>
      <c r="D58" s="16" t="s">
        <v>16</v>
      </c>
      <c r="E58" s="40" t="e">
        <f>10%*J57</f>
        <v>#DIV/0!</v>
      </c>
      <c r="F58" s="22"/>
      <c r="G58" s="23"/>
      <c r="H58" s="23"/>
      <c r="I58" s="23"/>
      <c r="J58" s="24"/>
    </row>
    <row r="59" spans="1:10" x14ac:dyDescent="0.25">
      <c r="B59" s="41"/>
      <c r="C59" s="42"/>
      <c r="D59" s="43" t="s">
        <v>127</v>
      </c>
      <c r="E59" s="75" t="e">
        <f>E36+E53+E58</f>
        <v>#DIV/0!</v>
      </c>
    </row>
    <row r="60" spans="1:10" x14ac:dyDescent="0.25">
      <c r="B60" s="45"/>
      <c r="C60" s="42"/>
      <c r="D60" s="43" t="s">
        <v>128</v>
      </c>
      <c r="E60" s="33"/>
    </row>
    <row r="61" spans="1:10" x14ac:dyDescent="0.25">
      <c r="A61" s="46"/>
      <c r="B61" s="38"/>
      <c r="C61" s="46"/>
      <c r="D61" s="46"/>
    </row>
    <row r="62" spans="1:10" x14ac:dyDescent="0.25">
      <c r="A62" s="46"/>
      <c r="B62" s="47" t="s">
        <v>129</v>
      </c>
      <c r="C62" s="46"/>
      <c r="D62" s="46"/>
    </row>
    <row r="63" spans="1:10" x14ac:dyDescent="0.25">
      <c r="B63" s="48" t="s">
        <v>83</v>
      </c>
      <c r="C63" s="48" t="s">
        <v>13</v>
      </c>
      <c r="D63" s="48" t="s">
        <v>130</v>
      </c>
    </row>
    <row r="64" spans="1:10" x14ac:dyDescent="0.25">
      <c r="B64" s="35" t="s">
        <v>131</v>
      </c>
      <c r="C64" s="35" t="s">
        <v>132</v>
      </c>
      <c r="D64" s="35" t="s">
        <v>133</v>
      </c>
    </row>
    <row r="65" spans="1:10" x14ac:dyDescent="0.25">
      <c r="B65" s="35" t="s">
        <v>134</v>
      </c>
      <c r="C65" s="35" t="s">
        <v>135</v>
      </c>
      <c r="D65" s="35" t="s">
        <v>136</v>
      </c>
    </row>
    <row r="66" spans="1:10" x14ac:dyDescent="0.25">
      <c r="B66" s="35" t="s">
        <v>137</v>
      </c>
      <c r="C66" s="35" t="s">
        <v>138</v>
      </c>
      <c r="D66" s="35" t="s">
        <v>139</v>
      </c>
    </row>
    <row r="67" spans="1:10" s="128" customFormat="1" x14ac:dyDescent="0.25">
      <c r="A67" s="2"/>
      <c r="B67" s="35" t="s">
        <v>140</v>
      </c>
      <c r="C67" s="35" t="s">
        <v>141</v>
      </c>
      <c r="D67" s="35" t="s">
        <v>142</v>
      </c>
      <c r="E67" s="2"/>
      <c r="F67" s="2"/>
      <c r="G67" s="2"/>
      <c r="H67" s="2"/>
      <c r="I67" s="2"/>
      <c r="J67" s="1"/>
    </row>
    <row r="68" spans="1:10" s="128" customFormat="1" x14ac:dyDescent="0.25">
      <c r="A68" s="2"/>
      <c r="B68" s="35" t="s">
        <v>143</v>
      </c>
      <c r="C68" s="35" t="s">
        <v>144</v>
      </c>
      <c r="D68" s="35" t="s">
        <v>145</v>
      </c>
      <c r="E68" s="2"/>
      <c r="F68" s="2"/>
      <c r="G68" s="2"/>
      <c r="H68" s="2"/>
      <c r="I68" s="2"/>
      <c r="J68" s="1"/>
    </row>
    <row r="69" spans="1:10" s="128" customFormat="1" x14ac:dyDescent="0.25">
      <c r="A69" s="2"/>
      <c r="B69" s="35" t="s">
        <v>146</v>
      </c>
      <c r="C69" s="35" t="s">
        <v>147</v>
      </c>
      <c r="D69" s="35" t="s">
        <v>148</v>
      </c>
      <c r="E69" s="2"/>
      <c r="F69" s="2"/>
      <c r="G69" s="2"/>
      <c r="H69" s="2"/>
      <c r="I69" s="2"/>
      <c r="J69" s="1"/>
    </row>
    <row r="70" spans="1:10" s="128" customFormat="1" x14ac:dyDescent="0.25">
      <c r="A70" s="2"/>
      <c r="B70" s="35" t="s">
        <v>149</v>
      </c>
      <c r="C70" s="35" t="s">
        <v>150</v>
      </c>
      <c r="D70" s="35" t="s">
        <v>151</v>
      </c>
      <c r="E70" s="2"/>
      <c r="F70" s="2"/>
      <c r="G70" s="2"/>
      <c r="H70" s="2"/>
      <c r="I70" s="2"/>
      <c r="J70" s="1"/>
    </row>
    <row r="71" spans="1:10" s="128" customFormat="1" x14ac:dyDescent="0.25">
      <c r="A71" s="2"/>
      <c r="B71" s="58"/>
      <c r="C71" s="58"/>
      <c r="D71" s="58"/>
      <c r="E71" s="2"/>
      <c r="F71" s="2"/>
      <c r="G71" s="2"/>
      <c r="H71" s="2"/>
      <c r="I71" s="2"/>
      <c r="J71" s="1"/>
    </row>
    <row r="72" spans="1:10" s="128" customFormat="1" x14ac:dyDescent="0.25">
      <c r="A72" s="46"/>
      <c r="B72" s="46"/>
      <c r="C72" s="46"/>
      <c r="D72" s="46"/>
      <c r="E72" s="2"/>
      <c r="F72" s="2"/>
      <c r="G72" s="2"/>
      <c r="H72" s="2"/>
      <c r="I72" s="2"/>
      <c r="J72" s="1"/>
    </row>
    <row r="73" spans="1:10" s="128" customFormat="1" ht="30" customHeight="1" x14ac:dyDescent="0.25">
      <c r="A73" s="231" t="s">
        <v>152</v>
      </c>
      <c r="B73" s="232"/>
      <c r="C73" s="232"/>
      <c r="D73" s="232"/>
      <c r="E73" s="232"/>
      <c r="F73" s="232"/>
      <c r="G73" s="233"/>
      <c r="H73" s="2"/>
      <c r="I73" s="2"/>
      <c r="J73" s="1"/>
    </row>
    <row r="74" spans="1:10" s="128" customFormat="1" x14ac:dyDescent="0.25">
      <c r="A74" s="168"/>
      <c r="B74" s="168"/>
      <c r="C74" s="168"/>
      <c r="D74" s="168"/>
      <c r="E74" s="168"/>
      <c r="F74" s="168"/>
      <c r="G74" s="168"/>
      <c r="H74" s="2"/>
      <c r="I74" s="2"/>
      <c r="J74" s="1"/>
    </row>
    <row r="75" spans="1:10" s="128" customFormat="1" x14ac:dyDescent="0.25">
      <c r="A75" s="168"/>
      <c r="B75" s="168"/>
      <c r="C75" s="168"/>
      <c r="D75" s="168"/>
      <c r="E75" s="168"/>
      <c r="F75" s="168"/>
      <c r="G75" s="168"/>
      <c r="H75" s="2"/>
      <c r="I75" s="2"/>
      <c r="J75" s="1"/>
    </row>
    <row r="76" spans="1:10" s="128" customFormat="1" x14ac:dyDescent="0.25">
      <c r="A76" s="168"/>
      <c r="B76" s="168"/>
      <c r="C76" s="168"/>
      <c r="D76" s="168"/>
      <c r="E76" s="168"/>
      <c r="F76" s="168"/>
      <c r="G76" s="168"/>
      <c r="H76" s="2"/>
      <c r="I76" s="2"/>
      <c r="J76" s="1"/>
    </row>
    <row r="77" spans="1:10" s="128" customFormat="1" x14ac:dyDescent="0.25">
      <c r="A77" s="168"/>
      <c r="B77" s="168"/>
      <c r="C77" s="168"/>
      <c r="D77" s="168"/>
      <c r="E77" s="168"/>
      <c r="F77" s="168"/>
      <c r="G77" s="168"/>
      <c r="H77" s="2"/>
      <c r="I77" s="2"/>
      <c r="J77" s="1"/>
    </row>
    <row r="78" spans="1:10" s="128" customFormat="1" x14ac:dyDescent="0.25">
      <c r="A78" s="168"/>
      <c r="B78" s="168"/>
      <c r="C78" s="168"/>
      <c r="D78" s="168"/>
      <c r="E78" s="168"/>
      <c r="F78" s="168"/>
      <c r="G78" s="168"/>
      <c r="H78" s="2"/>
      <c r="I78" s="2"/>
      <c r="J78" s="1"/>
    </row>
    <row r="79" spans="1:10" s="128" customFormat="1" x14ac:dyDescent="0.25">
      <c r="A79" s="168"/>
      <c r="B79" s="168"/>
      <c r="C79" s="168"/>
      <c r="D79" s="168"/>
      <c r="E79" s="168"/>
      <c r="F79" s="168"/>
      <c r="G79" s="168"/>
      <c r="H79" s="2"/>
      <c r="I79" s="2"/>
      <c r="J79" s="1"/>
    </row>
    <row r="80" spans="1:10" s="128" customFormat="1" ht="15" customHeight="1" x14ac:dyDescent="0.25">
      <c r="A80" s="129"/>
      <c r="B80" s="56"/>
      <c r="C80" s="56"/>
      <c r="D80" s="56"/>
      <c r="E80" s="56"/>
      <c r="F80" s="56"/>
      <c r="G80" s="130"/>
      <c r="H80" s="2"/>
      <c r="I80" s="2"/>
      <c r="J80" s="1"/>
    </row>
    <row r="81" spans="1:10" s="128" customFormat="1" ht="15.75" customHeight="1" thickBot="1" x14ac:dyDescent="0.3">
      <c r="A81" s="131"/>
      <c r="B81" s="132"/>
      <c r="C81" s="132"/>
      <c r="D81" s="132"/>
      <c r="E81" s="132"/>
      <c r="F81" s="132"/>
      <c r="G81" s="133"/>
      <c r="H81" s="2"/>
      <c r="I81" s="2"/>
      <c r="J81" s="1"/>
    </row>
    <row r="82" spans="1:10" x14ac:dyDescent="0.25">
      <c r="A82" s="235" t="s">
        <v>153</v>
      </c>
      <c r="B82" s="236"/>
      <c r="C82" s="236"/>
      <c r="D82" s="236"/>
      <c r="E82" s="236"/>
      <c r="F82" s="236"/>
      <c r="G82" s="237"/>
    </row>
    <row r="83" spans="1:10" x14ac:dyDescent="0.25">
      <c r="A83" s="51" t="s">
        <v>11</v>
      </c>
      <c r="B83" s="234" t="s">
        <v>154</v>
      </c>
      <c r="C83" s="234"/>
      <c r="D83" s="234"/>
      <c r="E83" s="52" t="s">
        <v>155</v>
      </c>
      <c r="F83" s="52" t="s">
        <v>156</v>
      </c>
      <c r="G83" s="52" t="s">
        <v>157</v>
      </c>
    </row>
    <row r="84" spans="1:10" ht="25.5" customHeight="1" x14ac:dyDescent="0.25">
      <c r="A84" s="53"/>
      <c r="B84" s="175"/>
      <c r="C84" s="175"/>
      <c r="D84" s="175"/>
      <c r="E84" s="54"/>
      <c r="F84" s="54"/>
      <c r="G84" s="54"/>
    </row>
    <row r="85" spans="1:10" ht="25.5" customHeight="1" x14ac:dyDescent="0.25">
      <c r="A85" s="35"/>
      <c r="B85" s="166"/>
      <c r="C85" s="166"/>
      <c r="D85" s="166"/>
      <c r="E85" s="55"/>
      <c r="F85" s="55"/>
      <c r="G85" s="55"/>
    </row>
    <row r="86" spans="1:10" ht="25.5" customHeight="1" x14ac:dyDescent="0.25">
      <c r="A86" s="53"/>
      <c r="B86" s="175"/>
      <c r="C86" s="175"/>
      <c r="D86" s="175"/>
      <c r="E86" s="54"/>
      <c r="F86" s="54"/>
      <c r="G86" s="54"/>
    </row>
    <row r="87" spans="1:10" ht="25.5" customHeight="1" x14ac:dyDescent="0.25">
      <c r="A87" s="35"/>
      <c r="B87" s="166"/>
      <c r="C87" s="166"/>
      <c r="D87" s="166"/>
      <c r="E87" s="55"/>
      <c r="F87" s="55"/>
      <c r="G87" s="55"/>
    </row>
    <row r="88" spans="1:10" ht="25.5" customHeight="1" x14ac:dyDescent="0.25">
      <c r="A88" s="53"/>
      <c r="B88" s="175"/>
      <c r="C88" s="175"/>
      <c r="D88" s="175"/>
      <c r="E88" s="54"/>
      <c r="F88" s="54"/>
      <c r="G88" s="54"/>
    </row>
    <row r="89" spans="1:10" x14ac:dyDescent="0.25">
      <c r="A89" s="56"/>
      <c r="B89" s="57"/>
      <c r="C89" s="57"/>
      <c r="D89" s="57"/>
      <c r="E89" s="57"/>
      <c r="F89" s="57"/>
      <c r="G89" s="57"/>
    </row>
    <row r="90" spans="1:10" x14ac:dyDescent="0.25">
      <c r="A90" s="58" t="s">
        <v>158</v>
      </c>
      <c r="B90" s="57"/>
      <c r="C90" s="57"/>
      <c r="D90" s="57"/>
      <c r="E90" s="57"/>
      <c r="F90" s="57"/>
      <c r="G90" s="57"/>
    </row>
    <row r="91" spans="1:10" ht="24" customHeight="1" x14ac:dyDescent="0.25">
      <c r="A91" s="59" t="s">
        <v>159</v>
      </c>
      <c r="B91" s="60"/>
      <c r="C91" s="57"/>
      <c r="D91" s="57"/>
      <c r="E91" s="57"/>
      <c r="F91" s="57"/>
      <c r="G91" s="57"/>
    </row>
    <row r="92" spans="1:10" ht="21.75" customHeight="1" x14ac:dyDescent="0.25">
      <c r="A92" s="61" t="s">
        <v>160</v>
      </c>
      <c r="B92" s="47"/>
      <c r="C92" s="57"/>
      <c r="D92" s="57"/>
      <c r="E92" s="57"/>
      <c r="F92" s="57"/>
      <c r="G92" s="57"/>
    </row>
    <row r="93" spans="1:10" x14ac:dyDescent="0.25">
      <c r="A93" s="56"/>
      <c r="B93" s="57"/>
      <c r="C93" s="57"/>
      <c r="D93" s="57"/>
      <c r="E93" s="57"/>
      <c r="F93" s="57"/>
      <c r="G93" s="57"/>
    </row>
    <row r="94" spans="1:10" x14ac:dyDescent="0.25">
      <c r="A94" s="3" t="s">
        <v>161</v>
      </c>
    </row>
    <row r="95" spans="1:10" x14ac:dyDescent="0.25">
      <c r="A95" s="61" t="s">
        <v>162</v>
      </c>
      <c r="B95" s="62"/>
    </row>
    <row r="96" spans="1:10" x14ac:dyDescent="0.25">
      <c r="A96" s="61" t="s">
        <v>163</v>
      </c>
      <c r="B96" s="62"/>
    </row>
    <row r="97" spans="1:7" x14ac:dyDescent="0.25">
      <c r="A97" s="61" t="s">
        <v>164</v>
      </c>
    </row>
    <row r="98" spans="1:7" x14ac:dyDescent="0.25">
      <c r="A98" s="61" t="s">
        <v>165</v>
      </c>
    </row>
    <row r="99" spans="1:7" x14ac:dyDescent="0.25">
      <c r="A99" s="61"/>
    </row>
    <row r="100" spans="1:7" x14ac:dyDescent="0.25">
      <c r="A100" s="3" t="s">
        <v>166</v>
      </c>
    </row>
    <row r="101" spans="1:7" ht="15.75" customHeight="1" x14ac:dyDescent="0.25">
      <c r="A101" s="177"/>
      <c r="B101" s="177"/>
      <c r="C101" s="177"/>
      <c r="D101" s="177"/>
      <c r="E101" s="177"/>
      <c r="F101" s="177"/>
      <c r="G101" s="177"/>
    </row>
    <row r="102" spans="1:7" x14ac:dyDescent="0.25">
      <c r="A102" s="177"/>
      <c r="B102" s="177"/>
      <c r="C102" s="177"/>
      <c r="D102" s="177"/>
      <c r="E102" s="177"/>
      <c r="F102" s="177"/>
      <c r="G102" s="177"/>
    </row>
    <row r="103" spans="1:7" x14ac:dyDescent="0.25">
      <c r="A103" s="177"/>
      <c r="B103" s="177"/>
      <c r="C103" s="177"/>
      <c r="D103" s="177"/>
      <c r="E103" s="177"/>
      <c r="F103" s="177"/>
      <c r="G103" s="177"/>
    </row>
    <row r="104" spans="1:7" x14ac:dyDescent="0.25">
      <c r="A104" s="177"/>
      <c r="B104" s="177"/>
      <c r="C104" s="177"/>
      <c r="D104" s="177"/>
      <c r="E104" s="177"/>
      <c r="F104" s="177"/>
      <c r="G104" s="177"/>
    </row>
    <row r="105" spans="1:7" x14ac:dyDescent="0.25">
      <c r="A105" s="177"/>
      <c r="B105" s="177"/>
      <c r="C105" s="177"/>
      <c r="D105" s="177"/>
      <c r="E105" s="177"/>
      <c r="F105" s="177"/>
      <c r="G105" s="177"/>
    </row>
    <row r="106" spans="1:7" x14ac:dyDescent="0.25">
      <c r="A106" s="5"/>
      <c r="B106" s="5"/>
      <c r="C106" s="5"/>
      <c r="D106" s="5"/>
      <c r="E106" s="5"/>
      <c r="F106" s="5"/>
      <c r="G106" s="5"/>
    </row>
    <row r="107" spans="1:7" x14ac:dyDescent="0.25">
      <c r="A107" s="5" t="s">
        <v>167</v>
      </c>
      <c r="B107" s="5"/>
      <c r="C107" s="5"/>
      <c r="D107" s="5"/>
      <c r="E107" s="5"/>
      <c r="F107" s="5"/>
      <c r="G107" s="5"/>
    </row>
    <row r="108" spans="1:7" x14ac:dyDescent="0.25">
      <c r="A108" s="188" t="s">
        <v>229</v>
      </c>
      <c r="B108" s="188"/>
      <c r="C108" s="188"/>
      <c r="D108" s="188"/>
      <c r="E108" s="188"/>
      <c r="F108" s="188"/>
      <c r="G108" s="188"/>
    </row>
    <row r="110" spans="1:7" x14ac:dyDescent="0.25">
      <c r="A110" s="3" t="s">
        <v>169</v>
      </c>
      <c r="B110" s="63">
        <f ca="1">TODAY()</f>
        <v>45156</v>
      </c>
    </row>
    <row r="111" spans="1:7" x14ac:dyDescent="0.25">
      <c r="A111" s="3" t="s">
        <v>170</v>
      </c>
    </row>
    <row r="112" spans="1:7" x14ac:dyDescent="0.25">
      <c r="A112" s="3"/>
    </row>
    <row r="113" spans="1:6" x14ac:dyDescent="0.25">
      <c r="A113" s="3"/>
    </row>
    <row r="114" spans="1:6" x14ac:dyDescent="0.25">
      <c r="A114" s="3"/>
    </row>
    <row r="115" spans="1:6" x14ac:dyDescent="0.25">
      <c r="A115" s="3"/>
    </row>
    <row r="116" spans="1:6" x14ac:dyDescent="0.25">
      <c r="A116" s="150" t="s">
        <v>296</v>
      </c>
    </row>
    <row r="117" spans="1:6" x14ac:dyDescent="0.25">
      <c r="A117" s="150" t="s">
        <v>297</v>
      </c>
    </row>
    <row r="118" spans="1:6" x14ac:dyDescent="0.25">
      <c r="A118" s="3"/>
    </row>
    <row r="119" spans="1:6" x14ac:dyDescent="0.25">
      <c r="A119" s="3"/>
    </row>
    <row r="120" spans="1:6" x14ac:dyDescent="0.25">
      <c r="A120" s="3" t="s">
        <v>171</v>
      </c>
      <c r="D120" s="3"/>
      <c r="F120" s="3" t="s">
        <v>172</v>
      </c>
    </row>
    <row r="121" spans="1:6" x14ac:dyDescent="0.25">
      <c r="A121" s="3"/>
    </row>
    <row r="122" spans="1:6" x14ac:dyDescent="0.25">
      <c r="A122" s="3"/>
    </row>
    <row r="123" spans="1:6" x14ac:dyDescent="0.25">
      <c r="A123" s="3"/>
    </row>
    <row r="124" spans="1:6" x14ac:dyDescent="0.25">
      <c r="A124" s="3"/>
    </row>
    <row r="125" spans="1:6" x14ac:dyDescent="0.25">
      <c r="A125" s="150" t="s">
        <v>296</v>
      </c>
      <c r="B125" s="3"/>
      <c r="F125" s="3" t="s">
        <v>173</v>
      </c>
    </row>
    <row r="126" spans="1:6" x14ac:dyDescent="0.25">
      <c r="A126" s="150" t="s">
        <v>297</v>
      </c>
      <c r="D126" s="3"/>
      <c r="F126" s="3" t="s">
        <v>174</v>
      </c>
    </row>
  </sheetData>
  <mergeCells count="35">
    <mergeCell ref="J54:J55"/>
    <mergeCell ref="A73:G73"/>
    <mergeCell ref="A74:G79"/>
    <mergeCell ref="A101:G105"/>
    <mergeCell ref="A108:G108"/>
    <mergeCell ref="B83:D83"/>
    <mergeCell ref="B84:D84"/>
    <mergeCell ref="B85:D85"/>
    <mergeCell ref="B86:D86"/>
    <mergeCell ref="B87:D87"/>
    <mergeCell ref="B88:D88"/>
    <mergeCell ref="A82:G82"/>
    <mergeCell ref="C54:C55"/>
    <mergeCell ref="D54:D55"/>
    <mergeCell ref="E54:I54"/>
    <mergeCell ref="B39:B40"/>
    <mergeCell ref="B41:B48"/>
    <mergeCell ref="B50:B51"/>
    <mergeCell ref="A54:A55"/>
    <mergeCell ref="B54:B55"/>
    <mergeCell ref="J26:J27"/>
    <mergeCell ref="B28:B32"/>
    <mergeCell ref="A37:A38"/>
    <mergeCell ref="B37:B38"/>
    <mergeCell ref="C37:C38"/>
    <mergeCell ref="D37:D38"/>
    <mergeCell ref="E37:I37"/>
    <mergeCell ref="J37:J38"/>
    <mergeCell ref="A4:I4"/>
    <mergeCell ref="A6:I6"/>
    <mergeCell ref="A26:A27"/>
    <mergeCell ref="B26:B27"/>
    <mergeCell ref="C26:C27"/>
    <mergeCell ref="D26:D27"/>
    <mergeCell ref="E26:I26"/>
  </mergeCells>
  <pageMargins left="0" right="0" top="0.6692913385826772" bottom="0" header="0.31496062992125984" footer="0.31496062992125984"/>
  <pageSetup paperSize="9" scale="64" orientation="landscape" verticalDpi="360" r:id="rId1"/>
  <headerFooter>
    <oddHeader>&amp;L&amp;G&amp;RUCM/FR/HCM/10 Rev 00
June 17, 2021</oddHeader>
  </headerFooter>
  <rowBreaks count="2" manualBreakCount="2">
    <brk id="29" max="16383" man="1"/>
    <brk id="53"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Template Fom Evaluasi Karyawan</vt:lpstr>
      <vt:lpstr>Form eval academic support</vt:lpstr>
      <vt:lpstr>Form eval tenaga pendidik - FT</vt:lpstr>
      <vt:lpstr>Form eval tenaga pendidik - PT</vt:lpstr>
      <vt:lpstr>Form eval laboran</vt:lpstr>
      <vt:lpstr>form eval koor lab</vt:lpstr>
      <vt:lpstr>'Form eval tenaga pendidik - FT'!Print_Area</vt:lpstr>
      <vt:lpstr>'Form eval tenaga pendidik - PT'!Print_Area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Netha Eliana Calysta</cp:lastModifiedBy>
  <cp:lastPrinted>2021-06-17T06:24:41Z</cp:lastPrinted>
  <dcterms:created xsi:type="dcterms:W3CDTF">2019-05-14T01:27:54Z</dcterms:created>
  <dcterms:modified xsi:type="dcterms:W3CDTF">2023-08-18T08:09:22Z</dcterms:modified>
</cp:coreProperties>
</file>