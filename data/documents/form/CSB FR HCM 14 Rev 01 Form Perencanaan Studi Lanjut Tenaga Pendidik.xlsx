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11"/>
  <workbookPr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82EAACFB-3105-430A-91AE-DB6F3D5AD5D3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Peta Perencanaan Studi Lanjut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9" i="1" l="1"/>
  <c r="T49" i="1"/>
  <c r="S49" i="1"/>
  <c r="R49" i="1"/>
  <c r="R54" i="1" s="1"/>
  <c r="Q49" i="1"/>
  <c r="P49" i="1"/>
  <c r="P54" i="1" s="1"/>
  <c r="O49" i="1"/>
  <c r="O54" i="1" s="1"/>
  <c r="N49" i="1"/>
  <c r="N54" i="1" s="1"/>
  <c r="C35" i="1"/>
  <c r="C31" i="1"/>
  <c r="C32" i="1"/>
  <c r="C36" i="1"/>
  <c r="C38" i="1"/>
  <c r="C34" i="1"/>
  <c r="C37" i="1"/>
  <c r="C33" i="1"/>
  <c r="C30" i="1"/>
  <c r="F11" i="1"/>
  <c r="M49" i="1"/>
  <c r="M54" i="1" s="1"/>
  <c r="L49" i="1"/>
  <c r="P60" i="1"/>
  <c r="P61" i="1"/>
  <c r="P62" i="1"/>
  <c r="P59" i="1"/>
  <c r="T60" i="1"/>
  <c r="T61" i="1"/>
  <c r="T62" i="1"/>
  <c r="T63" i="1"/>
  <c r="T59" i="1"/>
  <c r="L60" i="1"/>
  <c r="L61" i="1"/>
  <c r="L59" i="1"/>
  <c r="H60" i="1"/>
  <c r="H61" i="1"/>
  <c r="H59" i="1"/>
  <c r="D60" i="1"/>
  <c r="D61" i="1"/>
  <c r="D59" i="1"/>
  <c r="K54" i="1"/>
  <c r="L54" i="1"/>
  <c r="Q54" i="1"/>
  <c r="S54" i="1"/>
  <c r="T54" i="1"/>
  <c r="U54" i="1"/>
  <c r="J54" i="1"/>
  <c r="L23" i="1"/>
  <c r="H62" i="1" l="1"/>
  <c r="I59" i="1" s="1"/>
  <c r="D62" i="1"/>
  <c r="E61" i="1" s="1"/>
  <c r="L62" i="1"/>
  <c r="M60" i="1" s="1"/>
  <c r="T64" i="1"/>
  <c r="U59" i="1" s="1"/>
  <c r="E60" i="1"/>
  <c r="E59" i="1"/>
  <c r="P63" i="1"/>
  <c r="Q59" i="1" s="1"/>
  <c r="M61" i="1"/>
  <c r="L24" i="1"/>
  <c r="M23" i="1"/>
  <c r="I61" i="1"/>
  <c r="I60" i="1"/>
  <c r="U62" i="1" l="1"/>
  <c r="U63" i="1"/>
  <c r="U61" i="1"/>
  <c r="U60" i="1"/>
  <c r="Q62" i="1"/>
  <c r="Q60" i="1"/>
  <c r="M59" i="1"/>
  <c r="M62" i="1" s="1"/>
  <c r="Q61" i="1"/>
  <c r="E62" i="1"/>
  <c r="I62" i="1"/>
  <c r="N23" i="1"/>
  <c r="M24" i="1"/>
  <c r="U64" i="1" l="1"/>
  <c r="Q63" i="1"/>
  <c r="O23" i="1"/>
  <c r="N24" i="1"/>
  <c r="P23" i="1" l="1"/>
  <c r="O24" i="1"/>
  <c r="Q23" i="1" l="1"/>
  <c r="P24" i="1"/>
  <c r="R23" i="1" l="1"/>
  <c r="Q24" i="1"/>
  <c r="S23" i="1" l="1"/>
  <c r="R24" i="1"/>
  <c r="T23" i="1" l="1"/>
  <c r="S24" i="1"/>
  <c r="U23" i="1" l="1"/>
  <c r="U24" i="1" s="1"/>
  <c r="T24" i="1"/>
</calcChain>
</file>

<file path=xl/sharedStrings.xml><?xml version="1.0" encoding="utf-8"?>
<sst xmlns="http://schemas.openxmlformats.org/spreadsheetml/2006/main" count="212" uniqueCount="108">
  <si>
    <t>Tahun akademik</t>
  </si>
  <si>
    <t>2021/2022</t>
  </si>
  <si>
    <t>Semester</t>
  </si>
  <si>
    <t>Ganjil</t>
  </si>
  <si>
    <t>Genap</t>
  </si>
  <si>
    <t>-</t>
  </si>
  <si>
    <t>Jumlah dosen yang diperlukan</t>
  </si>
  <si>
    <t>Rasio Ideal (Dosen tetap:Mahasiswa)</t>
  </si>
  <si>
    <t>........</t>
  </si>
  <si>
    <t>Nama Dosen Tetap (dengan gelar)</t>
  </si>
  <si>
    <t>XXXXXX, S.T, M.T.</t>
  </si>
  <si>
    <t>Estimasi jumlah mahasiswa aktif</t>
  </si>
  <si>
    <t>Jumlah dosen</t>
  </si>
  <si>
    <t>A</t>
  </si>
  <si>
    <t>Data Jumlah Mahasiswa</t>
  </si>
  <si>
    <t>B</t>
  </si>
  <si>
    <t>Rencana Studi Lanjut</t>
  </si>
  <si>
    <t>Bidang Studi</t>
  </si>
  <si>
    <t>Tipe</t>
  </si>
  <si>
    <t>Universitas Tujuan</t>
  </si>
  <si>
    <t>Jabatan Akademik</t>
  </si>
  <si>
    <t>Status Karyawan</t>
  </si>
  <si>
    <t>NIDN</t>
  </si>
  <si>
    <t>Serdos</t>
  </si>
  <si>
    <t>Strata Pendidikan Terakhir</t>
  </si>
  <si>
    <t>Full Time</t>
  </si>
  <si>
    <t>Part Time</t>
  </si>
  <si>
    <t>Resign</t>
  </si>
  <si>
    <t>Ada</t>
  </si>
  <si>
    <t>Belum ada</t>
  </si>
  <si>
    <t>Asisten ahli</t>
  </si>
  <si>
    <t>Lektor</t>
  </si>
  <si>
    <t>Lektor kepala</t>
  </si>
  <si>
    <t>Guru besar</t>
  </si>
  <si>
    <t>Belum S1</t>
  </si>
  <si>
    <t>S1</t>
  </si>
  <si>
    <t>S2</t>
  </si>
  <si>
    <t>S3</t>
  </si>
  <si>
    <t>Belum diajukan</t>
  </si>
  <si>
    <t>Sedang diajukan</t>
  </si>
  <si>
    <t>%</t>
  </si>
  <si>
    <t>Jumlah</t>
  </si>
  <si>
    <t>Status Serdos</t>
  </si>
  <si>
    <t>Status NIDN</t>
  </si>
  <si>
    <t>Sertifikasi</t>
  </si>
  <si>
    <t>:</t>
  </si>
  <si>
    <t xml:space="preserve">Petunjuk:
</t>
  </si>
  <si>
    <t>Tipe Studi Lanjut</t>
  </si>
  <si>
    <t>Ijin Belajar</t>
  </si>
  <si>
    <t>Tugas Belajar</t>
  </si>
  <si>
    <t>Nama Lengkap</t>
  </si>
  <si>
    <t>Dibuat oleh,</t>
  </si>
  <si>
    <t>Disetujui oleh,</t>
  </si>
  <si>
    <t>IPA</t>
  </si>
  <si>
    <t>IPS</t>
  </si>
  <si>
    <t>Kategori Program Studi</t>
  </si>
  <si>
    <t>Insert di sini untuk tambah baris</t>
  </si>
  <si>
    <t>Rasio ideal secara otomatis berubah jika kategori prodi telah dipilih (IPA/IPS)</t>
  </si>
  <si>
    <t>1 Periode Akademik: Agustus s.d. Juli</t>
  </si>
  <si>
    <t>Semester Ganjil</t>
  </si>
  <si>
    <t>Semester Genap</t>
  </si>
  <si>
    <t>Agustus-Januari</t>
  </si>
  <si>
    <t>Februari-Juli</t>
  </si>
  <si>
    <t>Dosen full time yang merangkap dekan/ wakil rektor</t>
  </si>
  <si>
    <t>Dosen full time yang merangkap ketua program studi</t>
  </si>
  <si>
    <t>Dosen full time yang merangkap rektor</t>
  </si>
  <si>
    <t>Dosen full time yang merangkap sebagai ketua lembaga atau pusat (LPP, TLC dll.)</t>
  </si>
  <si>
    <t>Dosen fulltime</t>
  </si>
  <si>
    <t>Dosen part time 4 hari</t>
  </si>
  <si>
    <t>Dosen part time 3 hari</t>
  </si>
  <si>
    <t>Dosen part time 2 hari</t>
  </si>
  <si>
    <t>Dosen part time 3 hari merangkap sebagai staf di dept lain (SEH dll.)</t>
  </si>
  <si>
    <t>Dosen telah resign</t>
  </si>
  <si>
    <t>Keterangan</t>
  </si>
  <si>
    <t>Nilai Kontribusi</t>
  </si>
  <si>
    <t>Dosen full time yang merangkap wakil ketua program studi atau menjabat sebagai staf di dept lain (SEH, TLC, QA dll.)</t>
  </si>
  <si>
    <t>Dosen berencana studi lanjut</t>
  </si>
  <si>
    <t>Inputkan angka kesediaan dosen antara 0 s.d. 1, sesuai panduan berikut:</t>
  </si>
  <si>
    <t>Summary (perlu diperiksa apakah telah 100%)</t>
  </si>
  <si>
    <t>Dokumen asli disimpan oleh masing-masing ketua program studi</t>
  </si>
  <si>
    <t>2030/2031</t>
  </si>
  <si>
    <t>Jika di atas 5 tahun, tuliskan rencana mulai studi lanjut</t>
  </si>
  <si>
    <t>Studi lanjut</t>
  </si>
  <si>
    <t>dst.</t>
  </si>
  <si>
    <t>Form ini diisi setiap akhir semester genap (saat budgeting), untuk perencanaan 5 periode akademik berikutnya. Update form ini setiap kali ada perubahan atau jika terdapat rencana pengajuan studi lanjut.</t>
  </si>
  <si>
    <t>Dokumen hasil scan wajib dilampirkan saat prodi mengajukan proposal studi lanjut.</t>
  </si>
  <si>
    <t>2022/2023</t>
  </si>
  <si>
    <t>2023/2024</t>
  </si>
  <si>
    <t>2024/2025</t>
  </si>
  <si>
    <t>Departemen/Progdi</t>
  </si>
  <si>
    <t>Kategori*</t>
  </si>
  <si>
    <t>Non Progdi</t>
  </si>
  <si>
    <r>
      <t xml:space="preserve">Lokasi studi lanjut 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charset val="1"/>
      </rPr>
      <t xml:space="preserve"> </t>
    </r>
    <r>
      <rPr>
        <sz val="11"/>
        <color theme="1"/>
        <rFont val="Calibri"/>
        <family val="2"/>
        <charset val="1"/>
        <scheme val="minor"/>
      </rPr>
      <t>100 km dari universitas Ciputra, tidak menjalankan tridrama/pekerjaan</t>
    </r>
  </si>
  <si>
    <t>Lokasi studi lanjut &lt; 100 km dari universitas Ciputra, menjalankan tugas tridharma.</t>
  </si>
  <si>
    <t>Peta Perencana Studi Lanjut</t>
  </si>
  <si>
    <t>PERENCANAAN STUDI LANJUT TENAGA PENDIDIK</t>
  </si>
  <si>
    <t>Chairman</t>
  </si>
  <si>
    <t>2025/2026</t>
  </si>
  <si>
    <t>2026/2027</t>
  </si>
  <si>
    <r>
      <t xml:space="preserve">Jumlah mahasiswa aktif </t>
    </r>
    <r>
      <rPr>
        <sz val="11"/>
        <color theme="1"/>
        <rFont val="Calibri"/>
        <family val="2"/>
        <scheme val="minor"/>
      </rPr>
      <t>(hanya diisi untuk periode yang telah berjalan)</t>
    </r>
  </si>
  <si>
    <r>
      <t xml:space="preserve">Target jumlah mahasiswa baru </t>
    </r>
    <r>
      <rPr>
        <sz val="11"/>
        <color theme="1"/>
        <rFont val="Calibri"/>
        <family val="2"/>
        <scheme val="minor"/>
      </rPr>
      <t>(crosscheck dengan data MNA, isi kolom semester ganjil saja)</t>
    </r>
  </si>
  <si>
    <r>
      <t xml:space="preserve">Estimasi jumlah mahasiswa pull out </t>
    </r>
    <r>
      <rPr>
        <sz val="11"/>
        <color theme="1"/>
        <rFont val="Calibri"/>
        <family val="2"/>
        <scheme val="minor"/>
      </rPr>
      <t>(check data di online system)</t>
    </r>
  </si>
  <si>
    <r>
      <t xml:space="preserve">Estimasi jumlah mahasiswa drop out </t>
    </r>
    <r>
      <rPr>
        <sz val="11"/>
        <color theme="1"/>
        <rFont val="Calibri"/>
        <family val="2"/>
        <scheme val="minor"/>
      </rPr>
      <t>(check data di online system)</t>
    </r>
  </si>
  <si>
    <r>
      <t xml:space="preserve">Estimasi jumlah mahasiswa resign </t>
    </r>
    <r>
      <rPr>
        <sz val="11"/>
        <color theme="1"/>
        <rFont val="Calibri"/>
        <family val="2"/>
        <scheme val="minor"/>
      </rPr>
      <t>(check data di online system)</t>
    </r>
  </si>
  <si>
    <r>
      <t>Estimasi jumlah mahasiswa cuti</t>
    </r>
    <r>
      <rPr>
        <sz val="11"/>
        <color theme="1"/>
        <rFont val="Calibri"/>
        <family val="2"/>
        <scheme val="minor"/>
      </rPr>
      <t xml:space="preserve"> (check data di online system)</t>
    </r>
  </si>
  <si>
    <r>
      <t>Estimasi jumlah mahasiswa lulus</t>
    </r>
    <r>
      <rPr>
        <sz val="11"/>
        <color theme="1"/>
        <rFont val="Calibri"/>
        <family val="2"/>
        <scheme val="minor"/>
      </rPr>
      <t xml:space="preserve"> (check data di online system)</t>
    </r>
  </si>
  <si>
    <r>
      <t>Makassar,</t>
    </r>
    <r>
      <rPr>
        <sz val="11"/>
        <color rgb="FF0000FF"/>
        <rFont val="Calibri"/>
        <family val="2"/>
        <scheme val="minor"/>
      </rPr>
      <t xml:space="preserve"> ...............................</t>
    </r>
  </si>
  <si>
    <r>
      <rPr>
        <sz val="11"/>
        <rFont val="Calibri"/>
        <family val="2"/>
        <scheme val="minor"/>
      </rPr>
      <t>Head,</t>
    </r>
    <r>
      <rPr>
        <sz val="11"/>
        <color rgb="FF0000FF"/>
        <rFont val="Calibri"/>
        <family val="2"/>
        <scheme val="minor"/>
      </rPr>
      <t xml:space="preserve"> …..........</t>
    </r>
    <r>
      <rPr>
        <sz val="11"/>
        <rFont val="Calibri"/>
        <family val="2"/>
        <scheme val="minor"/>
      </rPr>
      <t xml:space="preserve"> Study Program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</si>
</sst>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6">
    <xf numFmtId="0" fontId="0" fillId="0" borderId="0" xfId="0"/>
    <xf numFmtId="0" fontId="4" fillId="0" borderId="0" xfId="0" applyFont="1"/>
    <xf numFmtId="0" fontId="10" fillId="9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11" fillId="9" borderId="0" xfId="0" applyFont="1" applyFill="1" applyAlignment="1">
      <alignment vertical="center"/>
    </xf>
    <xf numFmtId="0" fontId="7" fillId="9" borderId="0" xfId="0" applyFont="1" applyFill="1" applyAlignment="1">
      <alignment vertical="center" wrapTex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13" fillId="9" borderId="0" xfId="0" applyFont="1" applyFill="1" applyAlignment="1">
      <alignment vertical="center"/>
    </xf>
    <xf numFmtId="0" fontId="14" fillId="9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9" borderId="0" xfId="0" applyFont="1" applyFill="1" applyAlignment="1">
      <alignment vertical="center"/>
    </xf>
    <xf numFmtId="0" fontId="17" fillId="9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2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8" fillId="9" borderId="0" xfId="0" applyFont="1" applyFill="1" applyAlignment="1">
      <alignment vertical="center"/>
    </xf>
    <xf numFmtId="0" fontId="18" fillId="9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/>
    </xf>
    <xf numFmtId="0" fontId="18" fillId="9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4" fillId="9" borderId="0" xfId="0" applyFont="1" applyFill="1" applyAlignment="1">
      <alignment vertical="center"/>
    </xf>
    <xf numFmtId="0" fontId="4" fillId="9" borderId="0" xfId="0" applyFont="1" applyFill="1" applyAlignment="1">
      <alignment vertical="center" wrapText="1"/>
    </xf>
    <xf numFmtId="0" fontId="20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1" fillId="9" borderId="0" xfId="0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/>
    </xf>
    <xf numFmtId="0" fontId="23" fillId="9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23" fillId="9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2" fontId="21" fillId="9" borderId="0" xfId="0" applyNumberFormat="1" applyFont="1" applyFill="1" applyAlignment="1">
      <alignment horizontal="center" vertical="center"/>
    </xf>
    <xf numFmtId="0" fontId="24" fillId="9" borderId="1" xfId="0" applyFont="1" applyFill="1" applyBorder="1" applyAlignment="1">
      <alignment horizontal="right" vertical="center"/>
    </xf>
    <xf numFmtId="0" fontId="24" fillId="9" borderId="1" xfId="0" applyFont="1" applyFill="1" applyBorder="1" applyAlignment="1">
      <alignment vertical="center"/>
    </xf>
    <xf numFmtId="0" fontId="17" fillId="9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17" fillId="9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right" vertical="center"/>
    </xf>
    <xf numFmtId="0" fontId="17" fillId="10" borderId="1" xfId="0" applyFont="1" applyFill="1" applyBorder="1" applyAlignment="1">
      <alignment horizontal="right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21" fillId="0" borderId="0" xfId="0" applyFont="1" applyAlignment="1">
      <alignment vertical="center" wrapText="1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1" fillId="10" borderId="0" xfId="0" applyFont="1" applyFill="1" applyAlignment="1">
      <alignment horizontal="center" vertical="center"/>
    </xf>
    <xf numFmtId="2" fontId="4" fillId="5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8" fillId="9" borderId="0" xfId="0" applyFont="1" applyFill="1" applyAlignment="1">
      <alignment vertical="center" wrapText="1"/>
    </xf>
    <xf numFmtId="0" fontId="9" fillId="9" borderId="0" xfId="0" applyFont="1" applyFill="1" applyAlignment="1">
      <alignment vertical="center" wrapText="1"/>
    </xf>
    <xf numFmtId="0" fontId="4" fillId="7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2" fillId="9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9" fontId="2" fillId="0" borderId="0" xfId="1" applyFont="1" applyAlignment="1">
      <alignment horizontal="left" vertical="center" wrapText="1"/>
    </xf>
    <xf numFmtId="9" fontId="2" fillId="9" borderId="0" xfId="1" applyFont="1" applyFill="1" applyAlignment="1">
      <alignment horizontal="left" vertical="center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wrapText="1"/>
    </xf>
    <xf numFmtId="9" fontId="4" fillId="4" borderId="0" xfId="1" applyFont="1" applyFill="1" applyAlignment="1">
      <alignment horizontal="left" vertical="center" wrapText="1"/>
    </xf>
    <xf numFmtId="9" fontId="4" fillId="9" borderId="0" xfId="1" applyFont="1" applyFill="1" applyAlignment="1">
      <alignment horizontal="left" vertical="center" wrapText="1"/>
    </xf>
    <xf numFmtId="0" fontId="2" fillId="9" borderId="0" xfId="0" applyFont="1" applyFill="1"/>
    <xf numFmtId="0" fontId="2" fillId="2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/>
    </xf>
    <xf numFmtId="0" fontId="17" fillId="0" borderId="0" xfId="0" applyFont="1" applyAlignment="1">
      <alignment horizontal="right" vertical="center"/>
    </xf>
    <xf numFmtId="1" fontId="23" fillId="5" borderId="0" xfId="0" quotePrefix="1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23" fillId="5" borderId="0" xfId="0" applyFont="1" applyFill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  <color rgb="FFFFFFCC"/>
      <color rgb="FF66003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view="pageLayout" topLeftCell="A53" zoomScale="69" zoomScaleNormal="100" zoomScalePageLayoutView="69" workbookViewId="0">
      <selection activeCell="E1" sqref="E1"/>
    </sheetView>
  </sheetViews>
  <sheetFormatPr defaultColWidth="9.140625" defaultRowHeight="12.75" x14ac:dyDescent="0.25"/>
  <cols>
    <col min="1" max="1" width="4.140625" style="2" customWidth="1"/>
    <col min="2" max="2" width="3.42578125" style="3" customWidth="1"/>
    <col min="3" max="3" width="21.85546875" style="4" customWidth="1"/>
    <col min="4" max="4" width="10.42578125" style="4" customWidth="1"/>
    <col min="5" max="5" width="8.7109375" style="4" customWidth="1"/>
    <col min="6" max="6" width="8.85546875" style="4" customWidth="1"/>
    <col min="7" max="7" width="12.140625" style="4" customWidth="1"/>
    <col min="8" max="8" width="11.5703125" style="4" customWidth="1"/>
    <col min="9" max="9" width="12.28515625" style="4" customWidth="1"/>
    <col min="10" max="21" width="9" style="5" customWidth="1"/>
    <col min="22" max="22" width="16.85546875" style="5" customWidth="1"/>
    <col min="23" max="23" width="8" style="3" customWidth="1"/>
    <col min="24" max="24" width="18.85546875" style="3" customWidth="1"/>
    <col min="25" max="25" width="16" style="3" customWidth="1"/>
    <col min="26" max="16384" width="9.140625" style="3"/>
  </cols>
  <sheetData>
    <row r="1" spans="1:25" x14ac:dyDescent="0.25">
      <c r="C1" s="2"/>
      <c r="D1" s="3"/>
      <c r="J1" s="4"/>
      <c r="K1" s="4"/>
    </row>
    <row r="2" spans="1:25" ht="26.25" x14ac:dyDescent="0.25">
      <c r="B2" s="11" t="s">
        <v>95</v>
      </c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9"/>
      <c r="X2" s="9"/>
      <c r="Y2" s="9"/>
    </row>
    <row r="3" spans="1:25" ht="7.9" customHeight="1" x14ac:dyDescent="0.25">
      <c r="B3" s="6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9"/>
      <c r="Y3" s="9"/>
    </row>
    <row r="4" spans="1:25" s="21" customFormat="1" ht="15" customHeight="1" x14ac:dyDescent="0.25">
      <c r="A4" s="16"/>
      <c r="B4" s="17" t="s">
        <v>46</v>
      </c>
      <c r="C4" s="18"/>
      <c r="D4" s="18"/>
      <c r="E4" s="18"/>
      <c r="F4" s="18"/>
      <c r="G4" s="18"/>
      <c r="H4" s="18"/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20"/>
      <c r="X4" s="20"/>
      <c r="Y4" s="20"/>
    </row>
    <row r="5" spans="1:25" s="21" customFormat="1" ht="15" customHeight="1" x14ac:dyDescent="0.25">
      <c r="A5" s="16"/>
      <c r="B5" s="17" t="s">
        <v>84</v>
      </c>
      <c r="C5" s="18"/>
      <c r="D5" s="18"/>
      <c r="E5" s="18"/>
      <c r="F5" s="18"/>
      <c r="G5" s="18"/>
      <c r="H5" s="18"/>
      <c r="I5" s="18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20"/>
      <c r="X5" s="20"/>
      <c r="Y5" s="20"/>
    </row>
    <row r="6" spans="1:25" s="21" customFormat="1" ht="15" customHeight="1" x14ac:dyDescent="0.25">
      <c r="A6" s="16"/>
      <c r="B6" s="17" t="s">
        <v>79</v>
      </c>
      <c r="C6" s="18"/>
      <c r="D6" s="18"/>
      <c r="E6" s="18"/>
      <c r="F6" s="18"/>
      <c r="G6" s="18"/>
      <c r="H6" s="18"/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20"/>
      <c r="X6" s="20"/>
      <c r="Y6" s="20"/>
    </row>
    <row r="7" spans="1:25" s="21" customFormat="1" ht="15" customHeight="1" x14ac:dyDescent="0.25">
      <c r="A7" s="16"/>
      <c r="B7" s="17" t="s">
        <v>85</v>
      </c>
      <c r="C7" s="18"/>
      <c r="D7" s="18"/>
      <c r="E7" s="18"/>
      <c r="F7" s="18"/>
      <c r="G7" s="18"/>
      <c r="H7" s="18"/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20"/>
      <c r="X7" s="20"/>
      <c r="Y7" s="20"/>
    </row>
    <row r="8" spans="1:25" x14ac:dyDescent="0.25">
      <c r="B8" s="10"/>
      <c r="C8" s="7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  <c r="X8" s="9"/>
      <c r="Y8" s="9"/>
    </row>
    <row r="9" spans="1:25" s="21" customFormat="1" ht="16.5" customHeight="1" x14ac:dyDescent="0.25">
      <c r="A9" s="16"/>
      <c r="B9" s="27" t="s">
        <v>89</v>
      </c>
      <c r="C9" s="20"/>
      <c r="D9" s="28"/>
      <c r="E9" s="20" t="s">
        <v>45</v>
      </c>
      <c r="F9" s="29" t="s">
        <v>8</v>
      </c>
      <c r="G9" s="30"/>
      <c r="H9" s="28"/>
      <c r="I9" s="28"/>
      <c r="J9" s="20"/>
      <c r="K9" s="20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20"/>
      <c r="X9" s="20"/>
      <c r="Y9" s="20"/>
    </row>
    <row r="10" spans="1:25" s="21" customFormat="1" ht="16.5" customHeight="1" x14ac:dyDescent="0.25">
      <c r="A10" s="16"/>
      <c r="B10" s="27" t="s">
        <v>90</v>
      </c>
      <c r="C10" s="20"/>
      <c r="D10" s="28"/>
      <c r="E10" s="20" t="s">
        <v>45</v>
      </c>
      <c r="F10" s="31" t="s">
        <v>53</v>
      </c>
      <c r="G10" s="30"/>
      <c r="H10" s="28"/>
      <c r="I10" s="28"/>
      <c r="J10" s="20"/>
      <c r="K10" s="20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  <c r="X10" s="20"/>
      <c r="Y10" s="20"/>
    </row>
    <row r="11" spans="1:25" s="21" customFormat="1" ht="16.5" customHeight="1" x14ac:dyDescent="0.25">
      <c r="A11" s="16"/>
      <c r="B11" s="27" t="s">
        <v>7</v>
      </c>
      <c r="C11" s="20"/>
      <c r="D11" s="28"/>
      <c r="E11" s="20" t="s">
        <v>45</v>
      </c>
      <c r="F11" s="31">
        <f>IF(F10="IPA",30,45)</f>
        <v>30</v>
      </c>
      <c r="G11" s="32" t="s">
        <v>57</v>
      </c>
      <c r="H11" s="28"/>
      <c r="I11" s="28"/>
      <c r="J11" s="20"/>
      <c r="K11" s="20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20"/>
      <c r="X11" s="20"/>
      <c r="Y11" s="20"/>
    </row>
    <row r="12" spans="1:25" s="21" customFormat="1" ht="15" x14ac:dyDescent="0.25">
      <c r="A12" s="16"/>
      <c r="B12" s="20"/>
      <c r="C12" s="18"/>
      <c r="D12" s="18"/>
      <c r="E12" s="18"/>
      <c r="F12" s="18"/>
      <c r="G12" s="18"/>
      <c r="H12" s="18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20"/>
      <c r="X12" s="20"/>
      <c r="Y12" s="20"/>
    </row>
    <row r="13" spans="1:25" s="26" customFormat="1" ht="15.75" x14ac:dyDescent="0.25">
      <c r="A13" s="24"/>
      <c r="B13" s="22" t="s">
        <v>13</v>
      </c>
      <c r="C13" s="22" t="s">
        <v>14</v>
      </c>
      <c r="D13" s="23"/>
      <c r="E13" s="23"/>
      <c r="F13" s="23"/>
      <c r="G13" s="23"/>
      <c r="H13" s="23"/>
      <c r="I13" s="23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2"/>
      <c r="X13" s="22"/>
      <c r="Y13" s="22"/>
    </row>
    <row r="14" spans="1:25" s="35" customFormat="1" ht="15" customHeight="1" x14ac:dyDescent="0.25">
      <c r="A14" s="33"/>
      <c r="B14" s="34"/>
      <c r="C14" s="36" t="s">
        <v>0</v>
      </c>
      <c r="D14" s="37"/>
      <c r="E14" s="37"/>
      <c r="F14" s="37"/>
      <c r="G14" s="37"/>
      <c r="H14" s="37"/>
      <c r="I14" s="37"/>
      <c r="J14" s="82" t="s">
        <v>1</v>
      </c>
      <c r="K14" s="82"/>
      <c r="L14" s="82" t="s">
        <v>86</v>
      </c>
      <c r="M14" s="82"/>
      <c r="N14" s="82" t="s">
        <v>87</v>
      </c>
      <c r="O14" s="82"/>
      <c r="P14" s="82" t="s">
        <v>88</v>
      </c>
      <c r="Q14" s="82"/>
      <c r="R14" s="82" t="s">
        <v>97</v>
      </c>
      <c r="S14" s="82"/>
      <c r="T14" s="82" t="s">
        <v>98</v>
      </c>
      <c r="U14" s="82"/>
      <c r="V14" s="38"/>
      <c r="W14" s="27"/>
      <c r="X14" s="27"/>
      <c r="Y14" s="27"/>
    </row>
    <row r="15" spans="1:25" s="35" customFormat="1" ht="15" customHeight="1" x14ac:dyDescent="0.25">
      <c r="A15" s="33"/>
      <c r="B15" s="27"/>
      <c r="C15" s="36" t="s">
        <v>2</v>
      </c>
      <c r="D15" s="37"/>
      <c r="E15" s="37"/>
      <c r="F15" s="37"/>
      <c r="G15" s="37"/>
      <c r="H15" s="37"/>
      <c r="I15" s="37"/>
      <c r="J15" s="39" t="s">
        <v>3</v>
      </c>
      <c r="K15" s="39" t="s">
        <v>4</v>
      </c>
      <c r="L15" s="39" t="s">
        <v>3</v>
      </c>
      <c r="M15" s="39" t="s">
        <v>4</v>
      </c>
      <c r="N15" s="39" t="s">
        <v>3</v>
      </c>
      <c r="O15" s="39" t="s">
        <v>4</v>
      </c>
      <c r="P15" s="39" t="s">
        <v>3</v>
      </c>
      <c r="Q15" s="39" t="s">
        <v>4</v>
      </c>
      <c r="R15" s="39" t="s">
        <v>3</v>
      </c>
      <c r="S15" s="39" t="s">
        <v>4</v>
      </c>
      <c r="T15" s="39" t="s">
        <v>3</v>
      </c>
      <c r="U15" s="39" t="s">
        <v>4</v>
      </c>
      <c r="V15" s="34"/>
      <c r="W15" s="27"/>
      <c r="X15" s="27"/>
      <c r="Y15" s="27"/>
    </row>
    <row r="16" spans="1:25" s="21" customFormat="1" ht="15" customHeight="1" x14ac:dyDescent="0.25">
      <c r="A16" s="16"/>
      <c r="B16" s="20"/>
      <c r="C16" s="36" t="s">
        <v>99</v>
      </c>
      <c r="D16" s="40"/>
      <c r="E16" s="40"/>
      <c r="F16" s="40"/>
      <c r="G16" s="40"/>
      <c r="H16" s="40"/>
      <c r="I16" s="40"/>
      <c r="J16" s="41">
        <v>200</v>
      </c>
      <c r="K16" s="41">
        <v>138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2"/>
      <c r="W16" s="20"/>
      <c r="X16" s="20"/>
      <c r="Y16" s="20"/>
    </row>
    <row r="17" spans="1:25" s="21" customFormat="1" ht="15" customHeight="1" x14ac:dyDescent="0.25">
      <c r="A17" s="16"/>
      <c r="B17" s="20"/>
      <c r="C17" s="36" t="s">
        <v>100</v>
      </c>
      <c r="D17" s="40"/>
      <c r="E17" s="40"/>
      <c r="F17" s="40"/>
      <c r="G17" s="40"/>
      <c r="H17" s="40"/>
      <c r="I17" s="40"/>
      <c r="J17" s="41" t="s">
        <v>5</v>
      </c>
      <c r="K17" s="41"/>
      <c r="L17" s="41">
        <v>40</v>
      </c>
      <c r="M17" s="41">
        <v>2</v>
      </c>
      <c r="N17" s="41">
        <v>40</v>
      </c>
      <c r="O17" s="41">
        <v>1</v>
      </c>
      <c r="P17" s="41">
        <v>40</v>
      </c>
      <c r="Q17" s="41">
        <v>1</v>
      </c>
      <c r="R17" s="41">
        <v>40</v>
      </c>
      <c r="S17" s="41">
        <v>1</v>
      </c>
      <c r="T17" s="41">
        <v>40</v>
      </c>
      <c r="U17" s="41">
        <v>1</v>
      </c>
      <c r="V17" s="42"/>
      <c r="W17" s="20"/>
      <c r="X17" s="20"/>
      <c r="Y17" s="20"/>
    </row>
    <row r="18" spans="1:25" s="21" customFormat="1" ht="15" customHeight="1" x14ac:dyDescent="0.25">
      <c r="A18" s="16"/>
      <c r="B18" s="20"/>
      <c r="C18" s="36" t="s">
        <v>101</v>
      </c>
      <c r="D18" s="40"/>
      <c r="E18" s="40"/>
      <c r="F18" s="40"/>
      <c r="G18" s="40"/>
      <c r="H18" s="40"/>
      <c r="I18" s="40"/>
      <c r="J18" s="41"/>
      <c r="K18" s="41"/>
      <c r="L18" s="41">
        <v>2</v>
      </c>
      <c r="M18" s="41">
        <v>2</v>
      </c>
      <c r="N18" s="41">
        <v>2</v>
      </c>
      <c r="O18" s="41">
        <v>2</v>
      </c>
      <c r="P18" s="41">
        <v>2</v>
      </c>
      <c r="Q18" s="41">
        <v>2</v>
      </c>
      <c r="R18" s="41">
        <v>2</v>
      </c>
      <c r="S18" s="41">
        <v>2</v>
      </c>
      <c r="T18" s="41">
        <v>2</v>
      </c>
      <c r="U18" s="41">
        <v>2</v>
      </c>
      <c r="V18" s="42"/>
      <c r="W18" s="20"/>
      <c r="X18" s="20"/>
      <c r="Y18" s="20"/>
    </row>
    <row r="19" spans="1:25" s="21" customFormat="1" ht="15" customHeight="1" x14ac:dyDescent="0.25">
      <c r="A19" s="16"/>
      <c r="B19" s="20"/>
      <c r="C19" s="36" t="s">
        <v>102</v>
      </c>
      <c r="D19" s="40"/>
      <c r="E19" s="40"/>
      <c r="F19" s="40"/>
      <c r="G19" s="40"/>
      <c r="H19" s="40"/>
      <c r="I19" s="40"/>
      <c r="J19" s="41" t="s">
        <v>5</v>
      </c>
      <c r="K19" s="41"/>
      <c r="L19" s="41">
        <v>2</v>
      </c>
      <c r="M19" s="41">
        <v>2</v>
      </c>
      <c r="N19" s="41">
        <v>2</v>
      </c>
      <c r="O19" s="41">
        <v>2</v>
      </c>
      <c r="P19" s="41">
        <v>2</v>
      </c>
      <c r="Q19" s="41">
        <v>2</v>
      </c>
      <c r="R19" s="41">
        <v>2</v>
      </c>
      <c r="S19" s="41">
        <v>2</v>
      </c>
      <c r="T19" s="41">
        <v>2</v>
      </c>
      <c r="U19" s="41">
        <v>2</v>
      </c>
      <c r="V19" s="42"/>
      <c r="W19" s="20"/>
      <c r="X19" s="20"/>
      <c r="Y19" s="20"/>
    </row>
    <row r="20" spans="1:25" s="21" customFormat="1" ht="15" customHeight="1" x14ac:dyDescent="0.25">
      <c r="A20" s="16"/>
      <c r="B20" s="20"/>
      <c r="C20" s="36" t="s">
        <v>103</v>
      </c>
      <c r="D20" s="40"/>
      <c r="E20" s="40"/>
      <c r="F20" s="40"/>
      <c r="G20" s="40"/>
      <c r="H20" s="40"/>
      <c r="I20" s="40"/>
      <c r="J20" s="41"/>
      <c r="K20" s="41"/>
      <c r="L20" s="41">
        <v>2</v>
      </c>
      <c r="M20" s="41">
        <v>2</v>
      </c>
      <c r="N20" s="41">
        <v>2</v>
      </c>
      <c r="O20" s="41">
        <v>2</v>
      </c>
      <c r="P20" s="41">
        <v>2</v>
      </c>
      <c r="Q20" s="41">
        <v>2</v>
      </c>
      <c r="R20" s="41">
        <v>2</v>
      </c>
      <c r="S20" s="41">
        <v>2</v>
      </c>
      <c r="T20" s="41">
        <v>2</v>
      </c>
      <c r="U20" s="41">
        <v>2</v>
      </c>
      <c r="V20" s="42"/>
      <c r="W20" s="20"/>
      <c r="X20" s="20"/>
      <c r="Y20" s="20"/>
    </row>
    <row r="21" spans="1:25" s="21" customFormat="1" ht="15" customHeight="1" x14ac:dyDescent="0.25">
      <c r="A21" s="16"/>
      <c r="B21" s="20"/>
      <c r="C21" s="36" t="s">
        <v>104</v>
      </c>
      <c r="D21" s="40"/>
      <c r="E21" s="40"/>
      <c r="F21" s="40"/>
      <c r="G21" s="40"/>
      <c r="H21" s="40"/>
      <c r="I21" s="40"/>
      <c r="J21" s="41"/>
      <c r="K21" s="41"/>
      <c r="L21" s="41">
        <v>2</v>
      </c>
      <c r="M21" s="41">
        <v>2</v>
      </c>
      <c r="N21" s="41">
        <v>2</v>
      </c>
      <c r="O21" s="41">
        <v>2</v>
      </c>
      <c r="P21" s="41">
        <v>2</v>
      </c>
      <c r="Q21" s="41">
        <v>2</v>
      </c>
      <c r="R21" s="41">
        <v>2</v>
      </c>
      <c r="S21" s="41">
        <v>2</v>
      </c>
      <c r="T21" s="41">
        <v>2</v>
      </c>
      <c r="U21" s="41">
        <v>2</v>
      </c>
      <c r="V21" s="42"/>
      <c r="W21" s="20"/>
      <c r="X21" s="20"/>
      <c r="Y21" s="20"/>
    </row>
    <row r="22" spans="1:25" s="21" customFormat="1" ht="15" customHeight="1" x14ac:dyDescent="0.25">
      <c r="A22" s="16"/>
      <c r="B22" s="20"/>
      <c r="C22" s="36" t="s">
        <v>105</v>
      </c>
      <c r="D22" s="40"/>
      <c r="E22" s="40"/>
      <c r="F22" s="40"/>
      <c r="G22" s="40"/>
      <c r="H22" s="40"/>
      <c r="I22" s="40"/>
      <c r="J22" s="41"/>
      <c r="K22" s="41"/>
      <c r="L22" s="41">
        <v>15</v>
      </c>
      <c r="M22" s="41">
        <v>15</v>
      </c>
      <c r="N22" s="41">
        <v>15</v>
      </c>
      <c r="O22" s="41">
        <v>15</v>
      </c>
      <c r="P22" s="41">
        <v>15</v>
      </c>
      <c r="Q22" s="41">
        <v>15</v>
      </c>
      <c r="R22" s="41">
        <v>15</v>
      </c>
      <c r="S22" s="41">
        <v>15</v>
      </c>
      <c r="T22" s="41">
        <v>15</v>
      </c>
      <c r="U22" s="41">
        <v>15</v>
      </c>
      <c r="V22" s="42"/>
      <c r="W22" s="20"/>
      <c r="X22" s="20"/>
      <c r="Y22" s="20"/>
    </row>
    <row r="23" spans="1:25" s="21" customFormat="1" ht="15" customHeight="1" x14ac:dyDescent="0.25">
      <c r="A23" s="16"/>
      <c r="B23" s="20"/>
      <c r="C23" s="36" t="s">
        <v>11</v>
      </c>
      <c r="D23" s="40"/>
      <c r="E23" s="40"/>
      <c r="F23" s="40"/>
      <c r="G23" s="40"/>
      <c r="H23" s="40"/>
      <c r="I23" s="40"/>
      <c r="J23" s="41"/>
      <c r="K23" s="41"/>
      <c r="L23" s="41">
        <f>K16+L17-SUM(L18:L22)</f>
        <v>155</v>
      </c>
      <c r="M23" s="41">
        <f>L23+M17-SUM(M18:M22)</f>
        <v>134</v>
      </c>
      <c r="N23" s="41">
        <f t="shared" ref="N23:U23" si="0">M23+N17-SUM(N18:N22)</f>
        <v>151</v>
      </c>
      <c r="O23" s="41">
        <f t="shared" si="0"/>
        <v>129</v>
      </c>
      <c r="P23" s="41">
        <f t="shared" si="0"/>
        <v>146</v>
      </c>
      <c r="Q23" s="41">
        <f t="shared" si="0"/>
        <v>124</v>
      </c>
      <c r="R23" s="41">
        <f t="shared" si="0"/>
        <v>141</v>
      </c>
      <c r="S23" s="41">
        <f t="shared" si="0"/>
        <v>119</v>
      </c>
      <c r="T23" s="41">
        <f t="shared" si="0"/>
        <v>136</v>
      </c>
      <c r="U23" s="41">
        <f t="shared" si="0"/>
        <v>114</v>
      </c>
      <c r="V23" s="42"/>
      <c r="W23" s="20"/>
      <c r="X23" s="20"/>
      <c r="Y23" s="20"/>
    </row>
    <row r="24" spans="1:25" s="21" customFormat="1" ht="15" customHeight="1" x14ac:dyDescent="0.25">
      <c r="A24" s="16"/>
      <c r="B24" s="20"/>
      <c r="C24" s="36" t="s">
        <v>6</v>
      </c>
      <c r="D24" s="40"/>
      <c r="E24" s="40"/>
      <c r="F24" s="40"/>
      <c r="G24" s="40"/>
      <c r="H24" s="40"/>
      <c r="I24" s="40"/>
      <c r="J24" s="41"/>
      <c r="K24" s="41"/>
      <c r="L24" s="43">
        <f t="shared" ref="L24:U24" si="1">IF((L23/$F$11&lt;6),6,L23/$F$11)</f>
        <v>6</v>
      </c>
      <c r="M24" s="43">
        <f t="shared" si="1"/>
        <v>6</v>
      </c>
      <c r="N24" s="43">
        <f t="shared" si="1"/>
        <v>6</v>
      </c>
      <c r="O24" s="43">
        <f t="shared" si="1"/>
        <v>6</v>
      </c>
      <c r="P24" s="43">
        <f t="shared" si="1"/>
        <v>6</v>
      </c>
      <c r="Q24" s="43">
        <f t="shared" si="1"/>
        <v>6</v>
      </c>
      <c r="R24" s="43">
        <f t="shared" si="1"/>
        <v>6</v>
      </c>
      <c r="S24" s="43">
        <f t="shared" si="1"/>
        <v>6</v>
      </c>
      <c r="T24" s="43">
        <f t="shared" si="1"/>
        <v>6</v>
      </c>
      <c r="U24" s="43">
        <f t="shared" si="1"/>
        <v>6</v>
      </c>
      <c r="V24" s="44"/>
      <c r="W24" s="20"/>
      <c r="X24" s="20"/>
      <c r="Y24" s="20"/>
    </row>
    <row r="25" spans="1:25" x14ac:dyDescent="0.25">
      <c r="B25" s="9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9"/>
      <c r="Y25" s="9"/>
    </row>
    <row r="26" spans="1:25" s="15" customFormat="1" ht="15.75" x14ac:dyDescent="0.25">
      <c r="A26" s="12"/>
      <c r="B26" s="26" t="s">
        <v>15</v>
      </c>
      <c r="C26" s="22" t="s">
        <v>94</v>
      </c>
      <c r="D26" s="23"/>
      <c r="E26" s="23"/>
      <c r="F26" s="23"/>
      <c r="G26" s="23"/>
      <c r="H26" s="23"/>
      <c r="I26" s="2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4"/>
      <c r="X26" s="14"/>
      <c r="Y26" s="14"/>
    </row>
    <row r="27" spans="1:25" s="21" customFormat="1" ht="15" x14ac:dyDescent="0.25">
      <c r="A27" s="16"/>
      <c r="B27" s="27"/>
      <c r="C27" s="17" t="s">
        <v>77</v>
      </c>
      <c r="D27" s="17"/>
      <c r="E27" s="17"/>
      <c r="F27" s="17"/>
      <c r="G27" s="17"/>
      <c r="H27" s="17"/>
      <c r="I27" s="17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20"/>
      <c r="X27" s="20"/>
      <c r="Y27" s="20"/>
    </row>
    <row r="28" spans="1:25" s="21" customFormat="1" ht="15" customHeight="1" x14ac:dyDescent="0.25">
      <c r="A28" s="16"/>
      <c r="B28" s="27"/>
      <c r="C28" s="45" t="s">
        <v>74</v>
      </c>
      <c r="D28" s="46" t="s">
        <v>73</v>
      </c>
      <c r="E28" s="47"/>
      <c r="F28" s="47"/>
      <c r="G28" s="47"/>
      <c r="H28" s="47"/>
      <c r="I28" s="47"/>
      <c r="J28" s="48"/>
      <c r="K28" s="48"/>
      <c r="L28" s="4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20"/>
      <c r="X28" s="20"/>
      <c r="Y28" s="20"/>
    </row>
    <row r="29" spans="1:25" s="21" customFormat="1" ht="15" customHeight="1" x14ac:dyDescent="0.25">
      <c r="A29" s="16"/>
      <c r="B29" s="27"/>
      <c r="C29" s="50">
        <v>1</v>
      </c>
      <c r="D29" s="50" t="s">
        <v>67</v>
      </c>
      <c r="E29" s="47"/>
      <c r="F29" s="47"/>
      <c r="G29" s="47"/>
      <c r="H29" s="47"/>
      <c r="I29" s="47"/>
      <c r="J29" s="48"/>
      <c r="K29" s="48"/>
      <c r="L29" s="4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0"/>
      <c r="X29" s="20"/>
      <c r="Y29" s="20"/>
    </row>
    <row r="30" spans="1:25" s="21" customFormat="1" ht="15" customHeight="1" x14ac:dyDescent="0.25">
      <c r="A30" s="16"/>
      <c r="B30" s="27"/>
      <c r="C30" s="50">
        <f>4/5</f>
        <v>0.8</v>
      </c>
      <c r="D30" s="50" t="s">
        <v>68</v>
      </c>
      <c r="E30" s="47"/>
      <c r="F30" s="47"/>
      <c r="G30" s="47"/>
      <c r="H30" s="47"/>
      <c r="I30" s="47"/>
      <c r="J30" s="48"/>
      <c r="K30" s="48"/>
      <c r="L30" s="4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20"/>
      <c r="X30" s="20"/>
      <c r="Y30" s="20"/>
    </row>
    <row r="31" spans="1:25" s="21" customFormat="1" ht="15" customHeight="1" x14ac:dyDescent="0.25">
      <c r="A31" s="16"/>
      <c r="B31" s="27"/>
      <c r="C31" s="50">
        <f>3/5</f>
        <v>0.6</v>
      </c>
      <c r="D31" s="50" t="s">
        <v>69</v>
      </c>
      <c r="E31" s="47"/>
      <c r="F31" s="47"/>
      <c r="G31" s="47"/>
      <c r="H31" s="47"/>
      <c r="I31" s="47"/>
      <c r="J31" s="48"/>
      <c r="K31" s="48"/>
      <c r="L31" s="4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20"/>
      <c r="X31" s="20"/>
      <c r="Y31" s="20"/>
    </row>
    <row r="32" spans="1:25" s="21" customFormat="1" ht="15" customHeight="1" x14ac:dyDescent="0.25">
      <c r="A32" s="16"/>
      <c r="B32" s="27"/>
      <c r="C32" s="50">
        <f>6/10*3/5</f>
        <v>0.36</v>
      </c>
      <c r="D32" s="50" t="s">
        <v>71</v>
      </c>
      <c r="E32" s="47"/>
      <c r="F32" s="47"/>
      <c r="G32" s="47"/>
      <c r="H32" s="47"/>
      <c r="I32" s="47"/>
      <c r="J32" s="48"/>
      <c r="K32" s="48"/>
      <c r="L32" s="4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0"/>
      <c r="X32" s="20"/>
      <c r="Y32" s="20"/>
    </row>
    <row r="33" spans="1:25" s="21" customFormat="1" ht="15" customHeight="1" x14ac:dyDescent="0.25">
      <c r="A33" s="16"/>
      <c r="B33" s="27"/>
      <c r="C33" s="50">
        <f>2/5</f>
        <v>0.4</v>
      </c>
      <c r="D33" s="50" t="s">
        <v>70</v>
      </c>
      <c r="E33" s="47"/>
      <c r="F33" s="47"/>
      <c r="G33" s="47"/>
      <c r="H33" s="47"/>
      <c r="I33" s="47"/>
      <c r="J33" s="48"/>
      <c r="K33" s="48"/>
      <c r="L33" s="4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20"/>
      <c r="X33" s="20"/>
      <c r="Y33" s="20"/>
    </row>
    <row r="34" spans="1:25" s="21" customFormat="1" ht="15" customHeight="1" x14ac:dyDescent="0.25">
      <c r="A34" s="16"/>
      <c r="B34" s="27"/>
      <c r="C34" s="50">
        <f>10/16</f>
        <v>0.625</v>
      </c>
      <c r="D34" s="50" t="s">
        <v>64</v>
      </c>
      <c r="E34" s="47"/>
      <c r="F34" s="47"/>
      <c r="G34" s="47"/>
      <c r="H34" s="47"/>
      <c r="I34" s="47"/>
      <c r="J34" s="48"/>
      <c r="K34" s="48"/>
      <c r="L34" s="4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20"/>
      <c r="X34" s="20"/>
      <c r="Y34" s="20"/>
    </row>
    <row r="35" spans="1:25" s="21" customFormat="1" ht="15" customHeight="1" x14ac:dyDescent="0.25">
      <c r="A35" s="16"/>
      <c r="B35" s="27"/>
      <c r="C35" s="50">
        <f>12/16</f>
        <v>0.75</v>
      </c>
      <c r="D35" s="50" t="s">
        <v>75</v>
      </c>
      <c r="E35" s="47"/>
      <c r="F35" s="47"/>
      <c r="G35" s="47"/>
      <c r="H35" s="47"/>
      <c r="I35" s="47"/>
      <c r="J35" s="48"/>
      <c r="K35" s="48"/>
      <c r="L35" s="4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  <c r="X35" s="20"/>
      <c r="Y35" s="20"/>
    </row>
    <row r="36" spans="1:25" s="21" customFormat="1" ht="15" customHeight="1" x14ac:dyDescent="0.25">
      <c r="A36" s="16"/>
      <c r="B36" s="27"/>
      <c r="C36" s="50">
        <f>8/16</f>
        <v>0.5</v>
      </c>
      <c r="D36" s="50" t="s">
        <v>66</v>
      </c>
      <c r="E36" s="47"/>
      <c r="F36" s="47"/>
      <c r="G36" s="47"/>
      <c r="H36" s="47"/>
      <c r="I36" s="47"/>
      <c r="J36" s="48"/>
      <c r="K36" s="48"/>
      <c r="L36" s="4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20"/>
      <c r="X36" s="20"/>
      <c r="Y36" s="20"/>
    </row>
    <row r="37" spans="1:25" s="21" customFormat="1" ht="15" customHeight="1" x14ac:dyDescent="0.25">
      <c r="A37" s="16"/>
      <c r="B37" s="27"/>
      <c r="C37" s="50">
        <f>6/16</f>
        <v>0.375</v>
      </c>
      <c r="D37" s="50" t="s">
        <v>63</v>
      </c>
      <c r="E37" s="47"/>
      <c r="F37" s="47"/>
      <c r="G37" s="47"/>
      <c r="H37" s="47"/>
      <c r="I37" s="47"/>
      <c r="J37" s="48"/>
      <c r="K37" s="48"/>
      <c r="L37" s="4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20"/>
      <c r="X37" s="20"/>
      <c r="Y37" s="20"/>
    </row>
    <row r="38" spans="1:25" s="21" customFormat="1" ht="15" customHeight="1" x14ac:dyDescent="0.25">
      <c r="A38" s="16"/>
      <c r="B38" s="27"/>
      <c r="C38" s="50">
        <f>4/16</f>
        <v>0.25</v>
      </c>
      <c r="D38" s="50" t="s">
        <v>65</v>
      </c>
      <c r="E38" s="47"/>
      <c r="F38" s="47"/>
      <c r="G38" s="47"/>
      <c r="H38" s="47"/>
      <c r="I38" s="47"/>
      <c r="J38" s="48"/>
      <c r="K38" s="48"/>
      <c r="L38" s="4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20"/>
      <c r="X38" s="20"/>
      <c r="Y38" s="20"/>
    </row>
    <row r="39" spans="1:25" s="21" customFormat="1" ht="15" customHeight="1" x14ac:dyDescent="0.25">
      <c r="A39" s="16"/>
      <c r="B39" s="27"/>
      <c r="C39" s="51" t="s">
        <v>82</v>
      </c>
      <c r="D39" s="50" t="s">
        <v>76</v>
      </c>
      <c r="E39" s="47"/>
      <c r="F39" s="47"/>
      <c r="G39" s="47"/>
      <c r="H39" s="47"/>
      <c r="I39" s="47"/>
      <c r="J39" s="48"/>
      <c r="K39" s="48"/>
      <c r="L39" s="4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20"/>
      <c r="X39" s="20"/>
      <c r="Y39" s="20"/>
    </row>
    <row r="40" spans="1:25" s="21" customFormat="1" ht="15" customHeight="1" x14ac:dyDescent="0.25">
      <c r="A40" s="16"/>
      <c r="B40" s="27"/>
      <c r="C40" s="52" t="s">
        <v>27</v>
      </c>
      <c r="D40" s="50" t="s">
        <v>72</v>
      </c>
      <c r="E40" s="47"/>
      <c r="F40" s="47"/>
      <c r="G40" s="47"/>
      <c r="H40" s="47"/>
      <c r="I40" s="47"/>
      <c r="J40" s="48"/>
      <c r="K40" s="48"/>
      <c r="L40" s="4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20"/>
      <c r="X40" s="20"/>
      <c r="Y40" s="20"/>
    </row>
    <row r="41" spans="1:25" s="21" customFormat="1" ht="15" customHeight="1" x14ac:dyDescent="0.25">
      <c r="A41" s="53"/>
      <c r="B41" s="35"/>
      <c r="C41" s="81"/>
      <c r="D41" s="54"/>
      <c r="E41" s="54"/>
      <c r="F41" s="54"/>
      <c r="G41" s="54"/>
      <c r="H41" s="54"/>
      <c r="I41" s="54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</row>
    <row r="42" spans="1:25" s="21" customFormat="1" ht="15" x14ac:dyDescent="0.25">
      <c r="A42" s="53"/>
      <c r="B42" s="35"/>
      <c r="C42" s="54" t="s">
        <v>58</v>
      </c>
      <c r="D42" s="54"/>
      <c r="E42" s="54"/>
      <c r="F42" s="54"/>
      <c r="G42" s="54"/>
      <c r="H42" s="54"/>
      <c r="I42" s="54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</row>
    <row r="43" spans="1:25" s="21" customFormat="1" ht="15" x14ac:dyDescent="0.25">
      <c r="A43" s="53"/>
      <c r="B43" s="35"/>
      <c r="C43" s="54" t="s">
        <v>59</v>
      </c>
      <c r="D43" s="54" t="s">
        <v>61</v>
      </c>
      <c r="E43" s="54"/>
      <c r="F43" s="54"/>
      <c r="G43" s="54"/>
      <c r="H43" s="54"/>
      <c r="I43" s="54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</row>
    <row r="44" spans="1:25" s="21" customFormat="1" ht="15" x14ac:dyDescent="0.25">
      <c r="A44" s="53"/>
      <c r="B44" s="35"/>
      <c r="C44" s="54" t="s">
        <v>60</v>
      </c>
      <c r="D44" s="54" t="s">
        <v>62</v>
      </c>
      <c r="E44" s="54"/>
      <c r="F44" s="54"/>
      <c r="G44" s="54"/>
      <c r="H44" s="54"/>
      <c r="I44" s="54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</row>
    <row r="45" spans="1:25" s="21" customFormat="1" ht="15" x14ac:dyDescent="0.25">
      <c r="A45" s="53"/>
      <c r="B45" s="35"/>
      <c r="C45" s="54"/>
      <c r="D45" s="54"/>
      <c r="E45" s="54"/>
      <c r="F45" s="54"/>
      <c r="G45" s="54"/>
      <c r="H45" s="54"/>
      <c r="I45" s="54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</row>
    <row r="46" spans="1:25" s="35" customFormat="1" ht="25.5" customHeight="1" x14ac:dyDescent="0.25">
      <c r="A46" s="33"/>
      <c r="B46" s="27"/>
      <c r="C46" s="84" t="s">
        <v>9</v>
      </c>
      <c r="D46" s="84" t="s">
        <v>21</v>
      </c>
      <c r="E46" s="84" t="s">
        <v>22</v>
      </c>
      <c r="F46" s="84" t="s">
        <v>23</v>
      </c>
      <c r="G46" s="84" t="s">
        <v>20</v>
      </c>
      <c r="H46" s="84" t="s">
        <v>24</v>
      </c>
      <c r="I46" s="84" t="s">
        <v>44</v>
      </c>
      <c r="J46" s="82" t="s">
        <v>1</v>
      </c>
      <c r="K46" s="82"/>
      <c r="L46" s="82" t="s">
        <v>86</v>
      </c>
      <c r="M46" s="82"/>
      <c r="N46" s="82" t="s">
        <v>87</v>
      </c>
      <c r="O46" s="82"/>
      <c r="P46" s="82" t="s">
        <v>88</v>
      </c>
      <c r="Q46" s="82"/>
      <c r="R46" s="82" t="s">
        <v>97</v>
      </c>
      <c r="S46" s="82"/>
      <c r="T46" s="82" t="s">
        <v>98</v>
      </c>
      <c r="U46" s="82"/>
      <c r="V46" s="85" t="s">
        <v>81</v>
      </c>
      <c r="W46" s="83" t="s">
        <v>16</v>
      </c>
      <c r="X46" s="83"/>
      <c r="Y46" s="83"/>
    </row>
    <row r="47" spans="1:25" s="35" customFormat="1" ht="24" customHeight="1" x14ac:dyDescent="0.25">
      <c r="A47" s="33"/>
      <c r="B47" s="27"/>
      <c r="C47" s="84"/>
      <c r="D47" s="84"/>
      <c r="E47" s="84"/>
      <c r="F47" s="84"/>
      <c r="G47" s="84"/>
      <c r="H47" s="84"/>
      <c r="I47" s="84"/>
      <c r="J47" s="39" t="s">
        <v>3</v>
      </c>
      <c r="K47" s="39" t="s">
        <v>4</v>
      </c>
      <c r="L47" s="39" t="s">
        <v>3</v>
      </c>
      <c r="M47" s="39" t="s">
        <v>4</v>
      </c>
      <c r="N47" s="39" t="s">
        <v>3</v>
      </c>
      <c r="O47" s="39" t="s">
        <v>4</v>
      </c>
      <c r="P47" s="39" t="s">
        <v>3</v>
      </c>
      <c r="Q47" s="39" t="s">
        <v>4</v>
      </c>
      <c r="R47" s="39" t="s">
        <v>3</v>
      </c>
      <c r="S47" s="39" t="s">
        <v>4</v>
      </c>
      <c r="T47" s="39" t="s">
        <v>3</v>
      </c>
      <c r="U47" s="39" t="s">
        <v>4</v>
      </c>
      <c r="V47" s="85"/>
      <c r="W47" s="56" t="s">
        <v>18</v>
      </c>
      <c r="X47" s="56" t="s">
        <v>19</v>
      </c>
      <c r="Y47" s="56" t="s">
        <v>17</v>
      </c>
    </row>
    <row r="48" spans="1:25" s="21" customFormat="1" ht="30" x14ac:dyDescent="0.25">
      <c r="A48" s="16"/>
      <c r="B48" s="20"/>
      <c r="C48" s="57" t="s">
        <v>10</v>
      </c>
      <c r="D48" s="57" t="s">
        <v>25</v>
      </c>
      <c r="E48" s="57" t="s">
        <v>38</v>
      </c>
      <c r="F48" s="57" t="s">
        <v>38</v>
      </c>
      <c r="G48" s="57" t="s">
        <v>29</v>
      </c>
      <c r="H48" s="57" t="s">
        <v>35</v>
      </c>
      <c r="I48" s="57"/>
      <c r="J48" s="41"/>
      <c r="K48" s="41">
        <v>1</v>
      </c>
      <c r="L48" s="58" t="s">
        <v>82</v>
      </c>
      <c r="M48" s="59"/>
      <c r="N48" s="59"/>
      <c r="O48" s="59"/>
      <c r="P48" s="59"/>
      <c r="Q48" s="59"/>
      <c r="R48" s="41">
        <v>1</v>
      </c>
      <c r="S48" s="41">
        <v>1</v>
      </c>
      <c r="T48" s="41">
        <v>1</v>
      </c>
      <c r="U48" s="41">
        <v>1</v>
      </c>
      <c r="V48" s="41"/>
      <c r="W48" s="60" t="s">
        <v>49</v>
      </c>
      <c r="X48" s="60"/>
      <c r="Y48" s="60"/>
    </row>
    <row r="49" spans="1:25" s="21" customFormat="1" ht="30" x14ac:dyDescent="0.25">
      <c r="A49" s="16"/>
      <c r="B49" s="20"/>
      <c r="C49" s="57" t="s">
        <v>10</v>
      </c>
      <c r="D49" s="57" t="s">
        <v>27</v>
      </c>
      <c r="E49" s="57" t="s">
        <v>28</v>
      </c>
      <c r="F49" s="57" t="s">
        <v>39</v>
      </c>
      <c r="G49" s="57" t="s">
        <v>30</v>
      </c>
      <c r="H49" s="57" t="s">
        <v>36</v>
      </c>
      <c r="I49" s="57"/>
      <c r="J49" s="41"/>
      <c r="K49" s="41">
        <v>1</v>
      </c>
      <c r="L49" s="41">
        <f>3/5</f>
        <v>0.6</v>
      </c>
      <c r="M49" s="41">
        <f>3/5</f>
        <v>0.6</v>
      </c>
      <c r="N49" s="41">
        <f t="shared" ref="N49:U49" si="2">3/5</f>
        <v>0.6</v>
      </c>
      <c r="O49" s="41">
        <f t="shared" si="2"/>
        <v>0.6</v>
      </c>
      <c r="P49" s="41">
        <f t="shared" si="2"/>
        <v>0.6</v>
      </c>
      <c r="Q49" s="41">
        <f t="shared" si="2"/>
        <v>0.6</v>
      </c>
      <c r="R49" s="41">
        <f t="shared" si="2"/>
        <v>0.6</v>
      </c>
      <c r="S49" s="41">
        <f t="shared" si="2"/>
        <v>0.6</v>
      </c>
      <c r="T49" s="41">
        <f t="shared" si="2"/>
        <v>0.6</v>
      </c>
      <c r="U49" s="41">
        <f t="shared" si="2"/>
        <v>0.6</v>
      </c>
      <c r="V49" s="41" t="s">
        <v>80</v>
      </c>
      <c r="W49" s="60" t="s">
        <v>5</v>
      </c>
      <c r="X49" s="60"/>
      <c r="Y49" s="60"/>
    </row>
    <row r="50" spans="1:25" s="21" customFormat="1" ht="30" x14ac:dyDescent="0.25">
      <c r="A50" s="16"/>
      <c r="B50" s="20"/>
      <c r="C50" s="57" t="s">
        <v>10</v>
      </c>
      <c r="D50" s="57" t="s">
        <v>25</v>
      </c>
      <c r="E50" s="57" t="s">
        <v>28</v>
      </c>
      <c r="F50" s="57" t="s">
        <v>28</v>
      </c>
      <c r="G50" s="57" t="s">
        <v>32</v>
      </c>
      <c r="H50" s="57" t="s">
        <v>37</v>
      </c>
      <c r="I50" s="57"/>
      <c r="J50" s="41"/>
      <c r="K50" s="41">
        <v>1</v>
      </c>
      <c r="L50" s="41">
        <v>1</v>
      </c>
      <c r="M50" s="41">
        <v>1</v>
      </c>
      <c r="N50" s="41">
        <v>1</v>
      </c>
      <c r="O50" s="41">
        <v>1</v>
      </c>
      <c r="P50" s="41">
        <v>1</v>
      </c>
      <c r="Q50" s="41">
        <v>1</v>
      </c>
      <c r="R50" s="41">
        <v>1</v>
      </c>
      <c r="S50" s="41">
        <v>1</v>
      </c>
      <c r="T50" s="41">
        <v>1</v>
      </c>
      <c r="U50" s="41">
        <v>1</v>
      </c>
      <c r="V50" s="41"/>
      <c r="W50" s="60"/>
      <c r="X50" s="60"/>
      <c r="Y50" s="60"/>
    </row>
    <row r="51" spans="1:25" s="21" customFormat="1" ht="30" x14ac:dyDescent="0.25">
      <c r="A51" s="16"/>
      <c r="B51" s="20"/>
      <c r="C51" s="57" t="s">
        <v>83</v>
      </c>
      <c r="D51" s="57" t="s">
        <v>25</v>
      </c>
      <c r="E51" s="57" t="s">
        <v>39</v>
      </c>
      <c r="F51" s="57" t="s">
        <v>38</v>
      </c>
      <c r="G51" s="57" t="s">
        <v>29</v>
      </c>
      <c r="H51" s="57" t="s">
        <v>36</v>
      </c>
      <c r="I51" s="57"/>
      <c r="J51" s="41"/>
      <c r="K51" s="41">
        <v>1</v>
      </c>
      <c r="L51" s="41">
        <v>1</v>
      </c>
      <c r="M51" s="61" t="s">
        <v>27</v>
      </c>
      <c r="N51" s="61"/>
      <c r="O51" s="61"/>
      <c r="P51" s="61"/>
      <c r="Q51" s="61"/>
      <c r="R51" s="61"/>
      <c r="S51" s="61"/>
      <c r="T51" s="61"/>
      <c r="U51" s="61"/>
      <c r="V51" s="41"/>
      <c r="W51" s="60"/>
      <c r="X51" s="60"/>
      <c r="Y51" s="60"/>
    </row>
    <row r="52" spans="1:25" s="21" customFormat="1" ht="30" x14ac:dyDescent="0.25">
      <c r="A52" s="16"/>
      <c r="B52" s="20"/>
      <c r="C52" s="57" t="s">
        <v>56</v>
      </c>
      <c r="D52" s="60"/>
      <c r="E52" s="60"/>
      <c r="F52" s="60"/>
      <c r="G52" s="60"/>
      <c r="H52" s="60"/>
      <c r="I52" s="60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60"/>
      <c r="X52" s="60"/>
      <c r="Y52" s="60"/>
    </row>
    <row r="53" spans="1:25" s="21" customFormat="1" ht="15" x14ac:dyDescent="0.25">
      <c r="A53" s="16"/>
      <c r="B53" s="20"/>
      <c r="C53" s="60"/>
      <c r="D53" s="60"/>
      <c r="E53" s="60"/>
      <c r="F53" s="60"/>
      <c r="G53" s="60"/>
      <c r="H53" s="60"/>
      <c r="I53" s="60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60"/>
      <c r="X53" s="60"/>
      <c r="Y53" s="60"/>
    </row>
    <row r="54" spans="1:25" s="35" customFormat="1" ht="15" x14ac:dyDescent="0.25">
      <c r="A54" s="33"/>
      <c r="B54" s="27"/>
      <c r="C54" s="37" t="s">
        <v>12</v>
      </c>
      <c r="D54" s="37"/>
      <c r="E54" s="37"/>
      <c r="F54" s="37"/>
      <c r="G54" s="37"/>
      <c r="H54" s="37"/>
      <c r="I54" s="37"/>
      <c r="J54" s="62">
        <f>SUM(J48:J53)</f>
        <v>0</v>
      </c>
      <c r="K54" s="62">
        <f t="shared" ref="K54:U54" si="3">SUM(K48:K53)</f>
        <v>4</v>
      </c>
      <c r="L54" s="62">
        <f t="shared" si="3"/>
        <v>2.6</v>
      </c>
      <c r="M54" s="62">
        <f t="shared" si="3"/>
        <v>1.6</v>
      </c>
      <c r="N54" s="62">
        <f t="shared" si="3"/>
        <v>1.6</v>
      </c>
      <c r="O54" s="62">
        <f t="shared" si="3"/>
        <v>1.6</v>
      </c>
      <c r="P54" s="62">
        <f t="shared" si="3"/>
        <v>1.6</v>
      </c>
      <c r="Q54" s="62">
        <f t="shared" si="3"/>
        <v>1.6</v>
      </c>
      <c r="R54" s="62">
        <f t="shared" si="3"/>
        <v>2.6</v>
      </c>
      <c r="S54" s="62">
        <f t="shared" si="3"/>
        <v>2.6</v>
      </c>
      <c r="T54" s="62">
        <f t="shared" si="3"/>
        <v>2.6</v>
      </c>
      <c r="U54" s="62">
        <f t="shared" si="3"/>
        <v>2.6</v>
      </c>
      <c r="V54" s="62"/>
      <c r="W54" s="36"/>
      <c r="X54" s="36"/>
      <c r="Y54" s="36"/>
    </row>
    <row r="55" spans="1:25" s="21" customFormat="1" ht="15" x14ac:dyDescent="0.25">
      <c r="A55" s="16"/>
      <c r="B55" s="20"/>
      <c r="C55" s="18"/>
      <c r="D55" s="18"/>
      <c r="E55" s="18"/>
      <c r="F55" s="18"/>
      <c r="G55" s="18"/>
      <c r="H55" s="18"/>
      <c r="I55" s="18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20"/>
      <c r="X55" s="20"/>
      <c r="Y55" s="20"/>
    </row>
    <row r="56" spans="1:25" s="21" customFormat="1" ht="17.25" customHeight="1" x14ac:dyDescent="0.25">
      <c r="A56" s="16"/>
      <c r="B56" s="20"/>
      <c r="C56" s="63" t="s">
        <v>78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</row>
    <row r="57" spans="1:25" s="21" customFormat="1" ht="15" x14ac:dyDescent="0.25">
      <c r="A57" s="16"/>
      <c r="B57" s="20"/>
      <c r="C57" s="65"/>
      <c r="D57" s="66"/>
      <c r="E57" s="66"/>
      <c r="F57" s="66"/>
      <c r="G57" s="66"/>
      <c r="H57" s="66"/>
      <c r="I57" s="66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20"/>
      <c r="X57" s="20"/>
      <c r="Y57" s="20"/>
    </row>
    <row r="58" spans="1:25" s="21" customFormat="1" ht="45.75" customHeight="1" x14ac:dyDescent="0.25">
      <c r="A58" s="16"/>
      <c r="B58" s="20"/>
      <c r="C58" s="67" t="s">
        <v>21</v>
      </c>
      <c r="D58" s="68" t="s">
        <v>41</v>
      </c>
      <c r="E58" s="68" t="s">
        <v>40</v>
      </c>
      <c r="F58" s="69"/>
      <c r="G58" s="67" t="s">
        <v>43</v>
      </c>
      <c r="H58" s="68" t="s">
        <v>41</v>
      </c>
      <c r="I58" s="68" t="s">
        <v>40</v>
      </c>
      <c r="J58" s="19"/>
      <c r="K58" s="68" t="s">
        <v>42</v>
      </c>
      <c r="L58" s="68" t="s">
        <v>41</v>
      </c>
      <c r="M58" s="68" t="s">
        <v>40</v>
      </c>
      <c r="N58" s="18"/>
      <c r="O58" s="68" t="s">
        <v>24</v>
      </c>
      <c r="P58" s="68" t="s">
        <v>41</v>
      </c>
      <c r="Q58" s="68" t="s">
        <v>40</v>
      </c>
      <c r="R58" s="18"/>
      <c r="S58" s="68" t="s">
        <v>20</v>
      </c>
      <c r="T58" s="68" t="s">
        <v>41</v>
      </c>
      <c r="U58" s="68" t="s">
        <v>40</v>
      </c>
      <c r="V58" s="28"/>
      <c r="W58" s="20"/>
      <c r="X58" s="20"/>
      <c r="Y58" s="20"/>
    </row>
    <row r="59" spans="1:25" s="21" customFormat="1" ht="32.25" customHeight="1" x14ac:dyDescent="0.25">
      <c r="A59" s="16"/>
      <c r="B59" s="20"/>
      <c r="C59" s="21" t="s">
        <v>25</v>
      </c>
      <c r="D59" s="70">
        <f>COUNTIF($D$48:$D$53,C59)</f>
        <v>3</v>
      </c>
      <c r="E59" s="71">
        <f>D59/$D$62</f>
        <v>0.75</v>
      </c>
      <c r="F59" s="69"/>
      <c r="G59" s="60" t="s">
        <v>28</v>
      </c>
      <c r="H59" s="70">
        <f>COUNTIF($E$48:$E$53,G59)</f>
        <v>2</v>
      </c>
      <c r="I59" s="71">
        <f>H59/$H$62</f>
        <v>0.5</v>
      </c>
      <c r="J59" s="19"/>
      <c r="K59" s="60" t="s">
        <v>28</v>
      </c>
      <c r="L59" s="70">
        <f>COUNTIF($F$48:$F$53,K59)</f>
        <v>1</v>
      </c>
      <c r="M59" s="71">
        <f>L59/$L$62</f>
        <v>0.25</v>
      </c>
      <c r="N59" s="18"/>
      <c r="O59" s="21" t="s">
        <v>34</v>
      </c>
      <c r="P59" s="70">
        <f>COUNTIF($H$48:$H$53,O59)</f>
        <v>0</v>
      </c>
      <c r="Q59" s="71">
        <f>P59/$P$63</f>
        <v>0</v>
      </c>
      <c r="R59" s="18"/>
      <c r="S59" s="60" t="s">
        <v>29</v>
      </c>
      <c r="T59" s="70">
        <f>COUNTIF($G$48:$G$53,S59)</f>
        <v>2</v>
      </c>
      <c r="U59" s="71">
        <f>T59/$T$64</f>
        <v>0.5</v>
      </c>
      <c r="V59" s="72"/>
      <c r="W59" s="20"/>
      <c r="X59" s="20"/>
      <c r="Y59" s="20"/>
    </row>
    <row r="60" spans="1:25" s="21" customFormat="1" ht="32.25" customHeight="1" x14ac:dyDescent="0.25">
      <c r="A60" s="16"/>
      <c r="B60" s="20"/>
      <c r="C60" s="21" t="s">
        <v>26</v>
      </c>
      <c r="D60" s="70">
        <f t="shared" ref="D60:D61" si="4">COUNTIF($D$48:$D$53,C60)</f>
        <v>0</v>
      </c>
      <c r="E60" s="71">
        <f t="shared" ref="E60:E61" si="5">D60/$D$62</f>
        <v>0</v>
      </c>
      <c r="F60" s="69"/>
      <c r="G60" s="60" t="s">
        <v>38</v>
      </c>
      <c r="H60" s="70">
        <f>COUNTIF($E$48:$E$53,G60)</f>
        <v>1</v>
      </c>
      <c r="I60" s="71">
        <f>H60/$H$62</f>
        <v>0.25</v>
      </c>
      <c r="J60" s="19"/>
      <c r="K60" s="60" t="s">
        <v>38</v>
      </c>
      <c r="L60" s="70">
        <f>COUNTIF($F$48:$F$53,K60)</f>
        <v>2</v>
      </c>
      <c r="M60" s="71">
        <f>L60/$L$62</f>
        <v>0.5</v>
      </c>
      <c r="N60" s="18"/>
      <c r="O60" s="21" t="s">
        <v>35</v>
      </c>
      <c r="P60" s="70">
        <f t="shared" ref="P60:P62" si="6">COUNTIF($H$48:$H$53,O60)</f>
        <v>1</v>
      </c>
      <c r="Q60" s="71">
        <f>P60/$P$63</f>
        <v>0.25</v>
      </c>
      <c r="R60" s="18"/>
      <c r="S60" s="60" t="s">
        <v>30</v>
      </c>
      <c r="T60" s="70">
        <f t="shared" ref="T60:T63" si="7">COUNTIF($G$48:$G$53,S60)</f>
        <v>1</v>
      </c>
      <c r="U60" s="71">
        <f>T60/$T$64</f>
        <v>0.25</v>
      </c>
      <c r="V60" s="72"/>
      <c r="W60" s="20"/>
      <c r="X60" s="20"/>
      <c r="Y60" s="20"/>
    </row>
    <row r="61" spans="1:25" s="21" customFormat="1" ht="32.25" customHeight="1" x14ac:dyDescent="0.25">
      <c r="A61" s="16"/>
      <c r="B61" s="20"/>
      <c r="C61" s="21" t="s">
        <v>27</v>
      </c>
      <c r="D61" s="70">
        <f t="shared" si="4"/>
        <v>1</v>
      </c>
      <c r="E61" s="71">
        <f t="shared" si="5"/>
        <v>0.25</v>
      </c>
      <c r="F61" s="18"/>
      <c r="G61" s="60" t="s">
        <v>39</v>
      </c>
      <c r="H61" s="70">
        <f>COUNTIF($E$48:$E$53,G61)</f>
        <v>1</v>
      </c>
      <c r="I61" s="71">
        <f>H61/$H$62</f>
        <v>0.25</v>
      </c>
      <c r="J61" s="19"/>
      <c r="K61" s="60" t="s">
        <v>39</v>
      </c>
      <c r="L61" s="70">
        <f>COUNTIF($F$48:$F$53,K61)</f>
        <v>1</v>
      </c>
      <c r="M61" s="71">
        <f>L61/$L$62</f>
        <v>0.25</v>
      </c>
      <c r="N61" s="18"/>
      <c r="O61" s="21" t="s">
        <v>36</v>
      </c>
      <c r="P61" s="70">
        <f t="shared" si="6"/>
        <v>2</v>
      </c>
      <c r="Q61" s="71">
        <f>P61/$P$63</f>
        <v>0.5</v>
      </c>
      <c r="R61" s="18"/>
      <c r="S61" s="60" t="s">
        <v>31</v>
      </c>
      <c r="T61" s="70">
        <f t="shared" si="7"/>
        <v>0</v>
      </c>
      <c r="U61" s="71">
        <f>T61/$T$64</f>
        <v>0</v>
      </c>
      <c r="V61" s="72"/>
      <c r="W61" s="20"/>
      <c r="X61" s="20"/>
      <c r="Y61" s="20"/>
    </row>
    <row r="62" spans="1:25" s="21" customFormat="1" ht="24.75" customHeight="1" x14ac:dyDescent="0.25">
      <c r="A62" s="16"/>
      <c r="B62" s="20"/>
      <c r="C62" s="73" t="s">
        <v>41</v>
      </c>
      <c r="D62" s="74">
        <f>SUM(D59:D61)</f>
        <v>4</v>
      </c>
      <c r="E62" s="75">
        <f>SUM(E59:E61)</f>
        <v>1</v>
      </c>
      <c r="F62" s="18"/>
      <c r="G62" s="73" t="s">
        <v>41</v>
      </c>
      <c r="H62" s="74">
        <f>SUM(H59:H61)</f>
        <v>4</v>
      </c>
      <c r="I62" s="75">
        <f>SUM(I59:I61)</f>
        <v>1</v>
      </c>
      <c r="J62" s="19"/>
      <c r="K62" s="73" t="s">
        <v>41</v>
      </c>
      <c r="L62" s="74">
        <f>SUM(L59:L61)</f>
        <v>4</v>
      </c>
      <c r="M62" s="75">
        <f>SUM(M59:M61)</f>
        <v>1</v>
      </c>
      <c r="N62" s="18"/>
      <c r="O62" s="21" t="s">
        <v>37</v>
      </c>
      <c r="P62" s="70">
        <f t="shared" si="6"/>
        <v>1</v>
      </c>
      <c r="Q62" s="71">
        <f>P62/$P$63</f>
        <v>0.25</v>
      </c>
      <c r="R62" s="18"/>
      <c r="S62" s="60" t="s">
        <v>32</v>
      </c>
      <c r="T62" s="70">
        <f t="shared" si="7"/>
        <v>1</v>
      </c>
      <c r="U62" s="71">
        <f>T62/$T$64</f>
        <v>0.25</v>
      </c>
      <c r="V62" s="72"/>
      <c r="W62" s="20"/>
      <c r="X62" s="20"/>
      <c r="Y62" s="20"/>
    </row>
    <row r="63" spans="1:25" s="21" customFormat="1" ht="24.75" customHeight="1" x14ac:dyDescent="0.25">
      <c r="A63" s="16"/>
      <c r="B63" s="20"/>
      <c r="C63" s="20"/>
      <c r="D63" s="18"/>
      <c r="E63" s="18"/>
      <c r="F63" s="18"/>
      <c r="G63" s="18"/>
      <c r="H63" s="18"/>
      <c r="I63" s="18"/>
      <c r="J63" s="19"/>
      <c r="K63" s="30"/>
      <c r="L63" s="18"/>
      <c r="M63" s="18"/>
      <c r="N63" s="18"/>
      <c r="O63" s="73" t="s">
        <v>41</v>
      </c>
      <c r="P63" s="74">
        <f>SUM(P60:P62)</f>
        <v>4</v>
      </c>
      <c r="Q63" s="75">
        <f>SUM(Q60:Q62)</f>
        <v>1</v>
      </c>
      <c r="R63" s="18"/>
      <c r="S63" s="60" t="s">
        <v>33</v>
      </c>
      <c r="T63" s="70">
        <f t="shared" si="7"/>
        <v>0</v>
      </c>
      <c r="U63" s="71">
        <f>T63/$T$64</f>
        <v>0</v>
      </c>
      <c r="V63" s="72"/>
      <c r="W63" s="20"/>
      <c r="X63" s="20"/>
      <c r="Y63" s="20"/>
    </row>
    <row r="64" spans="1:25" s="21" customFormat="1" ht="24.75" customHeight="1" x14ac:dyDescent="0.25">
      <c r="A64" s="16"/>
      <c r="B64" s="20"/>
      <c r="C64" s="18"/>
      <c r="D64" s="60"/>
      <c r="E64" s="18"/>
      <c r="F64" s="20"/>
      <c r="G64" s="18"/>
      <c r="H64" s="18"/>
      <c r="I64" s="18"/>
      <c r="J64" s="19"/>
      <c r="K64" s="30"/>
      <c r="L64" s="18"/>
      <c r="M64" s="18"/>
      <c r="N64" s="18"/>
      <c r="O64" s="19"/>
      <c r="P64" s="19"/>
      <c r="Q64" s="19"/>
      <c r="R64" s="18"/>
      <c r="S64" s="73" t="s">
        <v>41</v>
      </c>
      <c r="T64" s="74">
        <f>SUM(T59:T63)</f>
        <v>4</v>
      </c>
      <c r="U64" s="75">
        <f>SUM(U59:U63)</f>
        <v>1</v>
      </c>
      <c r="V64" s="76"/>
      <c r="W64" s="20"/>
      <c r="X64" s="20"/>
      <c r="Y64" s="20"/>
    </row>
    <row r="65" spans="1:25" s="21" customFormat="1" ht="15" x14ac:dyDescent="0.25">
      <c r="A65" s="16"/>
      <c r="B65" s="20"/>
      <c r="C65" s="77"/>
      <c r="D65" s="18"/>
      <c r="E65" s="18"/>
      <c r="F65" s="18"/>
      <c r="G65" s="18"/>
      <c r="H65" s="18"/>
      <c r="I65" s="18"/>
      <c r="J65" s="19"/>
      <c r="K65" s="30"/>
      <c r="L65" s="30"/>
      <c r="M65" s="30"/>
      <c r="N65" s="30"/>
      <c r="O65" s="30"/>
      <c r="P65" s="30"/>
      <c r="Q65" s="30"/>
      <c r="R65" s="19"/>
      <c r="S65" s="19"/>
      <c r="T65" s="19"/>
      <c r="U65" s="19"/>
      <c r="V65" s="19"/>
      <c r="W65" s="20"/>
      <c r="X65" s="20"/>
      <c r="Y65" s="20"/>
    </row>
    <row r="66" spans="1:25" s="21" customFormat="1" ht="18.75" customHeight="1" x14ac:dyDescent="0.25">
      <c r="A66" s="16"/>
      <c r="B66" s="20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</row>
    <row r="67" spans="1:25" s="21" customFormat="1" ht="15" x14ac:dyDescent="0.25">
      <c r="A67" s="16"/>
      <c r="B67" s="20"/>
      <c r="C67" s="18"/>
      <c r="D67" s="18"/>
      <c r="E67" s="18"/>
      <c r="F67" s="18"/>
      <c r="G67" s="18"/>
      <c r="H67" s="18"/>
      <c r="I67" s="18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20"/>
      <c r="X67" s="20"/>
      <c r="Y67" s="20"/>
    </row>
    <row r="68" spans="1:25" s="21" customFormat="1" ht="15" x14ac:dyDescent="0.25">
      <c r="A68" s="16"/>
      <c r="B68" s="20"/>
      <c r="C68" s="30" t="s">
        <v>106</v>
      </c>
      <c r="D68" s="18"/>
      <c r="E68" s="18"/>
      <c r="F68" s="18"/>
      <c r="G68" s="18"/>
      <c r="H68" s="18"/>
      <c r="I68" s="1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20"/>
      <c r="X68" s="20"/>
      <c r="Y68" s="20"/>
    </row>
    <row r="69" spans="1:25" s="21" customFormat="1" ht="15" x14ac:dyDescent="0.25">
      <c r="A69" s="16"/>
      <c r="B69" s="20"/>
      <c r="C69" s="30" t="s">
        <v>51</v>
      </c>
      <c r="D69" s="18"/>
      <c r="E69" s="18"/>
      <c r="F69" s="30"/>
      <c r="G69" s="18"/>
      <c r="H69" s="30" t="s">
        <v>52</v>
      </c>
      <c r="I69" s="18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20"/>
      <c r="X69" s="20"/>
      <c r="Y69" s="20"/>
    </row>
    <row r="70" spans="1:25" s="21" customFormat="1" ht="15" x14ac:dyDescent="0.25">
      <c r="A70" s="16"/>
      <c r="B70" s="20"/>
      <c r="C70" s="18"/>
      <c r="D70" s="18"/>
      <c r="E70" s="18"/>
      <c r="F70" s="18"/>
      <c r="G70" s="18"/>
      <c r="H70" s="18"/>
      <c r="I70" s="18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20"/>
      <c r="X70" s="20"/>
      <c r="Y70" s="20"/>
    </row>
    <row r="71" spans="1:25" s="21" customFormat="1" ht="15" x14ac:dyDescent="0.25">
      <c r="A71" s="16"/>
      <c r="B71" s="20"/>
      <c r="C71" s="18"/>
      <c r="D71" s="18"/>
      <c r="E71" s="18"/>
      <c r="F71" s="18"/>
      <c r="G71" s="18"/>
      <c r="H71" s="18"/>
      <c r="I71" s="18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20"/>
      <c r="X71" s="20"/>
      <c r="Y71" s="20"/>
    </row>
    <row r="72" spans="1:25" s="21" customFormat="1" ht="15" x14ac:dyDescent="0.25">
      <c r="A72" s="16"/>
      <c r="B72" s="20"/>
      <c r="C72" s="18"/>
      <c r="D72" s="18"/>
      <c r="E72" s="18"/>
      <c r="F72" s="18"/>
      <c r="G72" s="18"/>
      <c r="H72" s="18"/>
      <c r="I72" s="18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20"/>
      <c r="X72" s="20"/>
      <c r="Y72" s="20"/>
    </row>
    <row r="73" spans="1:25" s="21" customFormat="1" ht="15" x14ac:dyDescent="0.25">
      <c r="A73" s="16"/>
      <c r="B73" s="20"/>
      <c r="C73" s="79" t="s">
        <v>50</v>
      </c>
      <c r="D73" s="18"/>
      <c r="E73" s="18"/>
      <c r="F73" s="20"/>
      <c r="G73" s="18"/>
      <c r="H73" s="80" t="s">
        <v>50</v>
      </c>
      <c r="I73" s="1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20"/>
      <c r="X73" s="20"/>
      <c r="Y73" s="20"/>
    </row>
    <row r="74" spans="1:25" s="21" customFormat="1" ht="15" x14ac:dyDescent="0.25">
      <c r="A74" s="16"/>
      <c r="B74" s="20"/>
      <c r="C74" s="80" t="s">
        <v>107</v>
      </c>
      <c r="D74" s="18"/>
      <c r="E74" s="18"/>
      <c r="F74" s="20"/>
      <c r="G74" s="18"/>
      <c r="H74" s="16" t="s">
        <v>96</v>
      </c>
      <c r="I74" s="18"/>
      <c r="J74" s="19"/>
      <c r="K74" s="19"/>
      <c r="L74" s="19"/>
      <c r="M74" s="19"/>
      <c r="N74" s="55"/>
      <c r="O74" s="55"/>
      <c r="P74" s="55"/>
      <c r="Q74" s="55"/>
      <c r="R74" s="55"/>
      <c r="S74" s="55"/>
      <c r="T74" s="55"/>
      <c r="U74" s="55"/>
      <c r="V74" s="55"/>
    </row>
    <row r="75" spans="1:25" s="21" customFormat="1" ht="15" x14ac:dyDescent="0.25">
      <c r="A75" s="16"/>
      <c r="C75" s="60"/>
      <c r="D75" s="60"/>
      <c r="E75" s="60"/>
      <c r="F75" s="60"/>
      <c r="G75" s="60"/>
      <c r="H75" s="60"/>
      <c r="I75" s="60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</row>
  </sheetData>
  <mergeCells count="21">
    <mergeCell ref="R46:S46"/>
    <mergeCell ref="T46:U46"/>
    <mergeCell ref="N14:O14"/>
    <mergeCell ref="P14:Q14"/>
    <mergeCell ref="R14:S14"/>
    <mergeCell ref="J14:K14"/>
    <mergeCell ref="L14:M14"/>
    <mergeCell ref="W46:Y46"/>
    <mergeCell ref="C46:C47"/>
    <mergeCell ref="D46:D47"/>
    <mergeCell ref="E46:E47"/>
    <mergeCell ref="F46:F47"/>
    <mergeCell ref="G46:G47"/>
    <mergeCell ref="H46:H47"/>
    <mergeCell ref="I46:I47"/>
    <mergeCell ref="J46:K46"/>
    <mergeCell ref="L46:M46"/>
    <mergeCell ref="V46:V47"/>
    <mergeCell ref="T14:U14"/>
    <mergeCell ref="N46:O46"/>
    <mergeCell ref="P46:Q46"/>
  </mergeCells>
  <pageMargins left="0.70866141732283472" right="0.70866141732283472" top="0.51181102362204722" bottom="0.74803149606299213" header="0.31496062992125984" footer="0.31496062992125984"/>
  <pageSetup paperSize="9" scale="50" fitToHeight="2" orientation="landscape" verticalDpi="300" r:id="rId1"/>
  <headerFooter>
    <oddHeader>&amp;L&amp;G&amp;RCSB/FR/HCM/14 Rev 01
January 25, 2022</oddHeader>
  </headerFooter>
  <rowBreaks count="1" manualBreakCount="1">
    <brk id="55" max="16383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7">
        <x14:dataValidation type="list" allowBlank="1" showInputMessage="1" showErrorMessage="1" xr:uid="{00000000-0002-0000-0000-000000000000}">
          <x14:formula1>
            <xm:f>List!$B$12:$B$14</xm:f>
          </x14:formula1>
          <xm:sqref>D48:D53</xm:sqref>
        </x14:dataValidation>
        <x14:dataValidation type="list" allowBlank="1" showInputMessage="1" showErrorMessage="1" xr:uid="{00000000-0002-0000-0000-000001000000}">
          <x14:formula1>
            <xm:f>List!$B$17:$B$19</xm:f>
          </x14:formula1>
          <xm:sqref>E48:E53</xm:sqref>
        </x14:dataValidation>
        <x14:dataValidation type="list" allowBlank="1" showInputMessage="1" showErrorMessage="1" xr:uid="{00000000-0002-0000-0000-000002000000}">
          <x14:formula1>
            <xm:f>List!$B$22:$B$24</xm:f>
          </x14:formula1>
          <xm:sqref>F48:F53</xm:sqref>
        </x14:dataValidation>
        <x14:dataValidation type="list" allowBlank="1" showInputMessage="1" showErrorMessage="1" xr:uid="{00000000-0002-0000-0000-000003000000}">
          <x14:formula1>
            <xm:f>List!$B$27:$B$31</xm:f>
          </x14:formula1>
          <xm:sqref>G48:G53</xm:sqref>
        </x14:dataValidation>
        <x14:dataValidation type="list" allowBlank="1" showInputMessage="1" showErrorMessage="1" xr:uid="{00000000-0002-0000-0000-000004000000}">
          <x14:formula1>
            <xm:f>List!$B$34:$B$37</xm:f>
          </x14:formula1>
          <xm:sqref>H48:H53</xm:sqref>
        </x14:dataValidation>
        <x14:dataValidation type="list" allowBlank="1" showInputMessage="1" showErrorMessage="1" xr:uid="{00000000-0002-0000-0000-000005000000}">
          <x14:formula1>
            <xm:f>List!$B$7:$B$9</xm:f>
          </x14:formula1>
          <xm:sqref>W48:W53</xm:sqref>
        </x14:dataValidation>
        <x14:dataValidation type="list" allowBlank="1" showInputMessage="1" showErrorMessage="1" xr:uid="{00000000-0002-0000-0000-000006000000}">
          <x14:formula1>
            <xm:f>List!$B$2:$B$3</xm:f>
          </x14:formula1>
          <xm:sqref>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7"/>
  <sheetViews>
    <sheetView tabSelected="1" view="pageLayout" topLeftCell="A58" zoomScaleNormal="100" workbookViewId="0">
      <selection activeCell="C12" sqref="C12"/>
    </sheetView>
  </sheetViews>
  <sheetFormatPr defaultColWidth="9.140625" defaultRowHeight="15" x14ac:dyDescent="0.25"/>
  <cols>
    <col min="2" max="2" width="16.5703125" customWidth="1"/>
    <col min="3" max="3" width="43.7109375" customWidth="1"/>
  </cols>
  <sheetData>
    <row r="1" spans="2:3" x14ac:dyDescent="0.25">
      <c r="B1" s="1" t="s">
        <v>55</v>
      </c>
    </row>
    <row r="2" spans="2:3" x14ac:dyDescent="0.25">
      <c r="B2" t="s">
        <v>53</v>
      </c>
    </row>
    <row r="3" spans="2:3" x14ac:dyDescent="0.25">
      <c r="B3" t="s">
        <v>54</v>
      </c>
    </row>
    <row r="4" spans="2:3" x14ac:dyDescent="0.25">
      <c r="B4" t="s">
        <v>91</v>
      </c>
    </row>
    <row r="6" spans="2:3" x14ac:dyDescent="0.25">
      <c r="B6" s="1" t="s">
        <v>47</v>
      </c>
      <c r="C6" s="1" t="s">
        <v>73</v>
      </c>
    </row>
    <row r="7" spans="2:3" x14ac:dyDescent="0.25">
      <c r="B7" t="s">
        <v>48</v>
      </c>
      <c r="C7" t="s">
        <v>93</v>
      </c>
    </row>
    <row r="8" spans="2:3" x14ac:dyDescent="0.25">
      <c r="B8" t="s">
        <v>49</v>
      </c>
      <c r="C8" t="s">
        <v>92</v>
      </c>
    </row>
    <row r="9" spans="2:3" x14ac:dyDescent="0.25">
      <c r="B9" t="s">
        <v>5</v>
      </c>
    </row>
    <row r="11" spans="2:3" x14ac:dyDescent="0.25">
      <c r="B11" s="1" t="s">
        <v>21</v>
      </c>
    </row>
    <row r="12" spans="2:3" x14ac:dyDescent="0.25">
      <c r="B12" t="s">
        <v>25</v>
      </c>
    </row>
    <row r="13" spans="2:3" x14ac:dyDescent="0.25">
      <c r="B13" t="s">
        <v>26</v>
      </c>
    </row>
    <row r="14" spans="2:3" x14ac:dyDescent="0.25">
      <c r="B14" t="s">
        <v>27</v>
      </c>
    </row>
    <row r="16" spans="2:3" x14ac:dyDescent="0.25">
      <c r="B16" s="1" t="s">
        <v>22</v>
      </c>
    </row>
    <row r="17" spans="2:2" x14ac:dyDescent="0.25">
      <c r="B17" t="s">
        <v>28</v>
      </c>
    </row>
    <row r="18" spans="2:2" x14ac:dyDescent="0.25">
      <c r="B18" t="s">
        <v>38</v>
      </c>
    </row>
    <row r="19" spans="2:2" x14ac:dyDescent="0.25">
      <c r="B19" t="s">
        <v>39</v>
      </c>
    </row>
    <row r="21" spans="2:2" x14ac:dyDescent="0.25">
      <c r="B21" s="1" t="s">
        <v>23</v>
      </c>
    </row>
    <row r="22" spans="2:2" x14ac:dyDescent="0.25">
      <c r="B22" t="s">
        <v>28</v>
      </c>
    </row>
    <row r="23" spans="2:2" x14ac:dyDescent="0.25">
      <c r="B23" t="s">
        <v>38</v>
      </c>
    </row>
    <row r="24" spans="2:2" x14ac:dyDescent="0.25">
      <c r="B24" t="s">
        <v>39</v>
      </c>
    </row>
    <row r="26" spans="2:2" x14ac:dyDescent="0.25">
      <c r="B26" s="1" t="s">
        <v>20</v>
      </c>
    </row>
    <row r="27" spans="2:2" x14ac:dyDescent="0.25">
      <c r="B27" t="s">
        <v>29</v>
      </c>
    </row>
    <row r="28" spans="2:2" x14ac:dyDescent="0.25">
      <c r="B28" t="s">
        <v>30</v>
      </c>
    </row>
    <row r="29" spans="2:2" x14ac:dyDescent="0.25">
      <c r="B29" t="s">
        <v>31</v>
      </c>
    </row>
    <row r="30" spans="2:2" x14ac:dyDescent="0.25">
      <c r="B30" t="s">
        <v>32</v>
      </c>
    </row>
    <row r="31" spans="2:2" x14ac:dyDescent="0.25">
      <c r="B31" t="s">
        <v>33</v>
      </c>
    </row>
    <row r="33" spans="2:2" x14ac:dyDescent="0.25">
      <c r="B33" s="1" t="s">
        <v>24</v>
      </c>
    </row>
    <row r="34" spans="2:2" x14ac:dyDescent="0.25">
      <c r="B34" t="s">
        <v>34</v>
      </c>
    </row>
    <row r="35" spans="2:2" x14ac:dyDescent="0.25">
      <c r="B35" t="s">
        <v>35</v>
      </c>
    </row>
    <row r="36" spans="2:2" x14ac:dyDescent="0.25">
      <c r="B36" t="s">
        <v>36</v>
      </c>
    </row>
    <row r="37" spans="2:2" x14ac:dyDescent="0.25">
      <c r="B37" t="s">
        <v>37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Peta Perencanaan Studi Lanjut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</dc:creator>
  <cp:lastModifiedBy>Netha Eliana Calysta</cp:lastModifiedBy>
  <cp:lastPrinted>2022-01-27T02:52:41Z</cp:lastPrinted>
  <dcterms:created xsi:type="dcterms:W3CDTF">2017-03-28T18:07:56Z</dcterms:created>
  <dcterms:modified xsi:type="dcterms:W3CDTF">2023-08-18T08:06:32Z</dcterms:modified>
</cp:coreProperties>
</file>